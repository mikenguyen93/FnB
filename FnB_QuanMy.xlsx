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 Assumptions" sheetId="1" state="visible" r:id="rId3"/>
    <sheet name="📋 Cover" sheetId="2" state="hidden" r:id="rId4"/>
    <sheet name="⚙️ Assumptions_1" sheetId="3" state="hidden" r:id="rId5"/>
    <sheet name="💰 Revenue" sheetId="4" state="visible" r:id="rId6"/>
    <sheet name="📦 COGS &amp; OpEx" sheetId="5" state="visible" r:id="rId7"/>
    <sheet name="👥 HR Plan" sheetId="6" state="visible" r:id="rId8"/>
    <sheet name="📊 P&amp;L Detail" sheetId="7" state="visible" r:id="rId9"/>
    <sheet name="💵 Cash Flow" sheetId="8" state="visible" r:id="rId10"/>
    <sheet name="🔄 Rolling Forecast" sheetId="9" state="hidden" r:id="rId11"/>
    <sheet name="🎯 Scenario Manager" sheetId="10" state="hidden" r:id="rId12"/>
    <sheet name="Sheet13" sheetId="11" state="hidden" r:id="rId13"/>
    <sheet name="🏦 Loan Schedule" sheetId="12" state="visible" r:id="rId14"/>
    <sheet name="⚙️ Other Assumptions" sheetId="13" state="visible" r:id="rId1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3" authorId="0">
      <text>
        <r>
          <rPr>
            <sz val="10"/>
            <rFont val="Arial"/>
            <family val="2"/>
          </rPr>
          <t xml:space="preserve">Choose different Ramp-up Scenario	</t>
        </r>
      </text>
      <mc:AlternateContent>
        <mc:Choice Requires="v2">
          <commentPr autoFill="true" autoScale="false" colHidden="false" locked="false" rowHidden="false" textHAlign="justify" textVAlign="top">
            <anchor moveWithCells="false" sizeWithCells="false">
              <xdr:from>
                <xdr:col>2</xdr:col>
                <xdr:colOff>23</xdr:colOff>
                <xdr:row>9</xdr:row>
                <xdr:rowOff>16</xdr:rowOff>
              </xdr:from>
              <xdr:to>
                <xdr:col>3</xdr:col>
                <xdr:colOff>-77</xdr:colOff>
                <xdr:row>12</xdr:row>
                <xdr:rowOff>11</xdr:rowOff>
              </xdr:to>
            </anchor>
          </commentPr>
        </mc:Choice>
        <mc:Fallback/>
      </mc:AlternateContent>
    </comment>
  </commentList>
</comments>
</file>

<file path=xl/sharedStrings.xml><?xml version="1.0" encoding="utf-8"?>
<sst xmlns="http://schemas.openxmlformats.org/spreadsheetml/2006/main" count="870" uniqueCount="589">
  <si>
    <t xml:space="preserve">ASSUMPTIONS &amp; DRIVERS / GIẢ ĐỊNH &amp; THÔNG SỐ ĐẦU VÀO</t>
  </si>
  <si>
    <t xml:space="preserve">Driver</t>
  </si>
  <si>
    <t xml:space="preserve">Value</t>
  </si>
  <si>
    <t xml:space="preserve">Start Month (Tháng bắt đầu)</t>
  </si>
  <si>
    <t xml:space="preserve">Rent Area (Vị trí thuê địa điểm)</t>
  </si>
  <si>
    <t xml:space="preserve">Nearby Area(Cửa Nam, Nguyễn Hữu Huân, Triệu Việt Vương)</t>
  </si>
  <si>
    <t xml:space="preserve">Area (diện tích thuê) m2</t>
  </si>
  <si>
    <t xml:space="preserve">Rent per m2 (Giá trên m2)</t>
  </si>
  <si>
    <t xml:space="preserve">Rent Price (Giá thuê)</t>
  </si>
  <si>
    <t xml:space="preserve">Deposit month’s rent (Số tháng tiền cọc)</t>
  </si>
  <si>
    <t xml:space="preserve">Expected number of order sold per day (Công suất mục tiêu)</t>
  </si>
  <si>
    <t xml:space="preserve">Revenue Ramp-up Scenario (Kịch bản tăng trưởng doanh thu)</t>
  </si>
  <si>
    <t xml:space="preserve">Ramp-up Neutral</t>
  </si>
  <si>
    <t xml:space="preserve">Working Capital Buffer</t>
  </si>
  <si>
    <t xml:space="preserve">Capital Expenditure (Chi phí đầu tư cố định)</t>
  </si>
  <si>
    <t xml:space="preserve">Deposit month’s rent $ (Cọc tiền thuê nhà)</t>
  </si>
  <si>
    <t xml:space="preserve">Total </t>
  </si>
  <si>
    <t xml:space="preserve">Capital Expenditure Breakdown (chi tiết Capex)</t>
  </si>
  <si>
    <t xml:space="preserve">%</t>
  </si>
  <si>
    <t xml:space="preserve">Qty </t>
  </si>
  <si>
    <t xml:space="preserve">Price</t>
  </si>
  <si>
    <t xml:space="preserve">Interior + concept design (Thiết kễ + nội thật quán)</t>
  </si>
  <si>
    <t xml:space="preserve">Stove (Bếp điện)</t>
  </si>
  <si>
    <t xml:space="preserve">Freezer (Tủ đông)</t>
  </si>
  <si>
    <t xml:space="preserve">Refregerator (Tủ mát)</t>
  </si>
  <si>
    <t xml:space="preserve">Shelf (Kệ inox đựng gia vị)</t>
  </si>
  <si>
    <t xml:space="preserve">Others (Knives, cutting boards, pans)</t>
  </si>
  <si>
    <t xml:space="preserve">SilverWare (Bát đũa, lọ gia vị)</t>
  </si>
  <si>
    <t xml:space="preserve">Điều hòa ( 2 cái 1 chiều 9-12k BTU)</t>
  </si>
  <si>
    <t xml:space="preserve">Electric (hệ thống điện 3 pha)</t>
  </si>
  <si>
    <t xml:space="preserve">Water Line (Hệ thống nước + bể tách mỡ)</t>
  </si>
  <si>
    <t xml:space="preserve">First Year (Năm đầu tiên)</t>
  </si>
  <si>
    <t xml:space="preserve">Second Year (Năm thứ 2)</t>
  </si>
  <si>
    <t xml:space="preserve">Third Year (Năm thứ 3)</t>
  </si>
  <si>
    <t xml:space="preserve">Fourth Year (Năm thứ 4)</t>
  </si>
  <si>
    <t xml:space="preserve">Fifth Year (Năm thứ 5 )</t>
  </si>
  <si>
    <t xml:space="preserve">Raw Material % of Rev  (tỷ trọng NVL/ Doanh thu)</t>
  </si>
  <si>
    <t xml:space="preserve">Electric Costs % of Rev (tỷ trọng chi phí điện/ Doanh thu)</t>
  </si>
  <si>
    <t xml:space="preserve">Water Cost % of Rev (tỷ trọng tiền nước/ Doanh thu)</t>
  </si>
  <si>
    <t xml:space="preserve">Maintainace Cost of Rev (Chi phí bảo trì bảo dưỡng)</t>
  </si>
  <si>
    <t xml:space="preserve">F&amp;B RESTAURANT
FP&amp;A MODEL TEMPLATE</t>
  </si>
  <si>
    <t xml:space="preserve">Driver-Based Planning | Bilingual EN / VI  |  36-Month Horizon</t>
  </si>
  <si>
    <t xml:space="preserve">PROJECT INFORMATION / THÔNG TIN DỰ ÁN</t>
  </si>
  <si>
    <t xml:space="preserve">Project Name / Tên dự án</t>
  </si>
  <si>
    <t xml:space="preserve">[Enter project name]</t>
  </si>
  <si>
    <t xml:space="preserve">Location / Địa điểm</t>
  </si>
  <si>
    <t xml:space="preserve">[Enter address]</t>
  </si>
  <si>
    <t xml:space="preserve">Concept / Mô hình</t>
  </si>
  <si>
    <t xml:space="preserve">[e.g. Casual Dining / Fine Dining / Fast Casual]</t>
  </si>
  <si>
    <t xml:space="preserve">Model Owner / Người lập</t>
  </si>
  <si>
    <t xml:space="preserve">[Name]</t>
  </si>
  <si>
    <t xml:space="preserve">Version / Phiên bản</t>
  </si>
  <si>
    <t xml:space="preserve">v1.0</t>
  </si>
  <si>
    <t xml:space="preserve">Date / Ngày</t>
  </si>
  <si>
    <t xml:space="preserve">[Date]</t>
  </si>
  <si>
    <t xml:space="preserve">Base Currency / Tiền tệ</t>
  </si>
  <si>
    <t xml:space="preserve">VNĐ</t>
  </si>
  <si>
    <t xml:space="preserve">Forecast Period</t>
  </si>
  <si>
    <t xml:space="preserve">36 months / 3 years</t>
  </si>
  <si>
    <t xml:space="preserve">SHEET INDEX / DANH MỤC TRANG TÍNH</t>
  </si>
  <si>
    <t xml:space="preserve">PURPOSE / MỤC ĐÍCH</t>
  </si>
  <si>
    <t xml:space="preserve">📋 Cover</t>
  </si>
  <si>
    <t xml:space="preserve">Project info, instructions, color legend</t>
  </si>
  <si>
    <t xml:space="preserve">⚙️ Assumptions</t>
  </si>
  <si>
    <t xml:space="preserve">All input drivers – edit ONLY here / Tất cả giả định đầu vào</t>
  </si>
  <si>
    <t xml:space="preserve">💰 Revenue</t>
  </si>
  <si>
    <t xml:space="preserve">Driver-based revenue forecast / Dự báo doanh thu</t>
  </si>
  <si>
    <t xml:space="preserve">📦 COGS &amp; OpEx</t>
  </si>
  <si>
    <t xml:space="preserve">Cost of goods + operating cost drivers / Chi phí biến đổi &amp; cố định</t>
  </si>
  <si>
    <t xml:space="preserve">👥 HR Plan</t>
  </si>
  <si>
    <t xml:space="preserve">Headcount plan &amp; payroll budget / Kế hoạch nhân sự &amp; lương</t>
  </si>
  <si>
    <t xml:space="preserve">🏦 Loan Schedule</t>
  </si>
  <si>
    <t xml:space="preserve">Debt drawdown &amp; amortisation / Lịch vay &amp; trả nợ</t>
  </si>
  <si>
    <t xml:space="preserve">📊 P&amp;L Detail</t>
  </si>
  <si>
    <t xml:space="preserve">Monthly detailed P&amp;L / Báo cáo KQHĐKD chi tiết</t>
  </si>
  <si>
    <t xml:space="preserve">💵 Cash Flow</t>
  </si>
  <si>
    <t xml:space="preserve">Full 3-statement cash flow / Dòng tiền đầy đủ</t>
  </si>
  <si>
    <t xml:space="preserve">🔄 Rolling Forecast</t>
  </si>
  <si>
    <t xml:space="preserve">12-month rolling forecast vs actuals / Dự báo cuốn chiếu</t>
  </si>
  <si>
    <t xml:space="preserve">🎯 Scenario Manager</t>
  </si>
  <si>
    <t xml:space="preserve">Bear / Base / Bull scenarios / Các kịch bản</t>
  </si>
  <si>
    <t xml:space="preserve">COLOR LEGEND / CHÚ THÍCH MÀU SẮC</t>
  </si>
  <si>
    <t xml:space="preserve">  Blue text on yellow  →  Hardcoded INPUT – change these / Ô nhập liệu</t>
  </si>
  <si>
    <t xml:space="preserve">  Green text  →  Formula pulling from another sheet / Liên kết sheet khác</t>
  </si>
  <si>
    <t xml:space="preserve">  Black text  →  Formula / calculated cell / Công thức tính toán</t>
  </si>
  <si>
    <t xml:space="preserve">  Red text  →  External link / Liên kết file ngoài</t>
  </si>
  <si>
    <t xml:space="preserve">  Green background  →  Subtotal / sub-total row / Dòng tổng phụ</t>
  </si>
  <si>
    <t xml:space="preserve">  Light green background  →  Alternating row / Hàng xen kẽ</t>
  </si>
  <si>
    <t xml:space="preserve">⚠️  IMPORTANT / LƯU Ý: Only edit cells with BLUE text on YELLOW background in the Assumptions sheet. All other sheets are formula-driven and update automatically. / Chỉ chỉnh sửa các ô có chữ xanh dương nền vàng trong trang Assumptions. Tất cả trang còn lại được tính tự động.</t>
  </si>
  <si>
    <t xml:space="preserve">DRIVER / THÔNG SỐ</t>
  </si>
  <si>
    <t xml:space="preserve">VALUE / GIÁ TRỊ</t>
  </si>
  <si>
    <t xml:space="preserve">UNIT / ĐƠN VỊ</t>
  </si>
  <si>
    <t xml:space="preserve">YoY / TREND</t>
  </si>
  <si>
    <t xml:space="preserve">NOTES / GHI CHÚ</t>
  </si>
  <si>
    <t xml:space="preserve">A. VENUE &amp; CAPACITY / MẶT BẰNG &amp; CÔNG SUẤT</t>
  </si>
  <si>
    <t xml:space="preserve">Floor area / Diện tích sàn (m²)</t>
  </si>
  <si>
    <t xml:space="preserve">m²</t>
  </si>
  <si>
    <t xml:space="preserve">Total leased area</t>
  </si>
  <si>
    <t xml:space="preserve">Seating capacity / Số chỗ ngồi</t>
  </si>
  <si>
    <t xml:space="preserve">seats/chỗ</t>
  </si>
  <si>
    <t xml:space="preserve">Indoor + terrace</t>
  </si>
  <si>
    <t xml:space="preserve">Operating days/month / Ngày hoạt động TB</t>
  </si>
  <si>
    <t xml:space="preserve">days/ngày</t>
  </si>
  <si>
    <t xml:space="preserve">—</t>
  </si>
  <si>
    <t xml:space="preserve">Floors / Tầng</t>
  </si>
  <si>
    <t xml:space="preserve">Floor number in building</t>
  </si>
  <si>
    <t xml:space="preserve">Opening month / Tháng khai trương</t>
  </si>
  <si>
    <t xml:space="preserve">M01</t>
  </si>
  <si>
    <t xml:space="preserve">Enter M01–M36</t>
  </si>
  <si>
    <t xml:space="preserve">B. REVENUE DRIVERS / THÔNG SỐ DOANH THU</t>
  </si>
  <si>
    <t xml:space="preserve">Avg spend per cover – Yr1 / Giá xuất Năm 1</t>
  </si>
  <si>
    <t xml:space="preserve">Average revenue per diner</t>
  </si>
  <si>
    <t xml:space="preserve">Price increase YoY / Tăng giá mỗi năm</t>
  </si>
  <si>
    <t xml:space="preserve">%/year</t>
  </si>
  <si>
    <t xml:space="preserve">YoY</t>
  </si>
  <si>
    <t xml:space="preserve">Applied annually from Year 2</t>
  </si>
  <si>
    <t xml:space="preserve">Table turns (normal) / Vòng quay bàn TB</t>
  </si>
  <si>
    <t xml:space="preserve">turns/day</t>
  </si>
  <si>
    <t xml:space="preserve">e.g. 2.5</t>
  </si>
  <si>
    <t xml:space="preserve">Table turns (peak season) / Vòng quay cao điểm</t>
  </si>
  <si>
    <t xml:space="preserve">Tet, Christmas</t>
  </si>
  <si>
    <t xml:space="preserve">Target covers/day – Steady State / Lượng khách SS</t>
  </si>
  <si>
    <t xml:space="preserve">covers/khách</t>
  </si>
  <si>
    <t xml:space="preserve">Reference market analysis</t>
  </si>
  <si>
    <t xml:space="preserve">Ramp M01 / Tháng 1 (% SS)</t>
  </si>
  <si>
    <t xml:space="preserve">Ramp</t>
  </si>
  <si>
    <t xml:space="preserve">Opening month</t>
  </si>
  <si>
    <t xml:space="preserve">Ramp M02 (% SS)</t>
  </si>
  <si>
    <t xml:space="preserve">Ramp M03 (% SS)</t>
  </si>
  <si>
    <t xml:space="preserve">Ramp M04 (% SS)</t>
  </si>
  <si>
    <t xml:space="preserve">Ramp M05 (% SS)</t>
  </si>
  <si>
    <t xml:space="preserve">Ramp M06 (% SS)</t>
  </si>
  <si>
    <t xml:space="preserve">Steady state from / Đạt tốc độ bình thường từ</t>
  </si>
  <si>
    <t xml:space="preserve">M07</t>
  </si>
  <si>
    <t xml:space="preserve">Enter month code e.g. M07</t>
  </si>
  <si>
    <t xml:space="preserve">Seasonal peak multiplier / Hệ số mùa cao điểm</t>
  </si>
  <si>
    <t xml:space="preserve">x</t>
  </si>
  <si>
    <t xml:space="preserve">Applied to Tet/Christmas months</t>
  </si>
  <si>
    <t xml:space="preserve">Seasonal trough multiplier / Hệ số mùa thấp điểm</t>
  </si>
  <si>
    <t xml:space="preserve">Applied to slow months (e.g. post-Tet)</t>
  </si>
  <si>
    <t xml:space="preserve">C. FOOD &amp; BEVERAGE COST / CHI PHÍ THỰC PHẨM &amp; ĐỒ UỐNG</t>
  </si>
  <si>
    <t xml:space="preserve">Food cost % revenue – Yr1 / Định mức TP Năm 1</t>
  </si>
  <si>
    <t xml:space="preserve">% rev</t>
  </si>
  <si>
    <t xml:space="preserve">Typically 28–35% for F&amp;B</t>
  </si>
  <si>
    <t xml:space="preserve">Beverage cost % revenue – Yr1 / Định mức đồ uống</t>
  </si>
  <si>
    <t xml:space="preserve">Typically 18–25% for beverages</t>
  </si>
  <si>
    <t xml:space="preserve">Input price inflation YoY / Tăng giá nguyên liệu</t>
  </si>
  <si>
    <t xml:space="preserve">Apply to COGS % from Year 2</t>
  </si>
  <si>
    <t xml:space="preserve">Food revenue mix / Tỷ lệ doanh thu thức ăn</t>
  </si>
  <si>
    <t xml:space="preserve">% total rev</t>
  </si>
  <si>
    <t xml:space="preserve">Remaining = beverage</t>
  </si>
  <si>
    <t xml:space="preserve">D. FIXED OPERATING COSTS / CHI PHÍ CỐ ĐỊNH VẬN HÀNH</t>
  </si>
  <si>
    <t xml:space="preserve">Base rent / Thuê mặt bằng (VNĐ/m²/month)</t>
  </si>
  <si>
    <t xml:space="preserve">VNĐ/m²/tháng</t>
  </si>
  <si>
    <t xml:space="preserve">Monthly rent per m²</t>
  </si>
  <si>
    <t xml:space="preserve">FX rate / Tỷ giá (VNĐ/USD)</t>
  </si>
  <si>
    <t xml:space="preserve">VNĐ/USD</t>
  </si>
  <si>
    <t xml:space="preserve">Update if rent quoted in USD</t>
  </si>
  <si>
    <t xml:space="preserve">Utilities / Điện nước (VNĐ/month)</t>
  </si>
  <si>
    <t xml:space="preserve">VNĐ/tháng</t>
  </si>
  <si>
    <t xml:space="preserve">Electricity, water, gas</t>
  </si>
  <si>
    <t xml:space="preserve">Repairs &amp; maintenance / Sửa chữa bảo trì</t>
  </si>
  <si>
    <t xml:space="preserve">Insurance / Bảo hiểm tài sản</t>
  </si>
  <si>
    <t xml:space="preserve">Fixed cost growth YoY / Tăng CP cố định</t>
  </si>
  <si>
    <t xml:space="preserve">Applied from Year 2</t>
  </si>
  <si>
    <t xml:space="preserve">E. MARKETING &amp; PROMOTIONS / MARKETING &amp; KHUYẾN MẠI</t>
  </si>
  <si>
    <t xml:space="preserve">Monthly marketing budget / Ngân sách marketing/tháng</t>
  </si>
  <si>
    <t xml:space="preserve">Grand opening budget / Ngân sách khai trương</t>
  </si>
  <si>
    <t xml:space="preserve">One-off</t>
  </si>
  <si>
    <t xml:space="preserve">Loyalty discount % / Giảm giá thành viên thân thiết</t>
  </si>
  <si>
    <t xml:space="preserve">% discount on qualifying visits</t>
  </si>
  <si>
    <t xml:space="preserve">Loyalty member % of covers / % KH thành viên</t>
  </si>
  <si>
    <t xml:space="preserve">% covers</t>
  </si>
  <si>
    <t xml:space="preserve">% of covers receiving loyalty discount</t>
  </si>
  <si>
    <t xml:space="preserve">Promo campaign discount % / Giảm giá khuyến mại</t>
  </si>
  <si>
    <t xml:space="preserve">Average discount for promotions</t>
  </si>
  <si>
    <t xml:space="preserve">Marketing growth YoY / Tăng ngân sách marketing</t>
  </si>
  <si>
    <t xml:space="preserve">F. OVERHEAD RATIOS / TỶ LỆ CHI PHÍ CHUNG</t>
  </si>
  <si>
    <t xml:space="preserve">Contingency / Dự phòng phí (% opex)</t>
  </si>
  <si>
    <t xml:space="preserve">Buffer on total operating cost</t>
  </si>
  <si>
    <t xml:space="preserve">Management fee / Phí quản lý (% opex)</t>
  </si>
  <si>
    <t xml:space="preserve">HQ / owner management charge</t>
  </si>
  <si>
    <t xml:space="preserve">Other overhead / Chi phí khác (VNĐ/month)</t>
  </si>
  <si>
    <t xml:space="preserve">G. CAPITAL EXPENDITURE / CHI PHÍ ĐẦU TƯ</t>
  </si>
  <si>
    <t xml:space="preserve">Total capex / Tổng đầu tư</t>
  </si>
  <si>
    <t xml:space="preserve">From Investment Detail sheet</t>
  </si>
  <si>
    <t xml:space="preserve">Depreciation period / Thời gian khấu hao</t>
  </si>
  <si>
    <t xml:space="preserve">months/tháng</t>
  </si>
  <si>
    <t xml:space="preserve">Straight-line over 36 months</t>
  </si>
  <si>
    <t xml:space="preserve">Deposit paid / Đặt cọc mặt bằng</t>
  </si>
  <si>
    <t xml:space="preserve">Refundable at end of lease</t>
  </si>
  <si>
    <t xml:space="preserve">Working capital / Vốn lưu động</t>
  </si>
  <si>
    <t xml:space="preserve">Initial float; recovered at close</t>
  </si>
  <si>
    <t xml:space="preserve">Liquidation value / Giá trị thanh lý</t>
  </si>
  <si>
    <t xml:space="preserve">Estimated FF&amp;E salvage value</t>
  </si>
  <si>
    <t xml:space="preserve">H. FINANCING / TÀI CHÍNH</t>
  </si>
  <si>
    <t xml:space="preserve">Equity contribution / Vốn chủ sở hữu</t>
  </si>
  <si>
    <t xml:space="preserve">Loan amount / Vốn vay</t>
  </si>
  <si>
    <t xml:space="preserve">→ Also enter in Loan Schedule sheet</t>
  </si>
  <si>
    <t xml:space="preserve">Interest rate / Lãi suất vay</t>
  </si>
  <si>
    <t xml:space="preserve">Annual interest rate</t>
  </si>
  <si>
    <t xml:space="preserve">Loan term / Thời hạn vay</t>
  </si>
  <si>
    <t xml:space="preserve">months</t>
  </si>
  <si>
    <t xml:space="preserve">Enter 12, 24, 36 or 60</t>
  </si>
  <si>
    <t xml:space="preserve">Grace period / Ân hạn</t>
  </si>
  <si>
    <t xml:space="preserve">Interest-only months at start</t>
  </si>
  <si>
    <t xml:space="preserve">I. TAX / THUẾ</t>
  </si>
  <si>
    <t xml:space="preserve">Corporate income tax (CIT) / Thuế TNDN</t>
  </si>
  <si>
    <t xml:space="preserve">20% standard Vietnam CIT rate</t>
  </si>
  <si>
    <t xml:space="preserve">Tax holiday years / Miễn thuế số năm</t>
  </si>
  <si>
    <t xml:space="preserve">years/năm</t>
  </si>
  <si>
    <t xml:space="preserve">0 if not applicable</t>
  </si>
  <si>
    <t xml:space="preserve">Tax reduction years / Giảm thuế số năm</t>
  </si>
  <si>
    <t xml:space="preserve">Years with 50% CIT reduction after holiday</t>
  </si>
  <si>
    <t xml:space="preserve">VAT rate / Thuế VAT</t>
  </si>
  <si>
    <t xml:space="preserve">8% F&amp;B Vietnam 2024</t>
  </si>
  <si>
    <t xml:space="preserve">J. KPIs &amp; BENCHMARKS / CHỈ TIÊU</t>
  </si>
  <si>
    <t xml:space="preserve">Target Food Cost % / Mục tiêu % chi phí TP</t>
  </si>
  <si>
    <t xml:space="preserve">Target Gross Margin / Mục tiêu lợi nhuận gộp</t>
  </si>
  <si>
    <t xml:space="preserve">Target EBITDA Margin</t>
  </si>
  <si>
    <t xml:space="preserve">Target Payback / Mục tiêu hoàn vốn</t>
  </si>
  <si>
    <t xml:space="preserve">Months to recover capex</t>
  </si>
  <si>
    <t xml:space="preserve">→ Fill in all yellow cells above. The model will auto-populate all other sheets. / Điền vào tất cả ô nền vàng. Các trang khác sẽ tự động cập nhật.</t>
  </si>
  <si>
    <t xml:space="preserve">REVENUE FORECAST / DỰ BÁO DOANH THU</t>
  </si>
  <si>
    <t xml:space="preserve">LINE ITEM / CHỈ TIÊU</t>
  </si>
  <si>
    <t xml:space="preserve">3-YEAR TOTAL / TỔNG 3 NĂM</t>
  </si>
  <si>
    <t xml:space="preserve">A. REVENUE DRIVERS / THÔNG SỐ DOANH THU</t>
  </si>
  <si>
    <t xml:space="preserve">Covers/day exclude seasonal index / Khách/ngày</t>
  </si>
  <si>
    <t xml:space="preserve">Operating days / Ngày hoạt động</t>
  </si>
  <si>
    <t xml:space="preserve">Seasonal index / Hệ số mùa vụ</t>
  </si>
  <si>
    <t xml:space="preserve">Avg spend/cover / Giá 1 xuất (VNĐ)</t>
  </si>
  <si>
    <t xml:space="preserve">Food revenue mix / Tỷ lệ DT thức ăn</t>
  </si>
  <si>
    <t xml:space="preserve">B. REVENUE CALCULATION / TÍNH DOANH THU</t>
  </si>
  <si>
    <t xml:space="preserve">Total covers / Tổng số suất ăn</t>
  </si>
  <si>
    <t xml:space="preserve">Gross Revenue / Doanh thu gộp (VNĐ)</t>
  </si>
  <si>
    <t xml:space="preserve">    Food revenue / DT thức ăn (VNĐ)</t>
  </si>
  <si>
    <t xml:space="preserve">    Beverage revenue / DT đồ uống (VNĐ)</t>
  </si>
  <si>
    <t xml:space="preserve">(-) Loyalty discount / Giảm giá thành viên (VNĐ)</t>
  </si>
  <si>
    <t xml:space="preserve">(-) Promotion cost / Chi phí khuyến mại (VNĐ)</t>
  </si>
  <si>
    <t xml:space="preserve">NET REVENUE / DOANH THU THUẦN (VNĐ)</t>
  </si>
  <si>
    <t xml:space="preserve">C. ANNUAL SUMMARY / TÓM TẮT NĂM</t>
  </si>
  <si>
    <t xml:space="preserve">Year 1 Net Revenue / DT Thuần Năm 1 (VNĐ)</t>
  </si>
  <si>
    <t xml:space="preserve">Year 2 Net Revenue / DT Thuần Năm 2 (VNĐ)</t>
  </si>
  <si>
    <t xml:space="preserve">Year 3 Net Revenue / DT Thuần Năm 3 (VNĐ)</t>
  </si>
  <si>
    <t xml:space="preserve">Year 4 Net Revenue / DT Thuần Năm 4 (VNĐ)</t>
  </si>
  <si>
    <t xml:space="preserve">Year 5 Net Revenue / DT Thuần Năm 5 (VNĐ)</t>
  </si>
  <si>
    <t xml:space="preserve">D. PROJECT CLOSE-OUT / THU HỒI CUỐI DỰ ÁN</t>
  </si>
  <si>
    <t xml:space="preserve">Working capital recovery + Deposit + Liquidation (VNĐ)</t>
  </si>
  <si>
    <t xml:space="preserve">TOTAL REVENUE incl. close-out / TỔNG DT (VNĐ)</t>
  </si>
  <si>
    <t xml:space="preserve">COGS &amp; OPERATING COST FORECAST / CHI PHÍ HOẠT ĐỘNG</t>
  </si>
  <si>
    <t xml:space="preserve">TOTAL / TỔNG</t>
  </si>
  <si>
    <t xml:space="preserve">YEAR 1 / NĂM 1</t>
  </si>
  <si>
    <t xml:space="preserve">YEAR 2 / NĂM 2</t>
  </si>
  <si>
    <t xml:space="preserve">YEAR 3 / NĂM 3</t>
  </si>
  <si>
    <t xml:space="preserve">5-YEAR TOTAL / TỔNG 5 NĂM</t>
  </si>
  <si>
    <t xml:space="preserve">A. COST OF GOODS SOLD / GIÁ VỐN HÀNG BÁN</t>
  </si>
  <si>
    <t xml:space="preserve">Raw Material % per Rev /Tỷ lệ NVL trên doanh thu</t>
  </si>
  <si>
    <t xml:space="preserve">    Raw Material  / Giá vốn</t>
  </si>
  <si>
    <t xml:space="preserve">TOTAL COGS / TỔNG GIÁ VỐN (VNĐ)</t>
  </si>
  <si>
    <t xml:space="preserve">B. FIXED OPERATING COSTS / CHI PHÍ CỐ ĐỊNH</t>
  </si>
  <si>
    <t xml:space="preserve">Rent / Thuê mặt bằng (VNĐ)</t>
  </si>
  <si>
    <t xml:space="preserve">Utilities / Điện nước (VNĐ):</t>
  </si>
  <si>
    <t xml:space="preserve"> - Tiền điện</t>
  </si>
  <si>
    <t xml:space="preserve">Tiền điện/ doanh thu</t>
  </si>
  <si>
    <t xml:space="preserve"> - Tiền nước</t>
  </si>
  <si>
    <t xml:space="preserve">Tiền nước/ doanh thu</t>
  </si>
  <si>
    <t xml:space="preserve">Maintainace / Sửa chữa (VNĐ)</t>
  </si>
  <si>
    <t xml:space="preserve">Maintainance/doanh thu</t>
  </si>
  <si>
    <t xml:space="preserve">Payroll / Lương (VNĐ) — from HR Plan</t>
  </si>
  <si>
    <t xml:space="preserve">Marketing / Quảng cáo (VNĐ)</t>
  </si>
  <si>
    <t xml:space="preserve">Other fixed / Chi phí cố định khác (VNĐ)</t>
  </si>
  <si>
    <t xml:space="preserve">TOTAL FIXED COSTS / TỔNG CP CỐ ĐỊNH (VNĐ)</t>
  </si>
  <si>
    <t xml:space="preserve">C. VARIABLE OVERHEAD / CHI PHÍ BIẾN ĐỔI CHUNG</t>
  </si>
  <si>
    <t xml:space="preserve">Loyalty program cost / CP chương trình thành viên (VNĐ)</t>
  </si>
  <si>
    <t xml:space="preserve">Promotions / Khuyến mãi (VNĐ)</t>
  </si>
  <si>
    <t xml:space="preserve">Opex sub-total (before contingency)</t>
  </si>
  <si>
    <t xml:space="preserve">    Contingency 2% / Dự phòng phí (VNĐ)</t>
  </si>
  <si>
    <t xml:space="preserve">    Management fee 3% / Phí quản lý (VNĐ)</t>
  </si>
  <si>
    <t xml:space="preserve">TOTAL VARIABLE OVERHEAD / TỔNG CP BIẾN ĐỔI (VNĐ)</t>
  </si>
  <si>
    <t xml:space="preserve">D. CAPEX &amp; DEPRECIATION / ĐẦU TƯ &amp; KHẤU HAO</t>
  </si>
  <si>
    <t xml:space="preserve">Capital expenditure / Chi phí đầu tư (VNĐ)</t>
  </si>
  <si>
    <t xml:space="preserve">Monthly depreciation / Khấu hao hàng tháng (VNĐ)</t>
  </si>
  <si>
    <t xml:space="preserve">E. TOTAL COST SUMMARY / TỔNG CHI PHÍ</t>
  </si>
  <si>
    <t xml:space="preserve">TOTAL OPEX (excl. Capex) / TỔNG CP VH (VNĐ)</t>
  </si>
  <si>
    <t xml:space="preserve">TOTAL COST incl. Capex / TỔNG CHI PHÍ (VNĐ)</t>
  </si>
  <si>
    <t xml:space="preserve">Total opex % revenue / Tổng CP % DT</t>
  </si>
  <si>
    <t xml:space="preserve">HR PLAN &amp; PAYROLL BUDGET / KẾ HOẠCH NHÂN SỰ &amp; LƯƠNG</t>
  </si>
  <si>
    <t xml:space="preserve">POSITION / CHỨC VỤ</t>
  </si>
  <si>
    <t xml:space="preserve">Qty/ Số lượng </t>
  </si>
  <si>
    <t xml:space="preserve">SALARY Incl Insurance (Lương đã bao gồm bảo hiểm)</t>
  </si>
  <si>
    <t xml:space="preserve">Hourly Rate (Lương trên giờ)</t>
  </si>
  <si>
    <t xml:space="preserve">SHIFTS
SỐ CA</t>
  </si>
  <si>
    <t xml:space="preserve">  General Manager / Quản lý nhà hàng</t>
  </si>
  <si>
    <t xml:space="preserve">  Waiter/Waitress / Phục vụ bàn</t>
  </si>
  <si>
    <t xml:space="preserve">2 shifts per day</t>
  </si>
  <si>
    <t xml:space="preserve">  Security / Bảo vệ (outsouce)</t>
  </si>
  <si>
    <t xml:space="preserve">  Accountant / Kế toán (Outsource)</t>
  </si>
  <si>
    <t xml:space="preserve">TOTAL HEADCOUNT / TỔNG NHÂN VIÊN</t>
  </si>
  <si>
    <t xml:space="preserve">General Manager/ Main Cook</t>
  </si>
  <si>
    <t xml:space="preserve"> # of Waiter/Waitress / Phục vụ bàn</t>
  </si>
  <si>
    <t xml:space="preserve">Number of covers</t>
  </si>
  <si>
    <t xml:space="preserve">Waiter/Waitress / Phục vụ bàn Salary</t>
  </si>
  <si>
    <t xml:space="preserve">Security / Bảo vệ</t>
  </si>
  <si>
    <t xml:space="preserve">Accountant / Kế toán (Outsource)</t>
  </si>
  <si>
    <t xml:space="preserve">Total (Tổng cộng)</t>
  </si>
  <si>
    <t xml:space="preserve">DETAILED PROFIT &amp; LOSS / BÁO CÁO KQHĐKD CHI TIẾT</t>
  </si>
  <si>
    <t xml:space="preserve">M02</t>
  </si>
  <si>
    <t xml:space="preserve">M03</t>
  </si>
  <si>
    <t xml:space="preserve">M04</t>
  </si>
  <si>
    <t xml:space="preserve">M05</t>
  </si>
  <si>
    <t xml:space="preserve">M06</t>
  </si>
  <si>
    <t xml:space="preserve">M08</t>
  </si>
  <si>
    <t xml:space="preserve">M09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</si>
  <si>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</si>
  <si>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</si>
  <si>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</si>
  <si>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</si>
  <si>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</si>
  <si>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</si>
  <si>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</si>
  <si>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</si>
  <si>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</si>
  <si>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</si>
  <si>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</si>
  <si>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</si>
  <si>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</si>
  <si>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</si>
  <si>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</si>
  <si>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M25</t>
  </si>
  <si>
    <t xml:space="preserve">M26</t>
  </si>
  <si>
    <t xml:space="preserve">M27</t>
  </si>
  <si>
    <t xml:space="preserve">M28</t>
  </si>
  <si>
    <t xml:space="preserve">M29</t>
  </si>
  <si>
    <t xml:space="preserve">M30</t>
  </si>
  <si>
    <t xml:space="preserve">M31</t>
  </si>
  <si>
    <t xml:space="preserve">M32</t>
  </si>
  <si>
    <t xml:space="preserve">M33</t>
  </si>
  <si>
    <t xml:space="preserve">M34</t>
  </si>
  <si>
    <t xml:space="preserve">M35</t>
  </si>
  <si>
    <t xml:space="preserve">M36</t>
  </si>
  <si>
    <t xml:space="preserve">M37</t>
  </si>
  <si>
    <t xml:space="preserve">M38</t>
  </si>
  <si>
    <t xml:space="preserve">M39</t>
  </si>
  <si>
    <t xml:space="preserve">M40</t>
  </si>
  <si>
    <t xml:space="preserve">M41</t>
  </si>
  <si>
    <t xml:space="preserve">M42</t>
  </si>
  <si>
    <t xml:space="preserve">M43</t>
  </si>
  <si>
    <t xml:space="preserve">M44</t>
  </si>
  <si>
    <t xml:space="preserve">M45</t>
  </si>
  <si>
    <t xml:space="preserve">M46</t>
  </si>
  <si>
    <t xml:space="preserve">M47</t>
  </si>
  <si>
    <t xml:space="preserve">M48</t>
  </si>
  <si>
    <t xml:space="preserve">M49</t>
  </si>
  <si>
    <t xml:space="preserve">M50</t>
  </si>
  <si>
    <t xml:space="preserve">M51</t>
  </si>
  <si>
    <t xml:space="preserve">M52</t>
  </si>
  <si>
    <t xml:space="preserve">M53</t>
  </si>
  <si>
    <t xml:space="preserve">M54</t>
  </si>
  <si>
    <t xml:space="preserve">M55</t>
  </si>
  <si>
    <t xml:space="preserve">M56</t>
  </si>
  <si>
    <t xml:space="preserve">M57</t>
  </si>
  <si>
    <t xml:space="preserve">M58</t>
  </si>
  <si>
    <t xml:space="preserve">M59</t>
  </si>
  <si>
    <t xml:space="preserve">M60</t>
  </si>
  <si>
    <t xml:space="preserve">── REVENUE / DOANH THU ──</t>
  </si>
  <si>
    <t xml:space="preserve">  (-) Loyalty &amp; promo / Giảm giá (VNĐ)</t>
  </si>
  <si>
    <t xml:space="preserve">Net Revenue / Doanh thu thuần (VNĐ)</t>
  </si>
  <si>
    <t xml:space="preserve">── COST OF GOODS SOLD / GIÁ VỐN ──</t>
  </si>
  <si>
    <t xml:space="preserve">    Raw Material / CP thực phẩm (VNĐ)</t>
  </si>
  <si>
    <t xml:space="preserve">GROSS PROFIT / LỢI NHUẬN GỘP (VNĐ)</t>
  </si>
  <si>
    <t xml:space="preserve">    Gross Margin %</t>
  </si>
  <si>
    <t xml:space="preserve">── OPERATING EXPENSES / CHI PHÍ VẬN HÀNH ──</t>
  </si>
  <si>
    <t xml:space="preserve">    Rent / Thuê mặt bằng (VNĐ)</t>
  </si>
  <si>
    <t xml:space="preserve">    Payroll / Lương (VNĐ)</t>
  </si>
  <si>
    <t xml:space="preserve">    Utilities / Điện nước (VNĐ)</t>
  </si>
  <si>
    <t xml:space="preserve">    Repairs / Sửa chữa (VNĐ)</t>
  </si>
  <si>
    <t xml:space="preserve">    Marketing (VNĐ)</t>
  </si>
  <si>
    <t xml:space="preserve">    Loyalty &amp; promo cost / CP khuyến mại (VNĐ)</t>
  </si>
  <si>
    <t xml:space="preserve">    Contingency / Dự phòng (VNĐ)</t>
  </si>
  <si>
    <t xml:space="preserve">    Management fee / Phí quản lý (VNĐ)</t>
  </si>
  <si>
    <t xml:space="preserve">    Depreciation / Khấu hao (VNĐ)</t>
  </si>
  <si>
    <t xml:space="preserve">    Interest expense / Chi phí lãi vay (VNĐ)</t>
  </si>
  <si>
    <t xml:space="preserve">TOTAL OPEX / TỔNG CP VẬN HÀNH (VNĐ)</t>
  </si>
  <si>
    <t xml:space="preserve">EBITDA (VNĐ)</t>
  </si>
  <si>
    <t xml:space="preserve">    EBITDA Margin %</t>
  </si>
  <si>
    <t xml:space="preserve">EBIT (VNĐ)</t>
  </si>
  <si>
    <t xml:space="preserve">    EBIT Margin %</t>
  </si>
  <si>
    <t xml:space="preserve">── TAX &amp; NET INCOME / THUẾ &amp; LỢI NHUẬN SAU THUẾ ──</t>
  </si>
  <si>
    <t xml:space="preserve">(-) Income Tax / Thuế TNDN (VNĐ)</t>
  </si>
  <si>
    <t xml:space="preserve">NET PROFIT AFTER TAX / LNST (VNĐ)</t>
  </si>
  <si>
    <t xml:space="preserve">    Net Margin %</t>
  </si>
  <si>
    <t xml:space="preserve">── ANNUAL SUMMARY / TÓM TẮT THEO NĂM ──</t>
  </si>
  <si>
    <t xml:space="preserve">Year 1 – Revenue / DT</t>
  </si>
  <si>
    <t xml:space="preserve">Year 1 – Gross Profit / LN Gộp</t>
  </si>
  <si>
    <t xml:space="preserve">Year 1 – EBITDA</t>
  </si>
  <si>
    <t xml:space="preserve">Year 1 – EBIT</t>
  </si>
  <si>
    <t xml:space="preserve">Year 1 – NPAT / LNST</t>
  </si>
  <si>
    <t xml:space="preserve">Year 2 – Revenue / DT</t>
  </si>
  <si>
    <t xml:space="preserve">Year 2 – Gross Profit / LN Gộp</t>
  </si>
  <si>
    <t xml:space="preserve">Year 2 – EBITDA</t>
  </si>
  <si>
    <t xml:space="preserve">Year 2 – EBIT</t>
  </si>
  <si>
    <t xml:space="preserve">Year 2 – NPAT / LNST</t>
  </si>
  <si>
    <t xml:space="preserve">Year 3 – Revenue / DT</t>
  </si>
  <si>
    <t xml:space="preserve">Year 3 – Gross Profit / LN Gộp</t>
  </si>
  <si>
    <t xml:space="preserve">Year 3 – EBITDA</t>
  </si>
  <si>
    <t xml:space="preserve">Year 3 – EBIT</t>
  </si>
  <si>
    <t xml:space="preserve">Year 3 – NPAT / LNST</t>
  </si>
  <si>
    <t xml:space="preserve">CASH FLOW STATEMENT / BÁO CÁO DÒNG TIỀN</t>
  </si>
  <si>
    <t xml:space="preserve">── A. OPERATING ACTIVITIES / HOẠT ĐỘNG KINH DOANH ──</t>
  </si>
  <si>
    <t xml:space="preserve">Net Profit After Tax / LNST (VNĐ)</t>
  </si>
  <si>
    <t xml:space="preserve">  (+) Add-back: Depreciation / Cộng lại Khấu hao (VNĐ)</t>
  </si>
  <si>
    <t xml:space="preserve">  (+) Add-back: Interest (net) / Cộng lại lãi vay (VNĐ)</t>
  </si>
  <si>
    <t xml:space="preserve">Changes in working capital / Thay đổi vốn lưu động (VNĐ)</t>
  </si>
  <si>
    <t xml:space="preserve">OPERATING CASH FLOW / DÒNG TIỀN HOẠT ĐỘNG (VNĐ)</t>
  </si>
  <si>
    <t xml:space="preserve">── B. INVESTING ACTIVITIES / HOẠT ĐỘNG ĐẦU TƯ ──</t>
  </si>
  <si>
    <t xml:space="preserve">  (-) Capex / Chi đầu tư (VNĐ)</t>
  </si>
  <si>
    <t xml:space="preserve">  (+) Asset disposal / Thu hồi cuối dự án (VNĐ)</t>
  </si>
  <si>
    <t xml:space="preserve">INVESTING CASH FLOW / DÒNG TIỀN ĐẦU TƯ (VNĐ)</t>
  </si>
  <si>
    <t xml:space="preserve">── C. FINANCING ACTIVITIES / HOẠT ĐỘNG TÀI CHÍNH ──</t>
  </si>
  <si>
    <t xml:space="preserve">(+) Loan drawdown / Giải ngân vay (VNĐ)</t>
  </si>
  <si>
    <t xml:space="preserve">  (-) Loan repayment / Trả nợ gốc (VNĐ)</t>
  </si>
  <si>
    <t xml:space="preserve">  (-) Interest paid / Trả lãi vay (VNĐ)</t>
  </si>
  <si>
    <t xml:space="preserve">(+) Equity injection / Vốn chủ góp (VNĐ)</t>
  </si>
  <si>
    <t xml:space="preserve">FINANCING CASH FLOW / DÒNG TIỀN TÀI CHÍNH (VNĐ)</t>
  </si>
  <si>
    <t xml:space="preserve">── D. NET CASH POSITION / DÒNG TIỀN THUẦN ──</t>
  </si>
  <si>
    <t xml:space="preserve">NET CASH FLOW / DÒNG TIỀN THUẦN (VNĐ)</t>
  </si>
  <si>
    <t xml:space="preserve">Cumulative Cash Flow / Dòng tiền luỹ kế (VNĐ)</t>
  </si>
  <si>
    <t xml:space="preserve">── E. RETURNS SUMMARY / TÓM TẮT LỢI NHUẬN ĐẦU TƯ ──</t>
  </si>
  <si>
    <t xml:space="preserve">Total Capex invested / Tổng vốn bỏ ra (VNĐ)</t>
  </si>
  <si>
    <t xml:space="preserve">Total NPAT 5Y / Tổng LNST 5 năm (VNĐ)</t>
  </si>
  <si>
    <t xml:space="preserve">Total Net Cash Flow / Tổng dòng tiền thuần (VNĐ)</t>
  </si>
  <si>
    <t xml:space="preserve">ROI cumulative</t>
  </si>
  <si>
    <t xml:space="preserve">Annualized ROI</t>
  </si>
  <si>
    <t xml:space="preserve">Payback month / Tháng hoàn vốn</t>
  </si>
  <si>
    <t xml:space="preserve">IRR</t>
  </si>
  <si>
    <t xml:space="preserve">Break-even</t>
  </si>
  <si>
    <t xml:space="preserve">CASH POSITION</t>
  </si>
  <si>
    <t xml:space="preserve">M00</t>
  </si>
  <si>
    <t xml:space="preserve">Cash Opening</t>
  </si>
  <si>
    <t xml:space="preserve"> - From Operating (Thu từ bán hàng)</t>
  </si>
  <si>
    <t xml:space="preserve"> - Loan (Thu từ tiền vay)</t>
  </si>
  <si>
    <t xml:space="preserve">Total Inflow (Tiền thu)</t>
  </si>
  <si>
    <t xml:space="preserve">Chi mua CAPEX</t>
  </si>
  <si>
    <t xml:space="preserve">Operating outflows (Tiền chi vận hành)</t>
  </si>
  <si>
    <t xml:space="preserve">Interest Payment (Tiền lãi)</t>
  </si>
  <si>
    <t xml:space="preserve">Principal (Tiền gốc)</t>
  </si>
  <si>
    <t xml:space="preserve">Thuế </t>
  </si>
  <si>
    <t xml:space="preserve">Total Outflows</t>
  </si>
  <si>
    <t xml:space="preserve">Closing Balance</t>
  </si>
  <si>
    <t xml:space="preserve">Equity</t>
  </si>
  <si>
    <t xml:space="preserve">ROLLING FORECAST – 12-MONTH WINDOW / DỰ BÁO CUỐN CHIẾU 12 THÁNG</t>
  </si>
  <si>
    <t xml:space="preserve">Enter current period in B3, then fill Actuals (yellow) as months close. Forecast (white) auto-links from P&amp;L Detail. Variance = Actual – Forecast. / Nhập kỳ hiện tại vào B3. Điền Thực tế (vàng) khi tháng kết thúc. Phần còn lại tự động từ P&amp;L.</t>
  </si>
  <si>
    <t xml:space="preserve">Current period (start) / Kỳ hiện tại (bắt đầu):</t>
  </si>
  <si>
    <t xml:space="preserve">← Enter M01 to M36 / Nhập từ M01 đến M36</t>
  </si>
  <si>
    <t xml:space="preserve">ANNUAL BUDGET
NGÂN SÁCH NĂM</t>
  </si>
  <si>
    <t xml:space="preserve">M+00</t>
  </si>
  <si>
    <t xml:space="preserve">M+01</t>
  </si>
  <si>
    <t xml:space="preserve">M+02</t>
  </si>
  <si>
    <t xml:space="preserve">M+03</t>
  </si>
  <si>
    <t xml:space="preserve">M+04</t>
  </si>
  <si>
    <t xml:space="preserve">M+05</t>
  </si>
  <si>
    <t xml:space="preserve">M+06</t>
  </si>
  <si>
    <t xml:space="preserve">M+07</t>
  </si>
  <si>
    <t xml:space="preserve">M+08</t>
  </si>
  <si>
    <t xml:space="preserve">M+09</t>
  </si>
  <si>
    <t xml:space="preserve">M+10</t>
  </si>
  <si>
    <t xml:space="preserve">M+11</t>
  </si>
  <si>
    <t xml:space="preserve">12M TOTAL
TỔNG 12T</t>
  </si>
  <si>
    <t xml:space="preserve">vs BUDGET
SO VỚI NS</t>
  </si>
  <si>
    <t xml:space="preserve">ACT / FCST</t>
  </si>
  <si>
    <t xml:space="preserve">Net Revenue / DT Thuần (VNĐ)</t>
  </si>
  <si>
    <t xml:space="preserve">  COGS (VNĐ)</t>
  </si>
  <si>
    <t xml:space="preserve">  Gross Profit / LN Gộp (VNĐ)</t>
  </si>
  <si>
    <t xml:space="preserve">  Gross Margin %</t>
  </si>
  <si>
    <t xml:space="preserve">  Total OpEx (VNĐ)</t>
  </si>
  <si>
    <t xml:space="preserve">  EBITDA (VNĐ)</t>
  </si>
  <si>
    <t xml:space="preserve">  EBITDA Margin %</t>
  </si>
  <si>
    <t xml:space="preserve">  EBIT (VNĐ)</t>
  </si>
  <si>
    <t xml:space="preserve">NPAT / LNST (VNĐ)</t>
  </si>
  <si>
    <t xml:space="preserve">  Net Margin %</t>
  </si>
  <si>
    <t xml:space="preserve">Operating Cash Flow (VNĐ)</t>
  </si>
  <si>
    <t xml:space="preserve">Net Cash Flow (VNĐ)</t>
  </si>
  <si>
    <t xml:space="preserve">Cumulative CF (VNĐ)</t>
  </si>
  <si>
    <t xml:space="preserve">Total Covers / Lượt phục vụ</t>
  </si>
  <si>
    <t xml:space="preserve">Avg spend/cover / Giá xuất</t>
  </si>
  <si>
    <t xml:space="preserve">📝 HOW TO USE / CÁCH SỬ DỤNG:  1) Update 'Current period' in B3 each month.  2) Fill yellow actuals cells as months close.  3) Variances calculate automatically.  4) To advance the window, copy this sheet and shift period by 1. / Cập nhật B3 mỗi tháng. Điền ô vàng khi tháng kết thúc. Biến động tính tự động.</t>
  </si>
  <si>
    <t xml:space="preserve">SCENARIO MANAGER / PHÂN TÍCH CÁC KỊCH BẢN</t>
  </si>
  <si>
    <t xml:space="preserve">Adjust yellow cells to define each scenario, then paste values into Assumptions. / Điều chỉnh ô vàng để xác định kịch bản, sau đó dán giá trị vào Assumptions.</t>
  </si>
  <si>
    <t xml:space="preserve">🐻 BEAR
(Pessimistic)</t>
  </si>
  <si>
    <t xml:space="preserve">📊 BASE
(Most Likely)</t>
  </si>
  <si>
    <t xml:space="preserve">🐂 BULL
(Optimistic)</t>
  </si>
  <si>
    <t xml:space="preserve">UNIT
ĐƠN VỊ</t>
  </si>
  <si>
    <t xml:space="preserve">IMPACT
TÁC ĐỘNG</t>
  </si>
  <si>
    <t xml:space="preserve">REVENUE DRIVERS / DT</t>
  </si>
  <si>
    <t xml:space="preserve">Avg spend / Giá 1 xuất (VNĐ)</t>
  </si>
  <si>
    <t xml:space="preserve">HIGH ⬆⬆</t>
  </si>
  <si>
    <t xml:space="preserve">Target covers/day / KH/ngày</t>
  </si>
  <si>
    <t xml:space="preserve">khách</t>
  </si>
  <si>
    <t xml:space="preserve">Price growth YoY / Tăng giá</t>
  </si>
  <si>
    <t xml:space="preserve">5%</t>
  </si>
  <si>
    <t xml:space="preserve">10%</t>
  </si>
  <si>
    <t xml:space="preserve">15%</t>
  </si>
  <si>
    <t xml:space="preserve">MED ⬆</t>
  </si>
  <si>
    <t xml:space="preserve">Seasonal peak mult. / Hệ số cao điểm</t>
  </si>
  <si>
    <t xml:space="preserve">1.10x</t>
  </si>
  <si>
    <t xml:space="preserve">1.20x</t>
  </si>
  <si>
    <t xml:space="preserve">1.35x</t>
  </si>
  <si>
    <t xml:space="preserve">LOW ⬆</t>
  </si>
  <si>
    <t xml:space="preserve">COST DRIVERS / CHI PHÍ</t>
  </si>
  <si>
    <t xml:space="preserve">Food cost % / % CP thực phẩm</t>
  </si>
  <si>
    <t xml:space="preserve">38%</t>
  </si>
  <si>
    <t xml:space="preserve">30%</t>
  </si>
  <si>
    <t xml:space="preserve">25%</t>
  </si>
  <si>
    <t xml:space="preserve">Input inflation / Lạm phát TP YoY</t>
  </si>
  <si>
    <t xml:space="preserve">Monthly rent / Thuê tháng (VNĐ)</t>
  </si>
  <si>
    <t xml:space="preserve">High</t>
  </si>
  <si>
    <t xml:space="preserve">Mid</t>
  </si>
  <si>
    <t xml:space="preserve">Low</t>
  </si>
  <si>
    <t xml:space="preserve">Payroll growth YoY / Tăng lương</t>
  </si>
  <si>
    <t xml:space="preserve">8%</t>
  </si>
  <si>
    <t xml:space="preserve">CAPEX &amp; FINANCING</t>
  </si>
  <si>
    <t xml:space="preserve">+20%</t>
  </si>
  <si>
    <t xml:space="preserve">Base</t>
  </si>
  <si>
    <t xml:space="preserve">-10%</t>
  </si>
  <si>
    <t xml:space="preserve">% of base</t>
  </si>
  <si>
    <t xml:space="preserve">Interest rate / Lãi suất</t>
  </si>
  <si>
    <t xml:space="preserve">12%</t>
  </si>
  <si>
    <t xml:space="preserve">9%</t>
  </si>
  <si>
    <t xml:space="preserve">7%</t>
  </si>
  <si>
    <t xml:space="preserve">Loan % of capex / % vốn vay</t>
  </si>
  <si>
    <t xml:space="preserve">70%</t>
  </si>
  <si>
    <t xml:space="preserve">50%</t>
  </si>
  <si>
    <t xml:space="preserve">% capex</t>
  </si>
  <si>
    <t xml:space="preserve">MARKET CONDITIONS / THỊ TRƯỜNG</t>
  </si>
  <si>
    <t xml:space="preserve">Ramp-up speed / Tốc độ ramp-up</t>
  </si>
  <si>
    <t xml:space="preserve">Slow (18M)</t>
  </si>
  <si>
    <t xml:space="preserve">Normal (12M)</t>
  </si>
  <si>
    <t xml:space="preserve">Fast (6M)</t>
  </si>
  <si>
    <t xml:space="preserve">Competitive pressure / CT cạnh tranh</t>
  </si>
  <si>
    <t xml:space="preserve">Medium</t>
  </si>
  <si>
    <t xml:space="preserve">Economic climate / Kinh tế vĩ mô</t>
  </si>
  <si>
    <t xml:space="preserve">Downturn</t>
  </si>
  <si>
    <t xml:space="preserve">Stable</t>
  </si>
  <si>
    <t xml:space="preserve">Growth</t>
  </si>
  <si>
    <t xml:space="preserve">EXPECTED OUTPUT KPIs / KẾT QUẢ DỰ KIẾN TỪNG KỊCH BẢN</t>
  </si>
  <si>
    <t xml:space="preserve">KPI</t>
  </si>
  <si>
    <t xml:space="preserve">BEAR Y1</t>
  </si>
  <si>
    <t xml:space="preserve">BASE Y1</t>
  </si>
  <si>
    <t xml:space="preserve">BULL Y1</t>
  </si>
  <si>
    <t xml:space="preserve">BASE Y2</t>
  </si>
  <si>
    <t xml:space="preserve">BASE Y3</t>
  </si>
  <si>
    <t xml:space="preserve">Gross Profit / LN Gộp (VNĐ)</t>
  </si>
  <si>
    <t xml:space="preserve">Gross Margin %</t>
  </si>
  <si>
    <t xml:space="preserve">EBITDA Margin %</t>
  </si>
  <si>
    <t xml:space="preserve">Net Margin %</t>
  </si>
  <si>
    <t xml:space="preserve">💡 TIP: To run a scenario → copy Bear/Bull values from column B/D above into the Assumptions sheet (blue cells), then note outputs. Use Ctrl+Z to revert. / Để chạy kịch bản → copy giá trị Bear/Bull vào sheet Assumptions (ô xanh), ghi lại kết quả. Ctrl+Z để hoàn tác.</t>
  </si>
  <si>
    <t xml:space="preserve">LOAN SCHEDULE / LỊCH VAY &amp; TRẢ NỢ</t>
  </si>
  <si>
    <t xml:space="preserve">PARAMETER / THÔNG SỐ</t>
  </si>
  <si>
    <t xml:space="preserve">Financed? (Vay/ Không vay)</t>
  </si>
  <si>
    <t xml:space="preserve">Yes/ Có</t>
  </si>
  <si>
    <t xml:space="preserve">Tỷ lệ vay</t>
  </si>
  <si>
    <t xml:space="preserve">Loan amount / Số tiền vay (VNĐ)</t>
  </si>
  <si>
    <t xml:space="preserve">← Enter value / Nhập giá trị</t>
  </si>
  <si>
    <t xml:space="preserve">Annual interest rate / Lãi suất năm (%)</t>
  </si>
  <si>
    <t xml:space="preserve">Loan term / Thời hạn (months)</t>
  </si>
  <si>
    <t xml:space="preserve">Grace period / Ân hạn (months)</t>
  </si>
  <si>
    <t xml:space="preserve">Drawdown month / Tháng giải ngân</t>
  </si>
  <si>
    <t xml:space="preserve">Loan type / Loại vay</t>
  </si>
  <si>
    <t xml:space="preserve">Annuity</t>
  </si>
  <si>
    <t xml:space="preserve">PERIOD
KỲ</t>
  </si>
  <si>
    <t xml:space="preserve">MONTH
THÁNG</t>
  </si>
  <si>
    <t xml:space="preserve">OPENING BALANCE
DƯ NỢ ĐẦU KỲ</t>
  </si>
  <si>
    <t xml:space="preserve">INTEREST
LÃI VAY</t>
  </si>
  <si>
    <t xml:space="preserve">PRINCIPAL
GỐC TRẢ</t>
  </si>
  <si>
    <t xml:space="preserve">TOTAL PAYMENT
TỔNG TRẢ</t>
  </si>
  <si>
    <t xml:space="preserve">CLOSING BALANCE
DƯ NỢ CUỐI KỲ</t>
  </si>
  <si>
    <t xml:space="preserve">TOTAL</t>
  </si>
  <si>
    <t xml:space="preserve">No/ Không</t>
  </si>
  <si>
    <t xml:space="preserve">Phân khúc</t>
  </si>
  <si>
    <t xml:space="preserve">Avg Price/m2</t>
  </si>
  <si>
    <t xml:space="preserve">Main Area – close to sword lake (Lê Thái Tổ, Đinh Tiên Hoàng, Hàng Khay, Tràng Tiền)</t>
  </si>
  <si>
    <t xml:space="preserve">Old Quarters(Hàng Đào, Lý Quốc Sư, Lý Thái Tổ)</t>
  </si>
  <si>
    <t xml:space="preserve">Index</t>
  </si>
  <si>
    <t xml:space="preserve">Hot months (Hệ số điều chỉnh tiêu thụ điện các tháng trong năm)</t>
  </si>
  <si>
    <t xml:space="preserve">Holidays (Hệ số điều chỉnh vụ mùa các dịp lễ)</t>
  </si>
  <si>
    <t xml:space="preserve">Ramp-up Pesimistic</t>
  </si>
  <si>
    <t xml:space="preserve">Ramp-up Optimistic</t>
  </si>
  <si>
    <r>
      <rPr>
        <sz val="11"/>
        <color theme="1"/>
        <rFont val="Arial"/>
        <family val="2"/>
        <charset val="1"/>
      </rPr>
      <t xml:space="preserve">Marketing Cots</t>
    </r>
    <r>
      <rPr>
        <sz val="10"/>
        <color theme="1"/>
        <rFont val="Arial"/>
        <family val="0"/>
        <charset val="1"/>
      </rPr>
      <t xml:space="preserve"> (% of Rev)</t>
    </r>
  </si>
  <si>
    <t xml:space="preserve">Default Marketing Cost (% of Rev) </t>
  </si>
</sst>
</file>

<file path=xl/styles.xml><?xml version="1.0" encoding="utf-8"?>
<styleSheet xmlns="http://schemas.openxmlformats.org/spreadsheetml/2006/main">
  <numFmts count="12">
    <numFmt numFmtId="164" formatCode="General"/>
    <numFmt numFmtId="165" formatCode="mmmm\ d&quot;, &quot;yyyy"/>
    <numFmt numFmtId="166" formatCode="#,##0"/>
    <numFmt numFmtId="167" formatCode="#,##0.00"/>
    <numFmt numFmtId="168" formatCode="#,##0;\(#,##0\);\-"/>
    <numFmt numFmtId="169" formatCode="0.00%"/>
    <numFmt numFmtId="170" formatCode="0.0%;\(0.0%\);\-"/>
    <numFmt numFmtId="171" formatCode="mmm\ d&quot;, &quot;yyyy"/>
    <numFmt numFmtId="172" formatCode="#,##0.00;\(#,##0.00\);\-"/>
    <numFmt numFmtId="173" formatCode="mm/dd/yy"/>
    <numFmt numFmtId="174" formatCode="#,##0.00_);\(#,##0.00\)"/>
    <numFmt numFmtId="175" formatCode="0%"/>
  </numFmts>
  <fonts count="37">
    <font>
      <sz val="11"/>
      <color theme="1"/>
      <name val="Calibri"/>
      <family val="2"/>
      <charset val="1"/>
    </font>
    <font>
      <sz val="10"/>
      <name val="Arial"/>
      <family val="0"/>
    </font>
    <font>
      <sz val="10"/>
      <name val="Arial"/>
      <family val="0"/>
    </font>
    <font>
      <sz val="10"/>
      <name val="Arial"/>
      <family val="0"/>
    </font>
    <font>
      <sz val="11"/>
      <color theme="1"/>
      <name val="arial"/>
      <family val="2"/>
      <charset val="1"/>
    </font>
    <font>
      <b val="true"/>
      <sz val="14"/>
      <color rgb="FFFFFFFF"/>
      <name val="arial"/>
      <family val="2"/>
      <charset val="1"/>
    </font>
    <font>
      <b val="true"/>
      <sz val="11"/>
      <color theme="1"/>
      <name val="arial"/>
      <family val="2"/>
      <charset val="1"/>
    </font>
    <font>
      <sz val="10"/>
      <color theme="1"/>
      <name val="Arial"/>
      <family val="0"/>
      <charset val="1"/>
    </font>
    <font>
      <sz val="10"/>
      <color theme="1"/>
      <name val="Arial"/>
      <family val="2"/>
      <charset val="1"/>
    </font>
    <font>
      <sz val="10"/>
      <name val="Arial"/>
      <family val="2"/>
    </font>
    <font>
      <b val="true"/>
      <sz val="22"/>
      <color theme="1"/>
      <name val="Arial"/>
      <family val="0"/>
      <charset val="1"/>
    </font>
    <font>
      <i val="true"/>
      <sz val="10"/>
      <color theme="1"/>
      <name val="Arial"/>
      <family val="0"/>
      <charset val="1"/>
    </font>
    <font>
      <b val="true"/>
      <sz val="10"/>
      <color theme="1"/>
      <name val="Arial"/>
      <family val="0"/>
      <charset val="1"/>
    </font>
    <font>
      <i val="true"/>
      <sz val="9"/>
      <color theme="1"/>
      <name val="Arial"/>
      <family val="0"/>
      <charset val="1"/>
    </font>
    <font>
      <b val="true"/>
      <sz val="14"/>
      <color theme="1"/>
      <name val="Arial"/>
      <family val="0"/>
      <charset val="1"/>
    </font>
    <font>
      <b val="true"/>
      <sz val="9"/>
      <color theme="1"/>
      <name val="Arial"/>
      <family val="0"/>
      <charset val="1"/>
    </font>
    <font>
      <sz val="9"/>
      <color theme="1"/>
      <name val="Arial"/>
      <family val="0"/>
      <charset val="1"/>
    </font>
    <font>
      <b val="true"/>
      <sz val="9"/>
      <color rgb="FF000000"/>
      <name val="Arial"/>
      <family val="0"/>
      <charset val="1"/>
    </font>
    <font>
      <b val="true"/>
      <sz val="8"/>
      <color rgb="FF000000"/>
      <name val="Arial"/>
      <family val="0"/>
      <charset val="1"/>
    </font>
    <font>
      <sz val="10"/>
      <color theme="1"/>
      <name val="Arial"/>
      <family val="0"/>
    </font>
    <font>
      <b val="true"/>
      <sz val="8"/>
      <color theme="1"/>
      <name val="Arial"/>
      <family val="0"/>
      <charset val="1"/>
    </font>
    <font>
      <sz val="11"/>
      <color theme="1"/>
      <name val="Arial"/>
      <family val="2"/>
      <charset val="1"/>
    </font>
    <font>
      <b val="true"/>
      <sz val="14"/>
      <color rgb="FFFFFFFF"/>
      <name val="Arial"/>
      <family val="2"/>
      <charset val="1"/>
    </font>
    <font>
      <b val="true"/>
      <sz val="9"/>
      <color rgb="FFFFFFFF"/>
      <name val="Arial"/>
      <family val="2"/>
      <charset val="1"/>
    </font>
    <font>
      <sz val="9"/>
      <color theme="1"/>
      <name val="Arial"/>
      <family val="2"/>
      <charset val="1"/>
    </font>
    <font>
      <b val="true"/>
      <sz val="10"/>
      <color theme="1"/>
      <name val="Arial"/>
      <family val="2"/>
      <charset val="1"/>
    </font>
    <font>
      <b val="true"/>
      <sz val="11"/>
      <color rgb="FFFFFFFF"/>
      <name val="Arial"/>
      <family val="2"/>
      <charset val="1"/>
    </font>
    <font>
      <b val="true"/>
      <sz val="10"/>
      <color rgb="FF000000"/>
      <name val="Arial"/>
      <family val="0"/>
      <charset val="1"/>
    </font>
    <font>
      <b val="true"/>
      <sz val="14"/>
      <color theme="1"/>
      <name val="Arial"/>
      <family val="2"/>
      <charset val="1"/>
    </font>
    <font>
      <sz val="11"/>
      <color rgb="FFFFFFFF"/>
      <name val="Arial"/>
      <family val="2"/>
      <charset val="1"/>
    </font>
    <font>
      <b val="true"/>
      <sz val="8"/>
      <color rgb="FFFFFFFF"/>
      <name val="Arial"/>
      <family val="2"/>
      <charset val="1"/>
    </font>
    <font>
      <b val="true"/>
      <sz val="10"/>
      <color rgb="FFFFFFFF"/>
      <name val="Arial"/>
      <family val="2"/>
      <charset val="1"/>
    </font>
    <font>
      <i val="true"/>
      <sz val="11"/>
      <color theme="1"/>
      <name val="Arial"/>
      <family val="2"/>
      <charset val="1"/>
    </font>
    <font>
      <i val="true"/>
      <sz val="9"/>
      <color theme="1"/>
      <name val="Arial"/>
      <family val="2"/>
      <charset val="1"/>
    </font>
    <font>
      <i val="true"/>
      <sz val="11"/>
      <color theme="1"/>
      <name val="Arial"/>
      <family val="2"/>
    </font>
    <font>
      <b val="true"/>
      <sz val="11"/>
      <color theme="1"/>
      <name val="Arial"/>
      <family val="2"/>
      <charset val="1"/>
    </font>
    <font>
      <sz val="8"/>
      <color theme="1"/>
      <name val="Arial"/>
      <family val="0"/>
      <charset val="1"/>
    </font>
  </fonts>
  <fills count="12">
    <fill>
      <patternFill patternType="none"/>
    </fill>
    <fill>
      <patternFill patternType="gray125"/>
    </fill>
    <fill>
      <patternFill patternType="solid">
        <fgColor rgb="FF1A3C34"/>
        <bgColor rgb="FF263238"/>
      </patternFill>
    </fill>
    <fill>
      <patternFill patternType="solid">
        <fgColor rgb="FFFFFDE7"/>
        <bgColor rgb="FFFFF3E0"/>
      </patternFill>
    </fill>
    <fill>
      <patternFill patternType="solid">
        <fgColor rgb="FFFFFFFF"/>
        <bgColor rgb="FFFFFDE7"/>
      </patternFill>
    </fill>
    <fill>
      <patternFill patternType="solid">
        <fgColor rgb="FF2E6B50"/>
        <bgColor rgb="FF008080"/>
      </patternFill>
    </fill>
    <fill>
      <patternFill patternType="solid">
        <fgColor rgb="FFF2F8F5"/>
        <bgColor rgb="FFE8F5E9"/>
      </patternFill>
    </fill>
    <fill>
      <patternFill patternType="solid">
        <fgColor rgb="FFD6EAE1"/>
        <bgColor rgb="FFE8F5E9"/>
      </patternFill>
    </fill>
    <fill>
      <patternFill patternType="solid">
        <fgColor rgb="FFFFF3E0"/>
        <bgColor rgb="FFFFEBEE"/>
      </patternFill>
    </fill>
    <fill>
      <patternFill patternType="solid">
        <fgColor rgb="FF4CAF7D"/>
        <bgColor rgb="FF33CCCC"/>
      </patternFill>
    </fill>
    <fill>
      <patternFill patternType="solid">
        <fgColor rgb="FFFFEBEE"/>
        <bgColor rgb="FFFFF3E0"/>
      </patternFill>
    </fill>
    <fill>
      <patternFill patternType="solid">
        <fgColor rgb="FFE8F5E9"/>
        <bgColor rgb="FFF2F8F5"/>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color rgb="FFBDBDBD"/>
      </left>
      <right style="thin">
        <color rgb="FFBDBDBD"/>
      </right>
      <top style="thin">
        <color rgb="FFBDBDBD"/>
      </top>
      <bottom style="thin">
        <color rgb="FFBDBDBD"/>
      </bottom>
      <diagonal/>
    </border>
    <border diagonalUp="false" diagonalDown="false">
      <left style="thin">
        <color rgb="FFBDBDBD"/>
      </left>
      <right/>
      <top style="thin">
        <color rgb="FFBDBDBD"/>
      </top>
      <bottom style="thin">
        <color rgb="FFBDBD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center" vertical="center"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5" fontId="7" fillId="3" borderId="2" xfId="0" applyFont="true" applyBorder="true" applyAlignment="true" applyProtection="true">
      <alignment horizontal="right" vertical="center" textRotation="0" wrapText="false" indent="0" shrinkToFit="false"/>
      <protection locked="true" hidden="false"/>
    </xf>
    <xf numFmtId="166" fontId="7" fillId="3" borderId="2" xfId="0" applyFont="true" applyBorder="true" applyAlignment="true" applyProtection="true">
      <alignment horizontal="right" vertical="center" textRotation="0" wrapText="true" indent="0" shrinkToFit="false"/>
      <protection locked="true" hidden="false"/>
    </xf>
    <xf numFmtId="166" fontId="7" fillId="3" borderId="2" xfId="0" applyFont="true" applyBorder="true" applyAlignment="true" applyProtection="true">
      <alignment horizontal="right" vertical="center" textRotation="0" wrapText="false" indent="0" shrinkToFit="false"/>
      <protection locked="true" hidden="false"/>
    </xf>
    <xf numFmtId="167" fontId="4" fillId="3"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4" fillId="3" borderId="1" xfId="0" applyFont="true" applyBorder="true" applyAlignment="true" applyProtection="true">
      <alignment horizontal="right"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xf numFmtId="166" fontId="7" fillId="3" borderId="1" xfId="0" applyFont="true" applyBorder="true" applyAlignment="true" applyProtection="true">
      <alignment horizontal="right" vertical="center" textRotation="0" wrapText="false" indent="0" shrinkToFit="false"/>
      <protection locked="true" hidden="false"/>
    </xf>
    <xf numFmtId="166" fontId="7" fillId="0" borderId="1" xfId="0" applyFont="true" applyBorder="true" applyAlignment="true" applyProtection="true">
      <alignment horizontal="right" vertical="center" textRotation="0" wrapText="false" indent="0" shrinkToFit="false"/>
      <protection locked="true" hidden="false"/>
    </xf>
    <xf numFmtId="168" fontId="8" fillId="4" borderId="2" xfId="0" applyFont="true" applyBorder="true" applyAlignment="true" applyProtection="true">
      <alignment horizontal="right" vertical="center" textRotation="0" wrapText="fals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right"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9" fontId="0" fillId="0" borderId="1" xfId="0" applyFont="false" applyBorder="true" applyAlignment="true" applyProtection="true">
      <alignment horizontal="general" vertical="bottom" textRotation="0" wrapText="false" indent="0" shrinkToFit="false"/>
      <protection locked="true" hidden="false"/>
    </xf>
    <xf numFmtId="167" fontId="4" fillId="0" borderId="1" xfId="0" applyFont="true" applyBorder="true" applyAlignment="true" applyProtection="true">
      <alignment horizontal="general" vertical="bottom" textRotation="0" wrapText="false" indent="0" shrinkToFit="false"/>
      <protection locked="true" hidden="false"/>
    </xf>
    <xf numFmtId="169" fontId="4"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9" fontId="6" fillId="0" borderId="1" xfId="0" applyFont="true" applyBorder="true" applyAlignment="true" applyProtection="true">
      <alignment horizontal="general" vertical="bottom" textRotation="0" wrapText="false" indent="0" shrinkToFit="false"/>
      <protection locked="true" hidden="false"/>
    </xf>
    <xf numFmtId="167" fontId="6" fillId="0" borderId="1" xfId="0" applyFont="true" applyBorder="true" applyAlignment="true" applyProtection="true">
      <alignment horizontal="general" vertical="bottom" textRotation="0" wrapText="false" indent="0" shrinkToFit="false"/>
      <protection locked="true" hidden="false"/>
    </xf>
    <xf numFmtId="164" fontId="10" fillId="2" borderId="0" xfId="0" applyFont="true" applyBorder="true" applyAlignment="true" applyProtection="true">
      <alignment horizontal="center" vertical="center" textRotation="0" wrapText="true" indent="0" shrinkToFit="false"/>
      <protection locked="true" hidden="false"/>
    </xf>
    <xf numFmtId="164" fontId="11" fillId="2" borderId="0" xfId="0" applyFont="true" applyBorder="true" applyAlignment="true" applyProtection="true">
      <alignment horizontal="center" vertical="center" textRotation="0" wrapText="false" indent="0" shrinkToFit="false"/>
      <protection locked="true" hidden="false"/>
    </xf>
    <xf numFmtId="164" fontId="12" fillId="5" borderId="3" xfId="0" applyFont="true" applyBorder="true" applyAlignment="true" applyProtection="true">
      <alignment horizontal="left" vertical="center" textRotation="0" wrapText="false" indent="0" shrinkToFit="false"/>
      <protection locked="true" hidden="false"/>
    </xf>
    <xf numFmtId="164" fontId="0" fillId="5" borderId="2" xfId="0" applyFont="false" applyBorder="true" applyAlignment="true" applyProtection="true">
      <alignment horizontal="left" vertical="center" textRotation="0" wrapText="false" indent="0" shrinkToFit="false"/>
      <protection locked="true" hidden="false"/>
    </xf>
    <xf numFmtId="164" fontId="12" fillId="6" borderId="2" xfId="0" applyFont="true" applyBorder="true" applyAlignment="true" applyProtection="true">
      <alignment horizontal="left" vertical="center" textRotation="0" wrapText="false" indent="0" shrinkToFit="false"/>
      <protection locked="true" hidden="false"/>
    </xf>
    <xf numFmtId="164" fontId="7" fillId="3" borderId="2" xfId="0" applyFont="true" applyBorder="true" applyAlignment="true" applyProtection="true">
      <alignment horizontal="left" vertical="center" textRotation="0" wrapText="false" indent="0" shrinkToFit="false"/>
      <protection locked="true" hidden="false"/>
    </xf>
    <xf numFmtId="164" fontId="0" fillId="6" borderId="2" xfId="0" applyFont="false" applyBorder="true" applyAlignment="true" applyProtection="true">
      <alignment horizontal="left" vertical="center" textRotation="0" wrapText="false" indent="0" shrinkToFit="false"/>
      <protection locked="true" hidden="false"/>
    </xf>
    <xf numFmtId="164" fontId="12" fillId="4" borderId="2" xfId="0" applyFont="true" applyBorder="true" applyAlignment="true" applyProtection="true">
      <alignment horizontal="left" vertical="center" textRotation="0" wrapText="false" indent="0" shrinkToFit="false"/>
      <protection locked="true" hidden="false"/>
    </xf>
    <xf numFmtId="164" fontId="0" fillId="4" borderId="2" xfId="0" applyFont="false" applyBorder="true" applyAlignment="true" applyProtection="true">
      <alignment horizontal="left" vertical="center" textRotation="0" wrapText="false" indent="0" shrinkToFit="false"/>
      <protection locked="true" hidden="false"/>
    </xf>
    <xf numFmtId="164" fontId="12" fillId="5" borderId="2" xfId="0" applyFont="true" applyBorder="true" applyAlignment="true" applyProtection="true">
      <alignment horizontal="left" vertical="center" textRotation="0" wrapText="false" indent="0" shrinkToFit="false"/>
      <protection locked="true" hidden="false"/>
    </xf>
    <xf numFmtId="164" fontId="7" fillId="6" borderId="2" xfId="0" applyFont="true" applyBorder="true" applyAlignment="true" applyProtection="true">
      <alignment horizontal="left" vertical="center" textRotation="0" wrapText="false" indent="0" shrinkToFit="false"/>
      <protection locked="true" hidden="false"/>
    </xf>
    <xf numFmtId="164" fontId="7" fillId="4" borderId="2" xfId="0" applyFont="true" applyBorder="true" applyAlignment="true" applyProtection="true">
      <alignment horizontal="left" vertical="center" textRotation="0" wrapText="false" indent="0" shrinkToFit="false"/>
      <protection locked="true" hidden="false"/>
    </xf>
    <xf numFmtId="164" fontId="0" fillId="3" borderId="2" xfId="0" applyFont="false" applyBorder="true" applyAlignment="true" applyProtection="true">
      <alignment horizontal="left" vertical="center" textRotation="0" wrapText="false" indent="0" shrinkToFit="false"/>
      <protection locked="true" hidden="false"/>
    </xf>
    <xf numFmtId="164" fontId="7" fillId="7" borderId="2" xfId="0" applyFont="true" applyBorder="true" applyAlignment="true" applyProtection="true">
      <alignment horizontal="left" vertical="center" textRotation="0" wrapText="false" indent="0" shrinkToFit="false"/>
      <protection locked="true" hidden="false"/>
    </xf>
    <xf numFmtId="164" fontId="0" fillId="7" borderId="2" xfId="0" applyFont="false" applyBorder="true" applyAlignment="true" applyProtection="true">
      <alignment horizontal="left" vertical="center" textRotation="0" wrapText="false" indent="0" shrinkToFit="false"/>
      <protection locked="true" hidden="false"/>
    </xf>
    <xf numFmtId="164" fontId="13" fillId="8" borderId="3" xfId="0" applyFont="true" applyBorder="true" applyAlignment="true" applyProtection="true">
      <alignment horizontal="left" vertical="center" textRotation="0" wrapText="true" indent="0" shrinkToFit="false"/>
      <protection locked="true" hidden="false"/>
    </xf>
    <xf numFmtId="164" fontId="14" fillId="2" borderId="0" xfId="0" applyFont="true" applyBorder="true" applyAlignment="true" applyProtection="true">
      <alignment horizontal="center" vertical="center" textRotation="0" wrapText="false" indent="0" shrinkToFit="false"/>
      <protection locked="true" hidden="false"/>
    </xf>
    <xf numFmtId="164" fontId="15" fillId="2" borderId="2" xfId="0" applyFont="true" applyBorder="true" applyAlignment="true" applyProtection="true">
      <alignment horizontal="center" vertical="center" textRotation="0" wrapText="false" indent="0" shrinkToFit="false"/>
      <protection locked="true" hidden="false"/>
    </xf>
    <xf numFmtId="164" fontId="15" fillId="5" borderId="3" xfId="0" applyFont="true" applyBorder="true" applyAlignment="true" applyProtection="true">
      <alignment horizontal="left" vertical="center" textRotation="0" wrapText="false" indent="0" shrinkToFit="false"/>
      <protection locked="true" hidden="false"/>
    </xf>
    <xf numFmtId="164" fontId="7" fillId="3" borderId="2" xfId="0" applyFont="true" applyBorder="true" applyAlignment="true" applyProtection="true">
      <alignment horizontal="right" vertical="center" textRotation="0" wrapText="false" indent="0" shrinkToFit="false"/>
      <protection locked="true" hidden="false"/>
    </xf>
    <xf numFmtId="164" fontId="16" fillId="4" borderId="2" xfId="0" applyFont="true" applyBorder="true" applyAlignment="true" applyProtection="true">
      <alignment horizontal="left" vertical="center" textRotation="0" wrapText="false" indent="0" shrinkToFit="false"/>
      <protection locked="true" hidden="false"/>
    </xf>
    <xf numFmtId="164" fontId="16" fillId="4" borderId="2" xfId="0" applyFont="true" applyBorder="true" applyAlignment="true" applyProtection="true">
      <alignment horizontal="center" vertical="center" textRotation="0" wrapText="false" indent="0" shrinkToFit="false"/>
      <protection locked="true" hidden="false"/>
    </xf>
    <xf numFmtId="164" fontId="16" fillId="4" borderId="2" xfId="0" applyFont="true" applyBorder="true" applyAlignment="true" applyProtection="true">
      <alignment horizontal="left" vertical="center" textRotation="0" wrapText="true" indent="0" shrinkToFit="false"/>
      <protection locked="true" hidden="false"/>
    </xf>
    <xf numFmtId="164" fontId="16" fillId="6" borderId="2" xfId="0" applyFont="true" applyBorder="true" applyAlignment="true" applyProtection="true">
      <alignment horizontal="left" vertical="center" textRotation="0" wrapText="false" indent="0" shrinkToFit="false"/>
      <protection locked="true" hidden="false"/>
    </xf>
    <xf numFmtId="164" fontId="16" fillId="6" borderId="2" xfId="0" applyFont="true" applyBorder="true" applyAlignment="true" applyProtection="true">
      <alignment horizontal="center" vertical="center" textRotation="0" wrapText="false" indent="0" shrinkToFit="false"/>
      <protection locked="true" hidden="false"/>
    </xf>
    <xf numFmtId="164" fontId="16" fillId="6" borderId="2" xfId="0" applyFont="true" applyBorder="true" applyAlignment="true" applyProtection="true">
      <alignment horizontal="left" vertical="center" textRotation="0" wrapText="true" indent="0" shrinkToFit="false"/>
      <protection locked="true" hidden="false"/>
    </xf>
    <xf numFmtId="170" fontId="7" fillId="3" borderId="2" xfId="0" applyFont="true" applyBorder="true" applyAlignment="true" applyProtection="true">
      <alignment horizontal="right" vertical="center" textRotation="0" wrapText="false" indent="0" shrinkToFit="false"/>
      <protection locked="true" hidden="false"/>
    </xf>
    <xf numFmtId="164" fontId="14" fillId="9" borderId="0" xfId="0" applyFont="true" applyBorder="true" applyAlignment="true" applyProtection="true">
      <alignment horizontal="center" vertical="center" textRotation="0" wrapText="false" indent="0" shrinkToFit="false"/>
      <protection locked="true" hidden="false"/>
    </xf>
    <xf numFmtId="164" fontId="14" fillId="2" borderId="0" xfId="0" applyFont="true" applyBorder="false" applyAlignment="true" applyProtection="true">
      <alignment horizontal="center" vertical="center" textRotation="0" wrapText="false" indent="0" shrinkToFit="false"/>
      <protection locked="true" hidden="false"/>
    </xf>
    <xf numFmtId="164" fontId="17" fillId="9" borderId="0" xfId="0" applyFont="true" applyBorder="false" applyAlignment="true" applyProtection="true">
      <alignment horizontal="left" vertical="center" textRotation="0" wrapText="false" indent="0" shrinkToFit="false"/>
      <protection locked="true" hidden="false"/>
    </xf>
    <xf numFmtId="164" fontId="17" fillId="9" borderId="0" xfId="0" applyFont="true" applyBorder="false" applyAlignment="true" applyProtection="true">
      <alignment horizontal="center" vertical="center" textRotation="0" wrapText="false" indent="0" shrinkToFit="false"/>
      <protection locked="true" hidden="false"/>
    </xf>
    <xf numFmtId="171" fontId="18" fillId="9" borderId="0" xfId="0" applyFont="true" applyBorder="false" applyAlignment="true" applyProtection="true">
      <alignment horizontal="center" vertical="center" textRotation="0" wrapText="false" indent="0" shrinkToFit="false"/>
      <protection locked="true" hidden="false"/>
    </xf>
    <xf numFmtId="164" fontId="15" fillId="9" borderId="3" xfId="0" applyFont="true" applyBorder="true" applyAlignment="true" applyProtection="true">
      <alignment horizontal="left" vertical="center" textRotation="0" wrapText="false" indent="0" shrinkToFit="false"/>
      <protection locked="true" hidden="false"/>
    </xf>
    <xf numFmtId="168" fontId="7" fillId="4" borderId="2" xfId="0" applyFont="true" applyBorder="true" applyAlignment="true" applyProtection="true">
      <alignment horizontal="right" vertical="center" textRotation="0" wrapText="false" indent="0" shrinkToFit="false"/>
      <protection locked="true" hidden="false"/>
    </xf>
    <xf numFmtId="167" fontId="7" fillId="3" borderId="2" xfId="0" applyFont="true" applyBorder="true" applyAlignment="true" applyProtection="true">
      <alignment horizontal="right" vertical="center" textRotation="0" wrapText="false" indent="0" shrinkToFit="false"/>
      <protection locked="true" hidden="false"/>
    </xf>
    <xf numFmtId="172" fontId="7" fillId="4" borderId="2" xfId="0" applyFont="true" applyBorder="true" applyAlignment="true" applyProtection="true">
      <alignment horizontal="right" vertical="center" textRotation="0" wrapText="false" indent="0" shrinkToFit="false"/>
      <protection locked="true" hidden="false"/>
    </xf>
    <xf numFmtId="172" fontId="7" fillId="3" borderId="2" xfId="0" applyFont="true" applyBorder="true" applyAlignment="true" applyProtection="true">
      <alignment horizontal="right" vertical="center" textRotation="0" wrapText="false" indent="0" shrinkToFit="false"/>
      <protection locked="true" hidden="false"/>
    </xf>
    <xf numFmtId="168" fontId="7" fillId="3" borderId="2" xfId="0" applyFont="true" applyBorder="true" applyAlignment="true" applyProtection="true">
      <alignment horizontal="right" vertical="center" textRotation="0" wrapText="false" indent="0" shrinkToFit="false"/>
      <protection locked="true" hidden="false"/>
    </xf>
    <xf numFmtId="169" fontId="7" fillId="4" borderId="2" xfId="0" applyFont="true" applyBorder="true" applyAlignment="true" applyProtection="true">
      <alignment horizontal="right" vertical="center" textRotation="0" wrapText="false" indent="0" shrinkToFit="false"/>
      <protection locked="true" hidden="false"/>
    </xf>
    <xf numFmtId="164" fontId="12" fillId="7" borderId="2" xfId="0" applyFont="true" applyBorder="true" applyAlignment="true" applyProtection="true">
      <alignment horizontal="left" vertical="center" textRotation="0" wrapText="false" indent="0" shrinkToFit="false"/>
      <protection locked="true" hidden="false"/>
    </xf>
    <xf numFmtId="168" fontId="12" fillId="7" borderId="2" xfId="0" applyFont="true" applyBorder="true" applyAlignment="true" applyProtection="true">
      <alignment horizontal="right" vertical="center" textRotation="0" wrapText="false" indent="0" shrinkToFit="false"/>
      <protection locked="true" hidden="false"/>
    </xf>
    <xf numFmtId="168" fontId="7" fillId="6" borderId="2" xfId="0" applyFont="true" applyBorder="true" applyAlignment="true" applyProtection="true">
      <alignment horizontal="right" vertical="center" textRotation="0" wrapText="false" indent="0" shrinkToFit="false"/>
      <protection locked="true" hidden="false"/>
    </xf>
    <xf numFmtId="164" fontId="12" fillId="9" borderId="2" xfId="0" applyFont="true" applyBorder="true" applyAlignment="true" applyProtection="true">
      <alignment horizontal="left" vertical="center" textRotation="0" wrapText="false" indent="0" shrinkToFit="false"/>
      <protection locked="true" hidden="false"/>
    </xf>
    <xf numFmtId="168" fontId="12" fillId="9" borderId="2" xfId="0" applyFont="true" applyBorder="true" applyAlignment="true" applyProtection="true">
      <alignment horizontal="right" vertical="center" textRotation="0" wrapText="fals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9" fontId="19"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4" fontId="0" fillId="9" borderId="0" xfId="0" applyFont="false" applyBorder="false" applyAlignment="true" applyProtection="true">
      <alignment horizontal="left" vertical="center" textRotation="0" wrapText="false" indent="0" shrinkToFit="false"/>
      <protection locked="true" hidden="false"/>
    </xf>
    <xf numFmtId="164" fontId="15" fillId="9" borderId="0" xfId="0" applyFont="true" applyBorder="false" applyAlignment="true" applyProtection="true">
      <alignment horizontal="center" vertical="center" textRotation="0" wrapText="false" indent="0" shrinkToFit="false"/>
      <protection locked="true" hidden="false"/>
    </xf>
    <xf numFmtId="164" fontId="15" fillId="9" borderId="0" xfId="0" applyFont="true" applyBorder="true" applyAlignment="true" applyProtection="true">
      <alignment horizontal="center" vertical="center" textRotation="0" wrapText="false" indent="0" shrinkToFit="false"/>
      <protection locked="true" hidden="false"/>
    </xf>
    <xf numFmtId="164" fontId="15" fillId="9" borderId="0" xfId="0" applyFont="true" applyBorder="false" applyAlignment="true" applyProtection="true">
      <alignment horizontal="left" vertical="center" textRotation="0" wrapText="false" indent="0" shrinkToFit="false"/>
      <protection locked="true" hidden="false"/>
    </xf>
    <xf numFmtId="164" fontId="15" fillId="9" borderId="0" xfId="0" applyFont="true" applyBorder="false" applyAlignment="true" applyProtection="true">
      <alignment horizontal="center" vertical="center" textRotation="0" wrapText="true" indent="0" shrinkToFit="false"/>
      <protection locked="true" hidden="false"/>
    </xf>
    <xf numFmtId="173" fontId="20" fillId="9" borderId="0" xfId="0" applyFont="true" applyBorder="false" applyAlignment="true" applyProtection="true">
      <alignment horizontal="center" vertical="center" textRotation="0" wrapText="false" indent="0" shrinkToFit="false"/>
      <protection locked="true" hidden="false"/>
    </xf>
    <xf numFmtId="170" fontId="7" fillId="4" borderId="2" xfId="0" applyFont="true" applyBorder="true" applyAlignment="true" applyProtection="true">
      <alignment horizontal="right" vertical="center" textRotation="0" wrapText="false" indent="0" shrinkToFit="false"/>
      <protection locked="true" hidden="false"/>
    </xf>
    <xf numFmtId="169" fontId="7" fillId="3" borderId="2" xfId="0" applyFont="true" applyBorder="true" applyAlignment="true" applyProtection="true">
      <alignment horizontal="right" vertical="center" textRotation="0" wrapText="false" indent="0" shrinkToFit="false"/>
      <protection locked="true" hidden="false"/>
    </xf>
    <xf numFmtId="170" fontId="7" fillId="6" borderId="2" xfId="0" applyFont="true" applyBorder="true" applyAlignment="true" applyProtection="true">
      <alignment horizontal="right" vertical="center"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22" fillId="9" borderId="0" xfId="0" applyFont="true" applyBorder="true" applyAlignment="true" applyProtection="true">
      <alignment horizontal="center" vertical="center" textRotation="0" wrapText="false" indent="0" shrinkToFit="false"/>
      <protection locked="true" hidden="false"/>
    </xf>
    <xf numFmtId="164" fontId="23" fillId="9" borderId="2" xfId="0" applyFont="true" applyBorder="true" applyAlignment="true" applyProtection="true">
      <alignment horizontal="center" vertical="center" textRotation="0" wrapText="true" indent="0" shrinkToFit="false"/>
      <protection locked="true" hidden="false"/>
    </xf>
    <xf numFmtId="164" fontId="23" fillId="9" borderId="2" xfId="0" applyFont="true" applyBorder="true" applyAlignment="true" applyProtection="true">
      <alignment horizontal="center" vertical="top" textRotation="0" wrapText="true" indent="0" shrinkToFit="false"/>
      <protection locked="true" hidden="false"/>
    </xf>
    <xf numFmtId="164" fontId="8" fillId="4" borderId="2" xfId="0" applyFont="true" applyBorder="true" applyAlignment="true" applyProtection="true">
      <alignment horizontal="left" vertical="center" textRotation="0" wrapText="false" indent="0" shrinkToFit="false"/>
      <protection locked="true" hidden="false"/>
    </xf>
    <xf numFmtId="164" fontId="8" fillId="3" borderId="2" xfId="0" applyFont="true" applyBorder="true" applyAlignment="true" applyProtection="true">
      <alignment horizontal="right" vertical="center" textRotation="0" wrapText="false" indent="0" shrinkToFit="false"/>
      <protection locked="true" hidden="false"/>
    </xf>
    <xf numFmtId="167" fontId="8" fillId="3" borderId="2" xfId="0" applyFont="true" applyBorder="true" applyAlignment="true" applyProtection="true">
      <alignment horizontal="right" vertical="center" textRotation="0" wrapText="false" indent="0" shrinkToFit="false"/>
      <protection locked="true" hidden="false"/>
    </xf>
    <xf numFmtId="164" fontId="24" fillId="4" borderId="2" xfId="0" applyFont="true" applyBorder="true" applyAlignment="true" applyProtection="true">
      <alignment horizontal="left" vertical="center" textRotation="0" wrapText="true" indent="0" shrinkToFit="false"/>
      <protection locked="true" hidden="false"/>
    </xf>
    <xf numFmtId="168" fontId="21" fillId="0" borderId="1" xfId="0" applyFont="true" applyBorder="true" applyAlignment="true" applyProtection="true">
      <alignment horizontal="general" vertical="bottom" textRotation="0" wrapText="false" indent="0" shrinkToFit="false"/>
      <protection locked="true" hidden="false"/>
    </xf>
    <xf numFmtId="164" fontId="25" fillId="7" borderId="2" xfId="0" applyFont="true" applyBorder="true" applyAlignment="true" applyProtection="true">
      <alignment horizontal="left" vertical="center" textRotation="0" wrapText="false" indent="0" shrinkToFit="false"/>
      <protection locked="true" hidden="false"/>
    </xf>
    <xf numFmtId="168" fontId="25" fillId="7" borderId="2" xfId="0" applyFont="true" applyBorder="true" applyAlignment="true" applyProtection="true">
      <alignment horizontal="right" vertical="center" textRotation="0" wrapText="false" indent="0" shrinkToFit="false"/>
      <protection locked="true" hidden="false"/>
    </xf>
    <xf numFmtId="173" fontId="26" fillId="9" borderId="0" xfId="0" applyFont="true" applyBorder="false" applyAlignment="true" applyProtection="true">
      <alignment horizontal="right" vertical="center" textRotation="0" wrapText="false" indent="0" shrinkToFit="false"/>
      <protection locked="true" hidden="false"/>
    </xf>
    <xf numFmtId="164" fontId="8" fillId="4" borderId="1" xfId="0" applyFont="true" applyBorder="true" applyAlignment="true" applyProtection="true">
      <alignment horizontal="left" vertical="center" textRotation="0" wrapText="false" indent="0" shrinkToFit="false"/>
      <protection locked="true" hidden="false"/>
    </xf>
    <xf numFmtId="167" fontId="21" fillId="0" borderId="1" xfId="0" applyFont="true" applyBorder="true" applyAlignment="true" applyProtection="true">
      <alignment horizontal="general" vertical="bottom" textRotation="0" wrapText="false" indent="0" shrinkToFit="false"/>
      <protection locked="true" hidden="false"/>
    </xf>
    <xf numFmtId="164" fontId="8" fillId="4" borderId="1" xfId="0" applyFont="true" applyBorder="true" applyAlignment="true" applyProtection="true">
      <alignment horizontal="general" vertical="center" textRotation="0" wrapText="false" indent="0" shrinkToFit="false"/>
      <protection locked="true" hidden="false"/>
    </xf>
    <xf numFmtId="172" fontId="21" fillId="0" borderId="1" xfId="0" applyFont="true" applyBorder="true" applyAlignment="true" applyProtection="true">
      <alignment horizontal="general" vertical="bottom" textRotation="0" wrapText="false" indent="0" shrinkToFit="false"/>
      <protection locked="true" hidden="false"/>
    </xf>
    <xf numFmtId="164" fontId="21" fillId="0" borderId="1" xfId="0" applyFont="true" applyBorder="true" applyAlignment="true" applyProtection="true">
      <alignment horizontal="general" vertical="bottom" textRotation="0" wrapText="false" indent="0" shrinkToFit="false"/>
      <protection locked="true" hidden="false"/>
    </xf>
    <xf numFmtId="172" fontId="21" fillId="0" borderId="0" xfId="0" applyFont="true" applyBorder="false" applyAlignment="true" applyProtection="true">
      <alignment horizontal="general" vertical="bottom" textRotation="0" wrapText="false" indent="0" shrinkToFit="false"/>
      <protection locked="true" hidden="false"/>
    </xf>
    <xf numFmtId="167" fontId="21" fillId="0" borderId="0" xfId="0" applyFont="true" applyBorder="false" applyAlignment="true" applyProtection="true">
      <alignment horizontal="general" vertical="bottom" textRotation="0" wrapText="false" indent="0" shrinkToFit="false"/>
      <protection locked="true" hidden="false"/>
    </xf>
    <xf numFmtId="164" fontId="15" fillId="5" borderId="0" xfId="0" applyFont="true" applyBorder="true" applyAlignment="true" applyProtection="true">
      <alignment horizontal="center" vertical="center" textRotation="0" wrapText="false" indent="0" shrinkToFit="false"/>
      <protection locked="true" hidden="false"/>
    </xf>
    <xf numFmtId="171" fontId="20" fillId="9" borderId="0" xfId="0" applyFont="true" applyBorder="false" applyAlignment="true" applyProtection="true">
      <alignment horizontal="center" vertical="center" textRotation="0" wrapText="false" indent="0" shrinkToFit="false"/>
      <protection locked="true" hidden="false"/>
    </xf>
    <xf numFmtId="168" fontId="7" fillId="7" borderId="2" xfId="0" applyFont="true" applyBorder="true" applyAlignment="true" applyProtection="true">
      <alignment horizontal="right" vertical="center" textRotation="0" wrapText="false" indent="0" shrinkToFit="false"/>
      <protection locked="true" hidden="false"/>
    </xf>
    <xf numFmtId="166" fontId="7" fillId="7" borderId="2" xfId="0" applyFont="true" applyBorder="true" applyAlignment="true" applyProtection="true">
      <alignment horizontal="right" vertical="center" textRotation="0" wrapText="false" indent="0" shrinkToFit="false"/>
      <protection locked="true" hidden="false"/>
    </xf>
    <xf numFmtId="164" fontId="15" fillId="9" borderId="3" xfId="0" applyFont="true" applyBorder="true" applyAlignment="true" applyProtection="true">
      <alignment horizontal="center" vertical="center" textRotation="0" wrapText="false" indent="0" shrinkToFit="false"/>
      <protection locked="true" hidden="false"/>
    </xf>
    <xf numFmtId="164" fontId="27" fillId="9" borderId="2" xfId="0" applyFont="true" applyBorder="true" applyAlignment="true" applyProtection="true">
      <alignment horizontal="left" vertical="center" textRotation="0" wrapText="false" indent="0" shrinkToFit="false"/>
      <protection locked="true" hidden="false"/>
    </xf>
    <xf numFmtId="168" fontId="27" fillId="9" borderId="2" xfId="0" applyFont="true" applyBorder="true" applyAlignment="true" applyProtection="true">
      <alignment horizontal="right" vertical="center" textRotation="0" wrapText="false" indent="0" shrinkToFit="false"/>
      <protection locked="true" hidden="false"/>
    </xf>
    <xf numFmtId="168" fontId="12" fillId="4" borderId="2" xfId="0" applyFont="true" applyBorder="true" applyAlignment="true" applyProtection="true">
      <alignment horizontal="right" vertical="center" textRotation="0" wrapText="false" indent="0" shrinkToFit="false"/>
      <protection locked="true" hidden="false"/>
    </xf>
    <xf numFmtId="168" fontId="12" fillId="6" borderId="2" xfId="0" applyFont="true" applyBorder="true" applyAlignment="true" applyProtection="true">
      <alignment horizontal="right" vertical="center" textRotation="0" wrapText="false" indent="0" shrinkToFit="false"/>
      <protection locked="true" hidden="false"/>
    </xf>
    <xf numFmtId="164" fontId="28" fillId="2" borderId="0" xfId="0" applyFont="true" applyBorder="true" applyAlignment="true" applyProtection="true">
      <alignment horizontal="center" vertical="center" textRotation="0" wrapText="false" indent="0" shrinkToFit="false"/>
      <protection locked="true" hidden="false"/>
    </xf>
    <xf numFmtId="164" fontId="29" fillId="5" borderId="0" xfId="0" applyFont="true" applyBorder="false" applyAlignment="true" applyProtection="true">
      <alignment horizontal="left" vertical="center" textRotation="0" wrapText="false" indent="0" shrinkToFit="false"/>
      <protection locked="true" hidden="false"/>
    </xf>
    <xf numFmtId="164" fontId="23" fillId="5" borderId="0" xfId="0" applyFont="true" applyBorder="false" applyAlignment="true" applyProtection="true">
      <alignment horizontal="center" vertical="center" textRotation="0" wrapText="false" indent="0" shrinkToFit="false"/>
      <protection locked="true" hidden="false"/>
    </xf>
    <xf numFmtId="164" fontId="23" fillId="5" borderId="0" xfId="0" applyFont="true" applyBorder="true" applyAlignment="true" applyProtection="true">
      <alignment horizontal="center" vertical="center" textRotation="0" wrapText="false" indent="0" shrinkToFit="false"/>
      <protection locked="true" hidden="false"/>
    </xf>
    <xf numFmtId="164" fontId="23" fillId="9" borderId="0" xfId="0" applyFont="true" applyBorder="false" applyAlignment="true" applyProtection="true">
      <alignment horizontal="left" vertical="center" textRotation="0" wrapText="false" indent="0" shrinkToFit="false"/>
      <protection locked="true" hidden="false"/>
    </xf>
    <xf numFmtId="164" fontId="23" fillId="9" borderId="0" xfId="0" applyFont="true" applyBorder="false" applyAlignment="true" applyProtection="true">
      <alignment horizontal="center" vertical="center" textRotation="0" wrapText="false" indent="0" shrinkToFit="false"/>
      <protection locked="true" hidden="false"/>
    </xf>
    <xf numFmtId="171" fontId="30" fillId="9" borderId="0" xfId="0" applyFont="true" applyBorder="false" applyAlignment="true" applyProtection="true">
      <alignment horizontal="center" vertical="center" textRotation="0" wrapText="false" indent="0" shrinkToFit="false"/>
      <protection locked="true" hidden="false"/>
    </xf>
    <xf numFmtId="164" fontId="23" fillId="9" borderId="3" xfId="0" applyFont="true" applyBorder="true" applyAlignment="true" applyProtection="true">
      <alignment horizontal="left" vertical="center" textRotation="0" wrapText="false" indent="0" shrinkToFit="false"/>
      <protection locked="true" hidden="false"/>
    </xf>
    <xf numFmtId="164" fontId="8" fillId="6" borderId="2" xfId="0" applyFont="true" applyBorder="true" applyAlignment="true" applyProtection="true">
      <alignment horizontal="left" vertical="center" textRotation="0" wrapText="false" indent="0" shrinkToFit="false"/>
      <protection locked="true" hidden="false"/>
    </xf>
    <xf numFmtId="168" fontId="8" fillId="6" borderId="2" xfId="0" applyFont="true" applyBorder="true" applyAlignment="true" applyProtection="true">
      <alignment horizontal="right" vertical="center" textRotation="0" wrapText="false" indent="0" shrinkToFit="false"/>
      <protection locked="true" hidden="false"/>
    </xf>
    <xf numFmtId="168" fontId="8" fillId="7" borderId="2" xfId="0" applyFont="true" applyBorder="true" applyAlignment="true" applyProtection="true">
      <alignment horizontal="right" vertical="center" textRotation="0" wrapText="false" indent="0" shrinkToFit="false"/>
      <protection locked="true" hidden="false"/>
    </xf>
    <xf numFmtId="166" fontId="8" fillId="6" borderId="2" xfId="0" applyFont="true" applyBorder="true" applyAlignment="true" applyProtection="true">
      <alignment horizontal="right" vertical="center" textRotation="0" wrapText="false" indent="0" shrinkToFit="false"/>
      <protection locked="true" hidden="false"/>
    </xf>
    <xf numFmtId="164" fontId="31" fillId="9" borderId="2" xfId="0" applyFont="true" applyBorder="true" applyAlignment="true" applyProtection="true">
      <alignment horizontal="left" vertical="center" textRotation="0" wrapText="false" indent="0" shrinkToFit="false"/>
      <protection locked="true" hidden="false"/>
    </xf>
    <xf numFmtId="168" fontId="31" fillId="9" borderId="2" xfId="0" applyFont="true" applyBorder="true" applyAlignment="true" applyProtection="true">
      <alignment horizontal="right" vertical="center" textRotation="0" wrapText="false" indent="0" shrinkToFit="false"/>
      <protection locked="true" hidden="false"/>
    </xf>
    <xf numFmtId="164" fontId="25" fillId="6" borderId="2" xfId="0" applyFont="true" applyBorder="true" applyAlignment="true" applyProtection="true">
      <alignment horizontal="left" vertical="center" textRotation="0" wrapText="false" indent="0" shrinkToFit="false"/>
      <protection locked="true" hidden="false"/>
    </xf>
    <xf numFmtId="168" fontId="25" fillId="6" borderId="2" xfId="0" applyFont="true" applyBorder="true" applyAlignment="true" applyProtection="true">
      <alignment horizontal="right" vertical="center" textRotation="0" wrapText="false" indent="0" shrinkToFit="false"/>
      <protection locked="true" hidden="false"/>
    </xf>
    <xf numFmtId="164" fontId="25" fillId="4" borderId="2" xfId="0" applyFont="true" applyBorder="true" applyAlignment="true" applyProtection="true">
      <alignment horizontal="left" vertical="center" textRotation="0" wrapText="false" indent="0" shrinkToFit="false"/>
      <protection locked="true" hidden="false"/>
    </xf>
    <xf numFmtId="168" fontId="25" fillId="4" borderId="2" xfId="0" applyFont="true" applyBorder="true" applyAlignment="true" applyProtection="true">
      <alignment horizontal="right" vertical="center" textRotation="0" wrapText="false" indent="0" shrinkToFit="false"/>
      <protection locked="true" hidden="false"/>
    </xf>
    <xf numFmtId="170" fontId="25" fillId="6" borderId="2" xfId="0" applyFont="true" applyBorder="true" applyAlignment="true" applyProtection="true">
      <alignment horizontal="right" vertical="center" textRotation="0" wrapText="false" indent="0" shrinkToFit="false"/>
      <protection locked="true" hidden="false"/>
    </xf>
    <xf numFmtId="164" fontId="25" fillId="4" borderId="1" xfId="0" applyFont="true" applyBorder="true" applyAlignment="true" applyProtection="true">
      <alignment horizontal="left" vertical="center" textRotation="0" wrapText="false" indent="0" shrinkToFit="false"/>
      <protection locked="true" hidden="false"/>
    </xf>
    <xf numFmtId="169" fontId="21" fillId="0" borderId="1" xfId="0" applyFont="true" applyBorder="true" applyAlignment="true" applyProtection="true">
      <alignment horizontal="right" vertical="bottom" textRotation="0" wrapText="false" indent="0" shrinkToFit="false"/>
      <protection locked="true" hidden="false"/>
    </xf>
    <xf numFmtId="167" fontId="32" fillId="6" borderId="2" xfId="0" applyFont="true" applyBorder="true" applyAlignment="true" applyProtection="true">
      <alignment horizontal="right" vertical="center" textRotation="0" wrapText="false" indent="0" shrinkToFit="false"/>
      <protection locked="true" hidden="false"/>
    </xf>
    <xf numFmtId="168" fontId="21" fillId="0" borderId="0" xfId="0" applyFont="true" applyBorder="false" applyAlignment="true" applyProtection="true">
      <alignment horizontal="general" vertical="bottom" textRotation="0" wrapText="false" indent="0" shrinkToFit="false"/>
      <protection locked="true" hidden="false"/>
    </xf>
    <xf numFmtId="169" fontId="21" fillId="0" borderId="0" xfId="0" applyFont="true" applyBorder="false" applyAlignment="true" applyProtection="true">
      <alignment horizontal="right" vertical="bottom" textRotation="0" wrapText="false" indent="0" shrinkToFit="false"/>
      <protection locked="true" hidden="false"/>
    </xf>
    <xf numFmtId="164" fontId="33" fillId="6" borderId="2" xfId="0" applyFont="true" applyBorder="true" applyAlignment="true" applyProtection="true">
      <alignment horizontal="left" vertical="center" textRotation="0" wrapText="false" indent="0" shrinkToFit="false"/>
      <protection locked="true" hidden="false"/>
    </xf>
    <xf numFmtId="168" fontId="34" fillId="0" borderId="0" xfId="0" applyFont="true" applyBorder="false" applyAlignment="true" applyProtection="true">
      <alignment horizontal="general" vertical="bottom" textRotation="0" wrapText="false" indent="0" shrinkToFit="false"/>
      <protection locked="true" hidden="false"/>
    </xf>
    <xf numFmtId="166" fontId="21" fillId="0" borderId="1" xfId="0" applyFont="true" applyBorder="true" applyAlignment="true" applyProtection="true">
      <alignment horizontal="general" vertical="bottom" textRotation="0" wrapText="false" indent="0" shrinkToFit="false"/>
      <protection locked="true" hidden="false"/>
    </xf>
    <xf numFmtId="166" fontId="35" fillId="0" borderId="1" xfId="0" applyFont="true" applyBorder="true" applyAlignment="true" applyProtection="true">
      <alignment horizontal="general" vertical="bottom" textRotation="0" wrapText="false" indent="0" shrinkToFit="false"/>
      <protection locked="true" hidden="false"/>
    </xf>
    <xf numFmtId="164" fontId="21" fillId="4" borderId="2" xfId="0" applyFont="true" applyBorder="true" applyAlignment="true" applyProtection="true">
      <alignment horizontal="left" vertical="center" textRotation="0" wrapText="false" indent="0" shrinkToFit="false"/>
      <protection locked="true" hidden="false"/>
    </xf>
    <xf numFmtId="174" fontId="21" fillId="0" borderId="1" xfId="0" applyFont="true" applyBorder="true" applyAlignment="true" applyProtection="true">
      <alignment horizontal="general" vertical="bottom" textRotation="0" wrapText="false" indent="0" shrinkToFit="false"/>
      <protection locked="true" hidden="false"/>
    </xf>
    <xf numFmtId="164" fontId="13" fillId="7" borderId="0" xfId="0" applyFont="true" applyBorder="true" applyAlignment="true" applyProtection="true">
      <alignment horizontal="center" vertical="center" textRotation="0" wrapText="false" indent="0" shrinkToFit="false"/>
      <protection locked="true" hidden="false"/>
    </xf>
    <xf numFmtId="164" fontId="13" fillId="6" borderId="0" xfId="0" applyFont="true" applyBorder="false" applyAlignment="true" applyProtection="true">
      <alignment horizontal="left" vertical="center" textRotation="0" wrapText="false" indent="0" shrinkToFit="false"/>
      <protection locked="true" hidden="false"/>
    </xf>
    <xf numFmtId="164" fontId="15" fillId="2" borderId="2" xfId="0" applyFont="true" applyBorder="true" applyAlignment="true" applyProtection="true">
      <alignment horizontal="left" vertical="center" textRotation="0" wrapText="false" indent="0" shrinkToFit="false"/>
      <protection locked="true" hidden="false"/>
    </xf>
    <xf numFmtId="164" fontId="15" fillId="2" borderId="2" xfId="0" applyFont="true" applyBorder="true" applyAlignment="true" applyProtection="true">
      <alignment horizontal="center" vertical="center" textRotation="0" wrapText="true" indent="0" shrinkToFit="false"/>
      <protection locked="true" hidden="false"/>
    </xf>
    <xf numFmtId="164" fontId="36" fillId="5" borderId="2" xfId="0" applyFont="true" applyBorder="true" applyAlignment="true" applyProtection="true">
      <alignment horizontal="center" vertical="center" textRotation="0" wrapText="false" indent="0" shrinkToFit="false"/>
      <protection locked="true" hidden="false"/>
    </xf>
    <xf numFmtId="164" fontId="7" fillId="6" borderId="2" xfId="0" applyFont="true" applyBorder="true" applyAlignment="true" applyProtection="true">
      <alignment horizontal="right" vertical="center" textRotation="0" wrapText="false" indent="0" shrinkToFit="false"/>
      <protection locked="true" hidden="false"/>
    </xf>
    <xf numFmtId="164" fontId="7" fillId="4" borderId="2" xfId="0" applyFont="true" applyBorder="true" applyAlignment="true" applyProtection="true">
      <alignment horizontal="right" vertical="center" textRotation="0" wrapText="false" indent="0" shrinkToFit="false"/>
      <protection locked="true" hidden="false"/>
    </xf>
    <xf numFmtId="164" fontId="13" fillId="7" borderId="3" xfId="0" applyFont="true" applyBorder="true" applyAlignment="true" applyProtection="true">
      <alignment horizontal="left" vertical="center" textRotation="0" wrapText="true" indent="0" shrinkToFit="false"/>
      <protection locked="true" hidden="false"/>
    </xf>
    <xf numFmtId="164" fontId="7" fillId="10" borderId="2" xfId="0" applyFont="true" applyBorder="true" applyAlignment="true" applyProtection="true">
      <alignment horizontal="center" vertical="center" textRotation="0" wrapText="false" indent="0" shrinkToFit="false"/>
      <protection locked="true" hidden="false"/>
    </xf>
    <xf numFmtId="164" fontId="7" fillId="3" borderId="2" xfId="0" applyFont="true" applyBorder="true" applyAlignment="true" applyProtection="true">
      <alignment horizontal="center" vertical="center" textRotation="0" wrapText="false" indent="0" shrinkToFit="false"/>
      <protection locked="true" hidden="false"/>
    </xf>
    <xf numFmtId="164" fontId="7" fillId="11" borderId="2" xfId="0" applyFont="true" applyBorder="true" applyAlignment="true" applyProtection="true">
      <alignment horizontal="center" vertical="center" textRotation="0" wrapText="false" indent="0" shrinkToFit="false"/>
      <protection locked="true" hidden="false"/>
    </xf>
    <xf numFmtId="164" fontId="15" fillId="4" borderId="2" xfId="0" applyFont="true" applyBorder="true" applyAlignment="true" applyProtection="true">
      <alignment horizontal="center" vertical="center" textRotation="0" wrapText="false" indent="0" shrinkToFit="false"/>
      <protection locked="true" hidden="false"/>
    </xf>
    <xf numFmtId="164" fontId="15" fillId="6" borderId="2" xfId="0" applyFont="true" applyBorder="true" applyAlignment="true" applyProtection="true">
      <alignment horizontal="center" vertical="center" textRotation="0" wrapText="false" indent="0" shrinkToFit="false"/>
      <protection locked="true" hidden="false"/>
    </xf>
    <xf numFmtId="168" fontId="7" fillId="10" borderId="2" xfId="0" applyFont="true" applyBorder="true" applyAlignment="true" applyProtection="true">
      <alignment horizontal="right" vertical="center" textRotation="0" wrapText="false" indent="0" shrinkToFit="false"/>
      <protection locked="true" hidden="false"/>
    </xf>
    <xf numFmtId="168" fontId="7" fillId="11" borderId="2" xfId="0" applyFont="true" applyBorder="true" applyAlignment="true" applyProtection="true">
      <alignment horizontal="right" vertical="center" textRotation="0" wrapText="false" indent="0" shrinkToFit="false"/>
      <protection locked="true" hidden="false"/>
    </xf>
    <xf numFmtId="170" fontId="7" fillId="10" borderId="2" xfId="0" applyFont="true" applyBorder="true" applyAlignment="true" applyProtection="true">
      <alignment horizontal="right" vertical="center" textRotation="0" wrapText="false" indent="0" shrinkToFit="false"/>
      <protection locked="true" hidden="false"/>
    </xf>
    <xf numFmtId="170" fontId="12" fillId="6" borderId="2" xfId="0" applyFont="true" applyBorder="true" applyAlignment="true" applyProtection="true">
      <alignment horizontal="right" vertical="center" textRotation="0" wrapText="false" indent="0" shrinkToFit="false"/>
      <protection locked="true" hidden="false"/>
    </xf>
    <xf numFmtId="170" fontId="7" fillId="11" borderId="2" xfId="0" applyFont="true" applyBorder="true" applyAlignment="true" applyProtection="true">
      <alignment horizontal="right" vertical="center"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right" vertical="bottom" textRotation="0" wrapText="false" indent="0" shrinkToFit="false"/>
      <protection locked="true" hidden="false"/>
    </xf>
    <xf numFmtId="164" fontId="15" fillId="9" borderId="2" xfId="0" applyFont="true" applyBorder="true" applyAlignment="true" applyProtection="true">
      <alignment horizontal="center" vertical="center" textRotation="0" wrapText="false" indent="0" shrinkToFit="false"/>
      <protection locked="true" hidden="false"/>
    </xf>
    <xf numFmtId="164" fontId="13" fillId="6" borderId="2" xfId="0" applyFont="true" applyBorder="true" applyAlignment="true" applyProtection="true">
      <alignment horizontal="left" vertical="center" textRotation="0" wrapText="false" indent="0" shrinkToFit="false"/>
      <protection locked="true" hidden="false"/>
    </xf>
    <xf numFmtId="175" fontId="7" fillId="3" borderId="2" xfId="0" applyFont="true" applyBorder="true" applyAlignment="true" applyProtection="true">
      <alignment horizontal="right" vertical="center" textRotation="0" wrapText="false" indent="0" shrinkToFit="false"/>
      <protection locked="true" hidden="false"/>
    </xf>
    <xf numFmtId="164" fontId="13" fillId="4" borderId="2" xfId="0" applyFont="true" applyBorder="true" applyAlignment="true" applyProtection="true">
      <alignment horizontal="left" vertical="center" textRotation="0" wrapText="false" indent="0" shrinkToFit="false"/>
      <protection locked="true" hidden="false"/>
    </xf>
    <xf numFmtId="164" fontId="15" fillId="9" borderId="2" xfId="0" applyFont="true" applyBorder="true" applyAlignment="true" applyProtection="true">
      <alignment horizontal="center" vertical="center" textRotation="0" wrapText="true" indent="0" shrinkToFit="false"/>
      <protection locked="true" hidden="false"/>
    </xf>
    <xf numFmtId="164" fontId="7" fillId="6" borderId="2" xfId="0" applyFont="true" applyBorder="true" applyAlignment="true" applyProtection="true">
      <alignment horizontal="center" vertical="center" textRotation="0" wrapText="false" indent="0" shrinkToFit="false"/>
      <protection locked="true" hidden="false"/>
    </xf>
    <xf numFmtId="171" fontId="7" fillId="6" borderId="2" xfId="0" applyFont="true" applyBorder="true" applyAlignment="true" applyProtection="true">
      <alignment horizontal="center" vertical="center" textRotation="0" wrapText="false" indent="0" shrinkToFit="false"/>
      <protection locked="true" hidden="false"/>
    </xf>
    <xf numFmtId="164" fontId="7" fillId="4" borderId="2" xfId="0" applyFont="true" applyBorder="true" applyAlignment="true" applyProtection="true">
      <alignment horizontal="center" vertical="center" textRotation="0" wrapText="false" indent="0" shrinkToFit="false"/>
      <protection locked="true" hidden="false"/>
    </xf>
    <xf numFmtId="164" fontId="12" fillId="7" borderId="2"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right" vertical="bottom" textRotation="0" wrapText="false" indent="0" shrinkToFit="false"/>
      <protection locked="true" hidden="false"/>
    </xf>
    <xf numFmtId="164" fontId="35" fillId="0" borderId="1" xfId="0" applyFont="true" applyBorder="true" applyAlignment="true" applyProtection="true">
      <alignment horizontal="general" vertical="bottom" textRotation="0" wrapText="false" indent="0" shrinkToFit="false"/>
      <protection locked="true" hidden="false"/>
    </xf>
    <xf numFmtId="164" fontId="35" fillId="0" borderId="1" xfId="0" applyFont="true" applyBorder="true" applyAlignment="true" applyProtection="true">
      <alignment horizontal="right" vertical="bottom" textRotation="0" wrapText="false" indent="0" shrinkToFit="false"/>
      <protection locked="true" hidden="false"/>
    </xf>
    <xf numFmtId="173" fontId="21" fillId="0" borderId="0" xfId="0" applyFont="true" applyBorder="false" applyAlignment="true" applyProtection="true">
      <alignment horizontal="general" vertical="bottom" textRotation="0" wrapText="false" indent="0" shrinkToFit="false"/>
      <protection locked="true" hidden="false"/>
    </xf>
    <xf numFmtId="167" fontId="21"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9" fontId="21" fillId="0" borderId="1" xfId="0" applyFont="true" applyBorder="true" applyAlignment="true" applyProtection="true">
      <alignment horizontal="general" vertical="bottom" textRotation="0" wrapText="false" indent="0" shrinkToFit="false"/>
      <protection locked="true" hidden="false"/>
    </xf>
    <xf numFmtId="169" fontId="21"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80E4F"/>
      <rgbColor rgb="FF2E6B50"/>
      <rgbColor rgb="FFBDBDBD"/>
      <rgbColor rgb="FF808080"/>
      <rgbColor rgb="FF9999FF"/>
      <rgbColor rgb="FF993366"/>
      <rgbColor rgb="FFFFFDE7"/>
      <rgbColor rgb="FFE8F5E9"/>
      <rgbColor rgb="FF4A148C"/>
      <rgbColor rgb="FFFF8080"/>
      <rgbColor rgb="FF1565C0"/>
      <rgbColor rgb="FFCCCCFF"/>
      <rgbColor rgb="FF000080"/>
      <rgbColor rgb="FFFF00FF"/>
      <rgbColor rgb="FFFFFF00"/>
      <rgbColor rgb="FF00FFFF"/>
      <rgbColor rgb="FF800080"/>
      <rgbColor rgb="FF800000"/>
      <rgbColor rgb="FF008080"/>
      <rgbColor rgb="FF0000FF"/>
      <rgbColor rgb="FF00CCFF"/>
      <rgbColor rgb="FFF2F8F5"/>
      <rgbColor rgb="FFD6EAE1"/>
      <rgbColor rgb="FFFFF3E0"/>
      <rgbColor rgb="FF99CCFF"/>
      <rgbColor rgb="FFFF99CC"/>
      <rgbColor rgb="FFCC99FF"/>
      <rgbColor rgb="FFFFEBEE"/>
      <rgbColor rgb="FF3366FF"/>
      <rgbColor rgb="FF33CCCC"/>
      <rgbColor rgb="FF99CC00"/>
      <rgbColor rgb="FFFFCC00"/>
      <rgbColor rgb="FFF9A825"/>
      <rgbColor rgb="FFE65100"/>
      <rgbColor rgb="FF666699"/>
      <rgbColor rgb="FF969696"/>
      <rgbColor rgb="FF1A3C34"/>
      <rgbColor rgb="FF4CAF7D"/>
      <rgbColor rgb="FF003300"/>
      <rgbColor rgb="FF333300"/>
      <rgbColor rgb="FF993300"/>
      <rgbColor rgb="FF993366"/>
      <rgbColor rgb="FF0D47A1"/>
      <rgbColor rgb="FF2632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3C34"/>
    <pageSetUpPr fitToPage="false"/>
  </sheetPr>
  <dimension ref="A1:H42"/>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pane xSplit="0" ySplit="3" topLeftCell="A4" activePane="bottomLeft" state="frozen"/>
      <selection pane="topLeft" activeCell="A1" activeCellId="0" sqref="A1"/>
      <selection pane="bottomLeft" activeCell="C14" activeCellId="0" sqref="C14"/>
    </sheetView>
  </sheetViews>
  <sheetFormatPr defaultColWidth="8.71484375" defaultRowHeight="13.8" customHeight="false" zeroHeight="false" outlineLevelRow="0" outlineLevelCol="0"/>
  <cols>
    <col collapsed="false" customWidth="true" hidden="false" outlineLevel="0" max="1" min="1" style="1" width="45.32"/>
    <col collapsed="false" customWidth="true" hidden="false" outlineLevel="0" max="5" min="2" style="1" width="28.33"/>
    <col collapsed="false" customWidth="true" hidden="false" outlineLevel="0" max="6" min="6" style="1" width="26"/>
    <col collapsed="false" customWidth="false" hidden="false" outlineLevel="0" max="16384" min="8" style="1" width="8.71"/>
  </cols>
  <sheetData>
    <row r="1" customFormat="false" ht="30" hidden="false" customHeight="true" outlineLevel="0" collapsed="false">
      <c r="A1" s="2" t="s">
        <v>0</v>
      </c>
      <c r="B1" s="2"/>
      <c r="C1" s="2"/>
      <c r="D1" s="2"/>
      <c r="E1" s="2"/>
      <c r="F1" s="2"/>
    </row>
    <row r="2" customFormat="false" ht="12" hidden="false" customHeight="true" outlineLevel="0" collapsed="false">
      <c r="A2" s="2"/>
      <c r="B2" s="2"/>
      <c r="C2" s="2"/>
      <c r="D2" s="2"/>
      <c r="E2" s="2"/>
      <c r="F2" s="2"/>
    </row>
    <row r="5" customFormat="false" ht="13.8" hidden="false" customHeight="false" outlineLevel="0" collapsed="false">
      <c r="A5" s="3" t="s">
        <v>1</v>
      </c>
      <c r="B5" s="3" t="s">
        <v>2</v>
      </c>
      <c r="F5" s="4"/>
    </row>
    <row r="6" customFormat="false" ht="13.8" hidden="false" customHeight="false" outlineLevel="0" collapsed="false">
      <c r="A6" s="5" t="s">
        <v>3</v>
      </c>
      <c r="B6" s="6" t="n">
        <v>46661</v>
      </c>
      <c r="F6" s="4"/>
    </row>
    <row r="7" customFormat="false" ht="23.85" hidden="false" customHeight="false" outlineLevel="0" collapsed="false">
      <c r="A7" s="5" t="s">
        <v>4</v>
      </c>
      <c r="B7" s="7" t="s">
        <v>5</v>
      </c>
      <c r="F7" s="4"/>
    </row>
    <row r="8" customFormat="false" ht="13.8" hidden="false" customHeight="false" outlineLevel="0" collapsed="false">
      <c r="A8" s="5" t="s">
        <v>6</v>
      </c>
      <c r="B8" s="8" t="n">
        <v>50</v>
      </c>
      <c r="F8" s="4"/>
    </row>
    <row r="9" customFormat="false" ht="13.8" hidden="false" customHeight="false" outlineLevel="0" collapsed="false">
      <c r="A9" s="5" t="s">
        <v>7</v>
      </c>
      <c r="B9" s="9" t="n">
        <f aca="false">_xlfn.XLOOKUP(B7,'⚙️ Other Assumptions'!A8:A10,'⚙️ Other Assumptions'!B8:B10,1)</f>
        <v>1150000</v>
      </c>
      <c r="F9" s="4"/>
    </row>
    <row r="10" customFormat="false" ht="13.8" hidden="false" customHeight="false" outlineLevel="0" collapsed="false">
      <c r="A10" s="5" t="s">
        <v>8</v>
      </c>
      <c r="B10" s="9" t="n">
        <f aca="false">B8*B9</f>
        <v>57500000</v>
      </c>
      <c r="F10" s="4"/>
    </row>
    <row r="11" customFormat="false" ht="13.8" hidden="false" customHeight="false" outlineLevel="0" collapsed="false">
      <c r="A11" s="5" t="s">
        <v>9</v>
      </c>
      <c r="B11" s="9" t="n">
        <v>6</v>
      </c>
      <c r="F11" s="4"/>
    </row>
    <row r="12" customFormat="false" ht="26.85" hidden="false" customHeight="false" outlineLevel="0" collapsed="false">
      <c r="A12" s="10" t="s">
        <v>10</v>
      </c>
      <c r="B12" s="9" t="n">
        <v>150</v>
      </c>
      <c r="F12" s="4"/>
    </row>
    <row r="13" customFormat="false" ht="36.05" hidden="false" customHeight="true" outlineLevel="0" collapsed="false">
      <c r="A13" s="11" t="s">
        <v>11</v>
      </c>
      <c r="B13" s="12" t="s">
        <v>12</v>
      </c>
    </row>
    <row r="14" customFormat="false" ht="13.8" hidden="false" customHeight="false" outlineLevel="0" collapsed="false">
      <c r="A14" s="1" t="s">
        <v>13</v>
      </c>
      <c r="B14" s="13" t="n">
        <f aca="false">_xlfn.LET(
_xlpm.buffer_1,-SUM(OFFSET('💵 Cash Flow'!$C$11,0,0,1,_xlfn.XLOOKUP(1,SIGN('💵 Cash Flow'!$C$11:$BJ$11),'💵 Cash Flow'!$C$3:$BJ$3,"No Negative",0,1)-1)),
_xlpm.Principal_buffer,-SUM(OFFSET('💵 Cash Flow'!$C$19,0,0,1,_xlfn.XLOOKUP(1,SIGN('💵 Cash Flow'!$C$11:$BJ$11),'💵 Cash Flow'!$C$3:$BJ$3,"No Negative",0,1)-1)),
_xlpm.interest_buffer,-SUM(OFFSET('💵 Cash Flow'!$C$20,0,0,1,_xlfn.XLOOKUP(1,SIGN('💵 Cash Flow'!$C$11:$BJ$11),'💵 Cash Flow'!$C$3:$BJ$3,"No Negative",0,1)-1)),
_xlpm.buffer_1 + _xlpm.Principal_buffer + _xlpm.interest_buffer)</f>
        <v>266973265.542316</v>
      </c>
      <c r="C14" s="14"/>
    </row>
    <row r="16" customFormat="false" ht="13.8" hidden="false" customHeight="false" outlineLevel="0" collapsed="false">
      <c r="A16" s="3" t="s">
        <v>14</v>
      </c>
      <c r="B16" s="15" t="n">
        <v>300000000</v>
      </c>
    </row>
    <row r="17" customFormat="false" ht="13.8" hidden="false" customHeight="false" outlineLevel="0" collapsed="false">
      <c r="A17" s="3" t="s">
        <v>15</v>
      </c>
      <c r="B17" s="16" t="n">
        <f aca="false">$B$11*$B$10</f>
        <v>345000000</v>
      </c>
    </row>
    <row r="18" customFormat="false" ht="13.8" hidden="false" customHeight="false" outlineLevel="0" collapsed="false">
      <c r="A18" s="3" t="s">
        <v>16</v>
      </c>
      <c r="B18" s="17" t="n">
        <f aca="false">SUM(B16:B17)</f>
        <v>645000000</v>
      </c>
    </row>
    <row r="20" customFormat="false" ht="26.85" hidden="false" customHeight="false" outlineLevel="0" collapsed="false">
      <c r="A20" s="18" t="s">
        <v>17</v>
      </c>
      <c r="B20" s="19" t="s">
        <v>18</v>
      </c>
      <c r="C20" s="19" t="s">
        <v>19</v>
      </c>
      <c r="D20" s="19" t="s">
        <v>20</v>
      </c>
      <c r="E20" s="20"/>
    </row>
    <row r="21" customFormat="false" ht="13.8" hidden="false" customHeight="false" outlineLevel="0" collapsed="false">
      <c r="A21" s="5" t="s">
        <v>21</v>
      </c>
      <c r="B21" s="21" t="n">
        <v>0.23</v>
      </c>
      <c r="C21" s="5" t="n">
        <v>1</v>
      </c>
      <c r="D21" s="22" t="n">
        <f aca="false">$B$16*B21</f>
        <v>69000000</v>
      </c>
    </row>
    <row r="22" customFormat="false" ht="13.8" hidden="false" customHeight="false" outlineLevel="0" collapsed="false">
      <c r="A22" s="5" t="s">
        <v>22</v>
      </c>
      <c r="B22" s="23" t="n">
        <v>0.17</v>
      </c>
      <c r="C22" s="24" t="n">
        <v>1</v>
      </c>
      <c r="D22" s="22" t="n">
        <f aca="false">$B$16*B22</f>
        <v>51000000</v>
      </c>
      <c r="E22" s="14"/>
      <c r="F22" s="14"/>
    </row>
    <row r="23" customFormat="false" ht="13.8" hidden="false" customHeight="false" outlineLevel="0" collapsed="false">
      <c r="A23" s="5" t="s">
        <v>23</v>
      </c>
      <c r="B23" s="23" t="n">
        <v>0.1</v>
      </c>
      <c r="C23" s="5" t="n">
        <v>1</v>
      </c>
      <c r="D23" s="22" t="n">
        <f aca="false">$B$16*B23</f>
        <v>30000000</v>
      </c>
      <c r="E23" s="14"/>
      <c r="F23" s="14"/>
    </row>
    <row r="24" customFormat="false" ht="13.8" hidden="false" customHeight="false" outlineLevel="0" collapsed="false">
      <c r="A24" s="5" t="s">
        <v>24</v>
      </c>
      <c r="B24" s="23" t="n">
        <v>0.06</v>
      </c>
      <c r="C24" s="5" t="n">
        <v>1</v>
      </c>
      <c r="D24" s="22" t="n">
        <f aca="false">$B$16*B24</f>
        <v>18000000</v>
      </c>
      <c r="E24" s="14"/>
    </row>
    <row r="25" customFormat="false" ht="13.8" hidden="false" customHeight="false" outlineLevel="0" collapsed="false">
      <c r="A25" s="5" t="s">
        <v>25</v>
      </c>
      <c r="B25" s="23" t="n">
        <v>0.03</v>
      </c>
      <c r="C25" s="5" t="n">
        <v>1</v>
      </c>
      <c r="D25" s="22" t="n">
        <f aca="false">$B$16*B25</f>
        <v>9000000</v>
      </c>
      <c r="E25" s="14"/>
    </row>
    <row r="26" customFormat="false" ht="13.8" hidden="false" customHeight="false" outlineLevel="0" collapsed="false">
      <c r="A26" s="5" t="s">
        <v>26</v>
      </c>
      <c r="B26" s="23" t="n">
        <v>0.04</v>
      </c>
      <c r="C26" s="5" t="n">
        <v>1</v>
      </c>
      <c r="D26" s="22" t="n">
        <f aca="false">$B$16*B26</f>
        <v>12000000</v>
      </c>
      <c r="E26" s="14"/>
    </row>
    <row r="27" customFormat="false" ht="13.8" hidden="false" customHeight="false" outlineLevel="0" collapsed="false">
      <c r="A27" s="5" t="s">
        <v>27</v>
      </c>
      <c r="B27" s="23" t="n">
        <v>0.05</v>
      </c>
      <c r="C27" s="5" t="n">
        <v>1</v>
      </c>
      <c r="D27" s="22" t="n">
        <f aca="false">$B$16*B27</f>
        <v>15000000</v>
      </c>
      <c r="E27" s="14"/>
    </row>
    <row r="28" customFormat="false" ht="13.8" hidden="false" customHeight="false" outlineLevel="0" collapsed="false">
      <c r="A28" s="5" t="s">
        <v>28</v>
      </c>
      <c r="B28" s="23" t="n">
        <v>0.12</v>
      </c>
      <c r="C28" s="5" t="n">
        <v>2</v>
      </c>
      <c r="D28" s="22" t="n">
        <f aca="false">$B$16*B28</f>
        <v>36000000</v>
      </c>
      <c r="E28" s="14"/>
    </row>
    <row r="29" customFormat="false" ht="13.8" hidden="false" customHeight="false" outlineLevel="0" collapsed="false">
      <c r="A29" s="5" t="s">
        <v>29</v>
      </c>
      <c r="B29" s="23" t="n">
        <v>0.1</v>
      </c>
      <c r="C29" s="5" t="n">
        <v>1</v>
      </c>
      <c r="D29" s="22" t="n">
        <f aca="false">$B$16*B29</f>
        <v>30000000</v>
      </c>
      <c r="E29" s="14"/>
    </row>
    <row r="30" customFormat="false" ht="13.8" hidden="false" customHeight="false" outlineLevel="0" collapsed="false">
      <c r="A30" s="5" t="s">
        <v>30</v>
      </c>
      <c r="B30" s="23" t="n">
        <v>0.1</v>
      </c>
      <c r="C30" s="5" t="n">
        <v>1</v>
      </c>
      <c r="D30" s="22" t="n">
        <f aca="false">$B$16*B30</f>
        <v>30000000</v>
      </c>
      <c r="E30" s="14"/>
    </row>
    <row r="31" customFormat="false" ht="13.8" hidden="false" customHeight="false" outlineLevel="0" collapsed="false">
      <c r="A31" s="3" t="s">
        <v>16</v>
      </c>
      <c r="B31" s="25" t="n">
        <f aca="false">SUM(B21:B30)</f>
        <v>1</v>
      </c>
      <c r="C31" s="3"/>
      <c r="D31" s="26" t="n">
        <f aca="false">SUM(D21:D30)</f>
        <v>300000000</v>
      </c>
      <c r="E31" s="14"/>
    </row>
    <row r="37" s="1" customFormat="true" ht="13.8" hidden="false" customHeight="false" outlineLevel="0" collapsed="false">
      <c r="B37" s="3" t="s">
        <v>31</v>
      </c>
      <c r="C37" s="3" t="s">
        <v>32</v>
      </c>
      <c r="D37" s="3" t="s">
        <v>33</v>
      </c>
      <c r="E37" s="3" t="s">
        <v>34</v>
      </c>
      <c r="F37" s="3" t="s">
        <v>35</v>
      </c>
      <c r="H37" s="4"/>
    </row>
    <row r="38" s="1" customFormat="true" ht="13.8" hidden="false" customHeight="false" outlineLevel="0" collapsed="false">
      <c r="B38" s="3" t="n">
        <f aca="false">YEAR(B6)</f>
        <v>2027</v>
      </c>
      <c r="C38" s="3" t="n">
        <f aca="false">B38+1</f>
        <v>2028</v>
      </c>
      <c r="D38" s="3" t="n">
        <f aca="false">C38+1</f>
        <v>2029</v>
      </c>
      <c r="E38" s="3" t="n">
        <f aca="false">D38+1</f>
        <v>2030</v>
      </c>
      <c r="F38" s="3" t="n">
        <f aca="false">E38+1</f>
        <v>2031</v>
      </c>
      <c r="H38" s="4"/>
    </row>
    <row r="39" customFormat="false" ht="13.8" hidden="false" customHeight="false" outlineLevel="0" collapsed="false">
      <c r="A39" s="5" t="s">
        <v>36</v>
      </c>
      <c r="B39" s="23" t="n">
        <v>0.35</v>
      </c>
      <c r="C39" s="23" t="n">
        <v>0.33</v>
      </c>
      <c r="D39" s="23" t="n">
        <v>0.3</v>
      </c>
      <c r="E39" s="23" t="n">
        <v>0.29</v>
      </c>
      <c r="F39" s="23" t="n">
        <v>0.29</v>
      </c>
      <c r="H39" s="4"/>
    </row>
    <row r="40" customFormat="false" ht="13.8" hidden="false" customHeight="false" outlineLevel="0" collapsed="false">
      <c r="A40" s="5" t="s">
        <v>37</v>
      </c>
      <c r="B40" s="23" t="n">
        <v>0.04</v>
      </c>
      <c r="C40" s="23" t="n">
        <v>0.04</v>
      </c>
      <c r="D40" s="23" t="n">
        <v>0.04</v>
      </c>
      <c r="E40" s="23" t="n">
        <v>0.04</v>
      </c>
      <c r="F40" s="23" t="n">
        <v>0.04</v>
      </c>
      <c r="H40" s="4"/>
    </row>
    <row r="41" customFormat="false" ht="13.8" hidden="false" customHeight="false" outlineLevel="0" collapsed="false">
      <c r="A41" s="5" t="s">
        <v>38</v>
      </c>
      <c r="B41" s="23" t="n">
        <v>0.015</v>
      </c>
      <c r="C41" s="23" t="n">
        <v>0.015</v>
      </c>
      <c r="D41" s="23" t="n">
        <v>0.015</v>
      </c>
      <c r="E41" s="23" t="n">
        <v>0.015</v>
      </c>
      <c r="F41" s="23" t="n">
        <v>0.015</v>
      </c>
      <c r="H41" s="4"/>
    </row>
    <row r="42" customFormat="false" ht="13.8" hidden="false" customHeight="false" outlineLevel="0" collapsed="false">
      <c r="A42" s="5" t="s">
        <v>39</v>
      </c>
      <c r="B42" s="23" t="n">
        <v>0.01</v>
      </c>
      <c r="C42" s="23" t="n">
        <v>0.01</v>
      </c>
      <c r="D42" s="23" t="n">
        <v>0.03</v>
      </c>
      <c r="E42" s="23" t="n">
        <v>0.03</v>
      </c>
      <c r="F42" s="23" t="n">
        <v>0.04</v>
      </c>
      <c r="H42" s="4"/>
    </row>
  </sheetData>
  <mergeCells count="1">
    <mergeCell ref="A1:F2"/>
  </mergeCells>
  <dataValidations count="2">
    <dataValidation allowBlank="true" errorStyle="stop" operator="equal" showDropDown="false" showErrorMessage="true" showInputMessage="false" sqref="B7" type="list">
      <formula1>'⚙️ Other Assumptions'!$A$8:$A$10</formula1>
      <formula2>0</formula2>
    </dataValidation>
    <dataValidation allowBlank="true" errorStyle="stop" operator="equal" showDropDown="false" showErrorMessage="true" showInputMessage="false" sqref="B13" type="list">
      <formula1>'⚙️ Other Assumptions'!$A$17:$A$19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63238"/>
    <pageSetUpPr fitToPage="false"/>
  </sheetPr>
  <dimension ref="A1:D36"/>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selection pane="topLeft" activeCell="C13" activeCellId="0" sqref="C13"/>
    </sheetView>
  </sheetViews>
  <sheetFormatPr defaultColWidth="8.71484375" defaultRowHeight="12.8" customHeight="false" zeroHeight="false" outlineLevelRow="0" outlineLevelCol="0"/>
  <cols>
    <col collapsed="false" customWidth="true" hidden="false" outlineLevel="0" max="1" min="1" style="4" width="2"/>
    <col collapsed="false" customWidth="true" hidden="false" outlineLevel="0" max="2" min="2" style="4" width="28"/>
    <col collapsed="false" customWidth="true" hidden="false" outlineLevel="0" max="3" min="3" style="4" width="55"/>
    <col collapsed="false" customWidth="true" hidden="false" outlineLevel="0" max="4" min="4" style="4" width="20"/>
  </cols>
  <sheetData>
    <row r="1" customFormat="false" ht="27.75" hidden="false" customHeight="true" outlineLevel="0" collapsed="false">
      <c r="A1" s="27" t="s">
        <v>40</v>
      </c>
      <c r="B1" s="27"/>
      <c r="C1" s="27"/>
      <c r="D1" s="27"/>
    </row>
    <row r="2" customFormat="false" ht="27.75" hidden="false" customHeight="true" outlineLevel="0" collapsed="false">
      <c r="A2" s="27"/>
      <c r="B2" s="27"/>
      <c r="C2" s="27"/>
      <c r="D2" s="27"/>
    </row>
    <row r="3" customFormat="false" ht="27.75" hidden="false" customHeight="true" outlineLevel="0" collapsed="false">
      <c r="A3" s="27"/>
      <c r="B3" s="27"/>
      <c r="C3" s="27"/>
      <c r="D3" s="27"/>
    </row>
    <row r="4" customFormat="false" ht="19.5" hidden="false" customHeight="true" outlineLevel="0" collapsed="false">
      <c r="A4" s="28" t="s">
        <v>41</v>
      </c>
      <c r="B4" s="28"/>
      <c r="C4" s="28"/>
      <c r="D4" s="28"/>
    </row>
    <row r="5" customFormat="false" ht="13.8" hidden="false" customHeight="false" outlineLevel="0" collapsed="false"/>
    <row r="6" customFormat="false" ht="13.8" hidden="false" customHeight="false" outlineLevel="0" collapsed="false">
      <c r="B6" s="29" t="s">
        <v>42</v>
      </c>
      <c r="C6" s="29"/>
      <c r="D6" s="30"/>
    </row>
    <row r="7" customFormat="false" ht="15" hidden="false" customHeight="true" outlineLevel="0" collapsed="false">
      <c r="B7" s="31" t="s">
        <v>43</v>
      </c>
      <c r="C7" s="32" t="s">
        <v>44</v>
      </c>
      <c r="D7" s="33"/>
    </row>
    <row r="8" customFormat="false" ht="15" hidden="false" customHeight="true" outlineLevel="0" collapsed="false">
      <c r="B8" s="34" t="s">
        <v>45</v>
      </c>
      <c r="C8" s="32" t="s">
        <v>46</v>
      </c>
      <c r="D8" s="35"/>
    </row>
    <row r="9" customFormat="false" ht="15" hidden="false" customHeight="true" outlineLevel="0" collapsed="false">
      <c r="B9" s="31" t="s">
        <v>47</v>
      </c>
      <c r="C9" s="32" t="s">
        <v>48</v>
      </c>
      <c r="D9" s="33"/>
    </row>
    <row r="10" customFormat="false" ht="15" hidden="false" customHeight="true" outlineLevel="0" collapsed="false">
      <c r="B10" s="34" t="s">
        <v>49</v>
      </c>
      <c r="C10" s="32" t="s">
        <v>50</v>
      </c>
      <c r="D10" s="35"/>
    </row>
    <row r="11" customFormat="false" ht="15" hidden="false" customHeight="true" outlineLevel="0" collapsed="false">
      <c r="B11" s="31" t="s">
        <v>51</v>
      </c>
      <c r="C11" s="32" t="s">
        <v>52</v>
      </c>
      <c r="D11" s="33"/>
    </row>
    <row r="12" customFormat="false" ht="15" hidden="false" customHeight="true" outlineLevel="0" collapsed="false">
      <c r="B12" s="34" t="s">
        <v>53</v>
      </c>
      <c r="C12" s="32" t="s">
        <v>54</v>
      </c>
      <c r="D12" s="35"/>
    </row>
    <row r="13" customFormat="false" ht="15" hidden="false" customHeight="true" outlineLevel="0" collapsed="false">
      <c r="B13" s="31" t="s">
        <v>55</v>
      </c>
      <c r="C13" s="32" t="s">
        <v>56</v>
      </c>
      <c r="D13" s="33"/>
    </row>
    <row r="14" customFormat="false" ht="15" hidden="false" customHeight="true" outlineLevel="0" collapsed="false">
      <c r="B14" s="34" t="s">
        <v>57</v>
      </c>
      <c r="C14" s="32" t="s">
        <v>58</v>
      </c>
      <c r="D14" s="35"/>
    </row>
    <row r="15" customFormat="false" ht="13.8" hidden="false" customHeight="false" outlineLevel="0" collapsed="false"/>
    <row r="16" customFormat="false" ht="13.8" hidden="false" customHeight="false" outlineLevel="0" collapsed="false">
      <c r="B16" s="29" t="s">
        <v>59</v>
      </c>
      <c r="C16" s="29"/>
      <c r="D16" s="36" t="s">
        <v>60</v>
      </c>
    </row>
    <row r="17" customFormat="false" ht="15" hidden="false" customHeight="true" outlineLevel="0" collapsed="false">
      <c r="B17" s="31" t="s">
        <v>61</v>
      </c>
      <c r="C17" s="37" t="s">
        <v>62</v>
      </c>
      <c r="D17" s="33"/>
    </row>
    <row r="18" customFormat="false" ht="15" hidden="false" customHeight="true" outlineLevel="0" collapsed="false">
      <c r="B18" s="34" t="s">
        <v>63</v>
      </c>
      <c r="C18" s="38" t="s">
        <v>64</v>
      </c>
      <c r="D18" s="35"/>
    </row>
    <row r="19" customFormat="false" ht="15" hidden="false" customHeight="true" outlineLevel="0" collapsed="false">
      <c r="B19" s="31" t="s">
        <v>65</v>
      </c>
      <c r="C19" s="37" t="s">
        <v>66</v>
      </c>
      <c r="D19" s="33"/>
    </row>
    <row r="20" customFormat="false" ht="15" hidden="false" customHeight="true" outlineLevel="0" collapsed="false">
      <c r="B20" s="34" t="s">
        <v>67</v>
      </c>
      <c r="C20" s="38" t="s">
        <v>68</v>
      </c>
      <c r="D20" s="35"/>
    </row>
    <row r="21" customFormat="false" ht="15" hidden="false" customHeight="true" outlineLevel="0" collapsed="false">
      <c r="B21" s="31" t="s">
        <v>69</v>
      </c>
      <c r="C21" s="37" t="s">
        <v>70</v>
      </c>
      <c r="D21" s="33"/>
    </row>
    <row r="22" customFormat="false" ht="15" hidden="false" customHeight="true" outlineLevel="0" collapsed="false">
      <c r="B22" s="34" t="s">
        <v>71</v>
      </c>
      <c r="C22" s="38" t="s">
        <v>72</v>
      </c>
      <c r="D22" s="35"/>
    </row>
    <row r="23" customFormat="false" ht="15" hidden="false" customHeight="true" outlineLevel="0" collapsed="false">
      <c r="B23" s="31" t="s">
        <v>73</v>
      </c>
      <c r="C23" s="37" t="s">
        <v>74</v>
      </c>
      <c r="D23" s="33"/>
    </row>
    <row r="24" customFormat="false" ht="15" hidden="false" customHeight="true" outlineLevel="0" collapsed="false">
      <c r="B24" s="34" t="s">
        <v>75</v>
      </c>
      <c r="C24" s="38" t="s">
        <v>76</v>
      </c>
      <c r="D24" s="35"/>
    </row>
    <row r="25" customFormat="false" ht="15" hidden="false" customHeight="true" outlineLevel="0" collapsed="false">
      <c r="B25" s="31" t="s">
        <v>77</v>
      </c>
      <c r="C25" s="37" t="s">
        <v>78</v>
      </c>
      <c r="D25" s="33"/>
    </row>
    <row r="26" customFormat="false" ht="15" hidden="false" customHeight="true" outlineLevel="0" collapsed="false">
      <c r="B26" s="34" t="s">
        <v>79</v>
      </c>
      <c r="C26" s="38" t="s">
        <v>80</v>
      </c>
      <c r="D26" s="35"/>
    </row>
    <row r="27" customFormat="false" ht="13.8" hidden="false" customHeight="false" outlineLevel="0" collapsed="false"/>
    <row r="28" customFormat="false" ht="13.8" hidden="false" customHeight="false" outlineLevel="0" collapsed="false">
      <c r="B28" s="29" t="s">
        <v>81</v>
      </c>
      <c r="C28" s="29"/>
      <c r="D28" s="30"/>
    </row>
    <row r="29" customFormat="false" ht="15" hidden="false" customHeight="true" outlineLevel="0" collapsed="false">
      <c r="B29" s="32" t="s">
        <v>82</v>
      </c>
      <c r="C29" s="39"/>
      <c r="D29" s="39"/>
    </row>
    <row r="30" customFormat="false" ht="15" hidden="false" customHeight="true" outlineLevel="0" collapsed="false">
      <c r="B30" s="38" t="s">
        <v>83</v>
      </c>
      <c r="C30" s="35"/>
      <c r="D30" s="35"/>
    </row>
    <row r="31" customFormat="false" ht="15" hidden="false" customHeight="true" outlineLevel="0" collapsed="false">
      <c r="B31" s="38" t="s">
        <v>84</v>
      </c>
      <c r="C31" s="35"/>
      <c r="D31" s="35"/>
    </row>
    <row r="32" customFormat="false" ht="15" hidden="false" customHeight="true" outlineLevel="0" collapsed="false">
      <c r="B32" s="38" t="s">
        <v>85</v>
      </c>
      <c r="C32" s="35"/>
      <c r="D32" s="35"/>
    </row>
    <row r="33" customFormat="false" ht="15" hidden="false" customHeight="true" outlineLevel="0" collapsed="false">
      <c r="B33" s="40" t="s">
        <v>86</v>
      </c>
      <c r="C33" s="41"/>
      <c r="D33" s="41"/>
    </row>
    <row r="34" customFormat="false" ht="15" hidden="false" customHeight="true" outlineLevel="0" collapsed="false">
      <c r="B34" s="37" t="s">
        <v>87</v>
      </c>
      <c r="C34" s="33"/>
      <c r="D34" s="33"/>
    </row>
    <row r="35" customFormat="false" ht="13.8" hidden="false" customHeight="false" outlineLevel="0" collapsed="false"/>
    <row r="36" customFormat="false" ht="39.75" hidden="false" customHeight="true" outlineLevel="0" collapsed="false">
      <c r="B36" s="42" t="s">
        <v>88</v>
      </c>
      <c r="C36" s="42"/>
      <c r="D36" s="42"/>
    </row>
  </sheetData>
  <mergeCells count="6">
    <mergeCell ref="A1:D3"/>
    <mergeCell ref="A4:D4"/>
    <mergeCell ref="B6:C6"/>
    <mergeCell ref="B16:C16"/>
    <mergeCell ref="B28:C28"/>
    <mergeCell ref="B36: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3C34"/>
    <pageSetUpPr fitToPage="false"/>
  </sheetPr>
  <dimension ref="A1:E71"/>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pane xSplit="0" ySplit="3" topLeftCell="A39" activePane="bottomLeft" state="frozen"/>
      <selection pane="topLeft" activeCell="A1" activeCellId="0" sqref="A1"/>
      <selection pane="bottomLeft" activeCell="F33" activeCellId="0" sqref="F33"/>
    </sheetView>
  </sheetViews>
  <sheetFormatPr defaultColWidth="8.71484375" defaultRowHeight="12.8" customHeight="false" zeroHeight="false" outlineLevelRow="0" outlineLevelCol="0"/>
  <cols>
    <col collapsed="false" customWidth="true" hidden="false" outlineLevel="0" max="1" min="1" style="4" width="38"/>
    <col collapsed="false" customWidth="true" hidden="false" outlineLevel="0" max="2" min="2" style="4" width="20"/>
    <col collapsed="false" customWidth="true" hidden="false" outlineLevel="0" max="4" min="3" style="4" width="14"/>
    <col collapsed="false" customWidth="true" hidden="false" outlineLevel="0" max="5" min="5" style="4" width="32"/>
  </cols>
  <sheetData>
    <row r="1" customFormat="false" ht="30" hidden="false" customHeight="true" outlineLevel="0" collapsed="false">
      <c r="A1" s="43" t="s">
        <v>0</v>
      </c>
      <c r="B1" s="43"/>
      <c r="C1" s="43"/>
      <c r="D1" s="43"/>
      <c r="E1" s="43"/>
    </row>
    <row r="2" customFormat="false" ht="12" hidden="false" customHeight="true" outlineLevel="0" collapsed="false">
      <c r="A2" s="43"/>
      <c r="B2" s="43"/>
      <c r="C2" s="43"/>
      <c r="D2" s="43"/>
      <c r="E2" s="43"/>
    </row>
    <row r="3" customFormat="false" ht="15.75" hidden="false" customHeight="true" outlineLevel="0" collapsed="false">
      <c r="A3" s="44" t="s">
        <v>89</v>
      </c>
      <c r="B3" s="44" t="s">
        <v>90</v>
      </c>
      <c r="C3" s="44" t="s">
        <v>91</v>
      </c>
      <c r="D3" s="44" t="s">
        <v>92</v>
      </c>
      <c r="E3" s="44" t="s">
        <v>93</v>
      </c>
    </row>
    <row r="4" customFormat="false" ht="15.75" hidden="false" customHeight="true" outlineLevel="0" collapsed="false">
      <c r="A4" s="45" t="s">
        <v>94</v>
      </c>
      <c r="B4" s="45"/>
      <c r="C4" s="45"/>
      <c r="D4" s="45"/>
      <c r="E4" s="45"/>
    </row>
    <row r="5" customFormat="false" ht="15" hidden="false" customHeight="true" outlineLevel="0" collapsed="false">
      <c r="A5" s="38" t="s">
        <v>95</v>
      </c>
      <c r="B5" s="46"/>
      <c r="C5" s="47" t="s">
        <v>96</v>
      </c>
      <c r="D5" s="48"/>
      <c r="E5" s="49" t="s">
        <v>97</v>
      </c>
    </row>
    <row r="6" customFormat="false" ht="15" hidden="false" customHeight="true" outlineLevel="0" collapsed="false">
      <c r="A6" s="37" t="s">
        <v>98</v>
      </c>
      <c r="B6" s="46"/>
      <c r="C6" s="50" t="s">
        <v>99</v>
      </c>
      <c r="D6" s="51"/>
      <c r="E6" s="52" t="s">
        <v>100</v>
      </c>
    </row>
    <row r="7" customFormat="false" ht="15" hidden="false" customHeight="true" outlineLevel="0" collapsed="false">
      <c r="A7" s="38" t="s">
        <v>101</v>
      </c>
      <c r="B7" s="46" t="n">
        <v>30</v>
      </c>
      <c r="C7" s="47" t="s">
        <v>102</v>
      </c>
      <c r="D7" s="48" t="s">
        <v>103</v>
      </c>
      <c r="E7" s="49"/>
    </row>
    <row r="8" customFormat="false" ht="15" hidden="false" customHeight="true" outlineLevel="0" collapsed="false">
      <c r="A8" s="37" t="s">
        <v>104</v>
      </c>
      <c r="B8" s="46"/>
      <c r="C8" s="50"/>
      <c r="D8" s="51"/>
      <c r="E8" s="52" t="s">
        <v>105</v>
      </c>
    </row>
    <row r="9" customFormat="false" ht="15" hidden="false" customHeight="true" outlineLevel="0" collapsed="false">
      <c r="A9" s="38" t="s">
        <v>106</v>
      </c>
      <c r="B9" s="46" t="s">
        <v>107</v>
      </c>
      <c r="C9" s="47"/>
      <c r="D9" s="48"/>
      <c r="E9" s="49" t="s">
        <v>108</v>
      </c>
    </row>
    <row r="10" customFormat="false" ht="15.75" hidden="false" customHeight="true" outlineLevel="0" collapsed="false">
      <c r="A10" s="45" t="s">
        <v>109</v>
      </c>
      <c r="B10" s="45"/>
      <c r="C10" s="45"/>
      <c r="D10" s="45"/>
      <c r="E10" s="45"/>
    </row>
    <row r="11" customFormat="false" ht="15" hidden="false" customHeight="true" outlineLevel="0" collapsed="false">
      <c r="A11" s="38" t="s">
        <v>110</v>
      </c>
      <c r="B11" s="46"/>
      <c r="C11" s="47" t="s">
        <v>56</v>
      </c>
      <c r="D11" s="48"/>
      <c r="E11" s="49" t="s">
        <v>111</v>
      </c>
    </row>
    <row r="12" customFormat="false" ht="15" hidden="false" customHeight="true" outlineLevel="0" collapsed="false">
      <c r="A12" s="37" t="s">
        <v>112</v>
      </c>
      <c r="B12" s="53"/>
      <c r="C12" s="50" t="s">
        <v>113</v>
      </c>
      <c r="D12" s="51" t="s">
        <v>114</v>
      </c>
      <c r="E12" s="52" t="s">
        <v>115</v>
      </c>
    </row>
    <row r="13" customFormat="false" ht="15" hidden="false" customHeight="true" outlineLevel="0" collapsed="false">
      <c r="A13" s="38" t="s">
        <v>116</v>
      </c>
      <c r="B13" s="46"/>
      <c r="C13" s="47" t="s">
        <v>117</v>
      </c>
      <c r="D13" s="48"/>
      <c r="E13" s="49" t="s">
        <v>118</v>
      </c>
    </row>
    <row r="14" customFormat="false" ht="15" hidden="false" customHeight="true" outlineLevel="0" collapsed="false">
      <c r="A14" s="37" t="s">
        <v>119</v>
      </c>
      <c r="B14" s="46"/>
      <c r="C14" s="50" t="s">
        <v>117</v>
      </c>
      <c r="D14" s="51"/>
      <c r="E14" s="52" t="s">
        <v>120</v>
      </c>
    </row>
    <row r="15" customFormat="false" ht="15" hidden="false" customHeight="true" outlineLevel="0" collapsed="false">
      <c r="A15" s="38" t="s">
        <v>121</v>
      </c>
      <c r="B15" s="46"/>
      <c r="C15" s="47" t="s">
        <v>122</v>
      </c>
      <c r="D15" s="48"/>
      <c r="E15" s="49" t="s">
        <v>123</v>
      </c>
    </row>
    <row r="16" customFormat="false" ht="15" hidden="false" customHeight="true" outlineLevel="0" collapsed="false">
      <c r="A16" s="37" t="s">
        <v>124</v>
      </c>
      <c r="B16" s="53" t="n">
        <v>0.05</v>
      </c>
      <c r="C16" s="50" t="s">
        <v>18</v>
      </c>
      <c r="D16" s="51" t="s">
        <v>125</v>
      </c>
      <c r="E16" s="52" t="s">
        <v>126</v>
      </c>
    </row>
    <row r="17" customFormat="false" ht="15" hidden="false" customHeight="true" outlineLevel="0" collapsed="false">
      <c r="A17" s="38" t="s">
        <v>127</v>
      </c>
      <c r="B17" s="53" t="n">
        <v>0.1</v>
      </c>
      <c r="C17" s="47" t="s">
        <v>18</v>
      </c>
      <c r="D17" s="48" t="s">
        <v>125</v>
      </c>
      <c r="E17" s="49"/>
    </row>
    <row r="18" customFormat="false" ht="15" hidden="false" customHeight="true" outlineLevel="0" collapsed="false">
      <c r="A18" s="37" t="s">
        <v>128</v>
      </c>
      <c r="B18" s="53" t="n">
        <v>0.2</v>
      </c>
      <c r="C18" s="50" t="s">
        <v>18</v>
      </c>
      <c r="D18" s="51" t="s">
        <v>125</v>
      </c>
      <c r="E18" s="52"/>
    </row>
    <row r="19" customFormat="false" ht="15" hidden="false" customHeight="true" outlineLevel="0" collapsed="false">
      <c r="A19" s="38" t="s">
        <v>129</v>
      </c>
      <c r="B19" s="53" t="n">
        <v>0.35</v>
      </c>
      <c r="C19" s="47" t="s">
        <v>18</v>
      </c>
      <c r="D19" s="48" t="s">
        <v>125</v>
      </c>
      <c r="E19" s="49"/>
    </row>
    <row r="20" customFormat="false" ht="15" hidden="false" customHeight="true" outlineLevel="0" collapsed="false">
      <c r="A20" s="37" t="s">
        <v>130</v>
      </c>
      <c r="B20" s="53" t="n">
        <v>0.5</v>
      </c>
      <c r="C20" s="50" t="s">
        <v>18</v>
      </c>
      <c r="D20" s="51" t="s">
        <v>125</v>
      </c>
      <c r="E20" s="52"/>
    </row>
    <row r="21" customFormat="false" ht="15" hidden="false" customHeight="true" outlineLevel="0" collapsed="false">
      <c r="A21" s="38" t="s">
        <v>131</v>
      </c>
      <c r="B21" s="53" t="n">
        <v>0.7</v>
      </c>
      <c r="C21" s="47" t="s">
        <v>18</v>
      </c>
      <c r="D21" s="48" t="s">
        <v>125</v>
      </c>
      <c r="E21" s="49"/>
    </row>
    <row r="22" customFormat="false" ht="15" hidden="false" customHeight="true" outlineLevel="0" collapsed="false">
      <c r="A22" s="37" t="s">
        <v>132</v>
      </c>
      <c r="B22" s="46" t="s">
        <v>133</v>
      </c>
      <c r="C22" s="50"/>
      <c r="D22" s="51" t="s">
        <v>103</v>
      </c>
      <c r="E22" s="52" t="s">
        <v>134</v>
      </c>
    </row>
    <row r="23" customFormat="false" ht="15" hidden="false" customHeight="true" outlineLevel="0" collapsed="false">
      <c r="A23" s="38" t="s">
        <v>135</v>
      </c>
      <c r="B23" s="46" t="n">
        <v>1.2</v>
      </c>
      <c r="C23" s="47" t="s">
        <v>136</v>
      </c>
      <c r="D23" s="48" t="s">
        <v>103</v>
      </c>
      <c r="E23" s="49" t="s">
        <v>137</v>
      </c>
    </row>
    <row r="24" customFormat="false" ht="15" hidden="false" customHeight="true" outlineLevel="0" collapsed="false">
      <c r="A24" s="37" t="s">
        <v>138</v>
      </c>
      <c r="B24" s="46" t="n">
        <v>0.85</v>
      </c>
      <c r="C24" s="50" t="s">
        <v>136</v>
      </c>
      <c r="D24" s="51" t="s">
        <v>103</v>
      </c>
      <c r="E24" s="52" t="s">
        <v>139</v>
      </c>
    </row>
    <row r="25" customFormat="false" ht="15.75" hidden="false" customHeight="true" outlineLevel="0" collapsed="false">
      <c r="A25" s="45" t="s">
        <v>140</v>
      </c>
      <c r="B25" s="45"/>
      <c r="C25" s="45"/>
      <c r="D25" s="45"/>
      <c r="E25" s="45"/>
    </row>
    <row r="26" customFormat="false" ht="15" hidden="false" customHeight="true" outlineLevel="0" collapsed="false">
      <c r="A26" s="37" t="s">
        <v>141</v>
      </c>
      <c r="B26" s="53" t="n">
        <v>0.3</v>
      </c>
      <c r="C26" s="50" t="s">
        <v>142</v>
      </c>
      <c r="D26" s="51" t="s">
        <v>114</v>
      </c>
      <c r="E26" s="52" t="s">
        <v>143</v>
      </c>
    </row>
    <row r="27" customFormat="false" ht="15" hidden="false" customHeight="true" outlineLevel="0" collapsed="false">
      <c r="A27" s="38" t="s">
        <v>144</v>
      </c>
      <c r="B27" s="53" t="n">
        <v>0.2</v>
      </c>
      <c r="C27" s="47" t="s">
        <v>142</v>
      </c>
      <c r="D27" s="48" t="s">
        <v>103</v>
      </c>
      <c r="E27" s="49" t="s">
        <v>145</v>
      </c>
    </row>
    <row r="28" customFormat="false" ht="15" hidden="false" customHeight="true" outlineLevel="0" collapsed="false">
      <c r="A28" s="37" t="s">
        <v>146</v>
      </c>
      <c r="B28" s="53" t="n">
        <v>0.1</v>
      </c>
      <c r="C28" s="50" t="s">
        <v>113</v>
      </c>
      <c r="D28" s="51" t="s">
        <v>114</v>
      </c>
      <c r="E28" s="52" t="s">
        <v>147</v>
      </c>
    </row>
    <row r="29" customFormat="false" ht="15" hidden="false" customHeight="true" outlineLevel="0" collapsed="false">
      <c r="A29" s="38" t="s">
        <v>148</v>
      </c>
      <c r="B29" s="53" t="n">
        <v>0.65</v>
      </c>
      <c r="C29" s="47" t="s">
        <v>149</v>
      </c>
      <c r="D29" s="48" t="s">
        <v>103</v>
      </c>
      <c r="E29" s="49" t="s">
        <v>150</v>
      </c>
    </row>
    <row r="30" customFormat="false" ht="15.75" hidden="false" customHeight="true" outlineLevel="0" collapsed="false">
      <c r="A30" s="45" t="s">
        <v>151</v>
      </c>
      <c r="B30" s="45"/>
      <c r="C30" s="45"/>
      <c r="D30" s="45"/>
      <c r="E30" s="45"/>
    </row>
    <row r="31" customFormat="false" ht="15" hidden="false" customHeight="true" outlineLevel="0" collapsed="false">
      <c r="A31" s="38" t="s">
        <v>152</v>
      </c>
      <c r="B31" s="46"/>
      <c r="C31" s="47" t="s">
        <v>153</v>
      </c>
      <c r="D31" s="48" t="s">
        <v>103</v>
      </c>
      <c r="E31" s="49" t="s">
        <v>154</v>
      </c>
    </row>
    <row r="32" customFormat="false" ht="15" hidden="false" customHeight="true" outlineLevel="0" collapsed="false">
      <c r="A32" s="37" t="s">
        <v>155</v>
      </c>
      <c r="B32" s="46" t="n">
        <v>24000</v>
      </c>
      <c r="C32" s="50" t="s">
        <v>156</v>
      </c>
      <c r="D32" s="51" t="s">
        <v>103</v>
      </c>
      <c r="E32" s="52" t="s">
        <v>157</v>
      </c>
    </row>
    <row r="33" customFormat="false" ht="15" hidden="false" customHeight="true" outlineLevel="0" collapsed="false">
      <c r="A33" s="38" t="s">
        <v>158</v>
      </c>
      <c r="B33" s="46"/>
      <c r="C33" s="47" t="s">
        <v>159</v>
      </c>
      <c r="D33" s="48" t="s">
        <v>114</v>
      </c>
      <c r="E33" s="49" t="s">
        <v>160</v>
      </c>
    </row>
    <row r="34" customFormat="false" ht="15" hidden="false" customHeight="true" outlineLevel="0" collapsed="false">
      <c r="A34" s="37" t="s">
        <v>161</v>
      </c>
      <c r="B34" s="46"/>
      <c r="C34" s="50" t="s">
        <v>159</v>
      </c>
      <c r="D34" s="51" t="s">
        <v>114</v>
      </c>
      <c r="E34" s="52"/>
    </row>
    <row r="35" customFormat="false" ht="15" hidden="false" customHeight="true" outlineLevel="0" collapsed="false">
      <c r="A35" s="38" t="s">
        <v>162</v>
      </c>
      <c r="B35" s="46"/>
      <c r="C35" s="47" t="s">
        <v>159</v>
      </c>
      <c r="D35" s="48" t="s">
        <v>103</v>
      </c>
      <c r="E35" s="49"/>
    </row>
    <row r="36" customFormat="false" ht="15" hidden="false" customHeight="true" outlineLevel="0" collapsed="false">
      <c r="A36" s="37" t="s">
        <v>163</v>
      </c>
      <c r="B36" s="53" t="n">
        <v>0.1</v>
      </c>
      <c r="C36" s="50" t="s">
        <v>113</v>
      </c>
      <c r="D36" s="51" t="s">
        <v>114</v>
      </c>
      <c r="E36" s="52" t="s">
        <v>164</v>
      </c>
    </row>
    <row r="37" customFormat="false" ht="15.75" hidden="false" customHeight="true" outlineLevel="0" collapsed="false">
      <c r="A37" s="45" t="s">
        <v>165</v>
      </c>
      <c r="B37" s="45"/>
      <c r="C37" s="45"/>
      <c r="D37" s="45"/>
      <c r="E37" s="45"/>
    </row>
    <row r="38" customFormat="false" ht="15" hidden="false" customHeight="true" outlineLevel="0" collapsed="false">
      <c r="A38" s="37" t="s">
        <v>166</v>
      </c>
      <c r="B38" s="46"/>
      <c r="C38" s="50" t="s">
        <v>159</v>
      </c>
      <c r="D38" s="51" t="s">
        <v>103</v>
      </c>
      <c r="E38" s="52"/>
    </row>
    <row r="39" customFormat="false" ht="15" hidden="false" customHeight="true" outlineLevel="0" collapsed="false">
      <c r="A39" s="38" t="s">
        <v>167</v>
      </c>
      <c r="B39" s="46"/>
      <c r="C39" s="47" t="s">
        <v>56</v>
      </c>
      <c r="D39" s="48" t="s">
        <v>168</v>
      </c>
      <c r="E39" s="49"/>
    </row>
    <row r="40" customFormat="false" ht="15" hidden="false" customHeight="true" outlineLevel="0" collapsed="false">
      <c r="A40" s="37" t="s">
        <v>169</v>
      </c>
      <c r="B40" s="53" t="n">
        <v>0.15</v>
      </c>
      <c r="C40" s="50" t="s">
        <v>18</v>
      </c>
      <c r="D40" s="51" t="s">
        <v>103</v>
      </c>
      <c r="E40" s="52" t="s">
        <v>170</v>
      </c>
    </row>
    <row r="41" customFormat="false" ht="15" hidden="false" customHeight="true" outlineLevel="0" collapsed="false">
      <c r="A41" s="38" t="s">
        <v>171</v>
      </c>
      <c r="B41" s="53" t="n">
        <v>0.05</v>
      </c>
      <c r="C41" s="47" t="s">
        <v>172</v>
      </c>
      <c r="D41" s="48" t="s">
        <v>103</v>
      </c>
      <c r="E41" s="49" t="s">
        <v>173</v>
      </c>
    </row>
    <row r="42" customFormat="false" ht="15" hidden="false" customHeight="true" outlineLevel="0" collapsed="false">
      <c r="A42" s="37" t="s">
        <v>174</v>
      </c>
      <c r="B42" s="53" t="n">
        <v>0.2</v>
      </c>
      <c r="C42" s="50" t="s">
        <v>18</v>
      </c>
      <c r="D42" s="51" t="s">
        <v>103</v>
      </c>
      <c r="E42" s="52" t="s">
        <v>175</v>
      </c>
    </row>
    <row r="43" customFormat="false" ht="15" hidden="false" customHeight="true" outlineLevel="0" collapsed="false">
      <c r="A43" s="38" t="s">
        <v>176</v>
      </c>
      <c r="B43" s="53" t="n">
        <v>0.1</v>
      </c>
      <c r="C43" s="47" t="s">
        <v>113</v>
      </c>
      <c r="D43" s="48" t="s">
        <v>114</v>
      </c>
      <c r="E43" s="49"/>
    </row>
    <row r="44" customFormat="false" ht="15.75" hidden="false" customHeight="true" outlineLevel="0" collapsed="false">
      <c r="A44" s="45" t="s">
        <v>177</v>
      </c>
      <c r="B44" s="45"/>
      <c r="C44" s="45"/>
      <c r="D44" s="45"/>
      <c r="E44" s="45"/>
    </row>
    <row r="45" customFormat="false" ht="15" hidden="false" customHeight="true" outlineLevel="0" collapsed="false">
      <c r="A45" s="38" t="s">
        <v>178</v>
      </c>
      <c r="B45" s="53" t="n">
        <v>0.02</v>
      </c>
      <c r="C45" s="47" t="s">
        <v>18</v>
      </c>
      <c r="D45" s="48" t="s">
        <v>103</v>
      </c>
      <c r="E45" s="49" t="s">
        <v>179</v>
      </c>
    </row>
    <row r="46" customFormat="false" ht="15" hidden="false" customHeight="true" outlineLevel="0" collapsed="false">
      <c r="A46" s="37" t="s">
        <v>180</v>
      </c>
      <c r="B46" s="53" t="n">
        <v>0.03</v>
      </c>
      <c r="C46" s="50" t="s">
        <v>18</v>
      </c>
      <c r="D46" s="51" t="s">
        <v>103</v>
      </c>
      <c r="E46" s="52" t="s">
        <v>181</v>
      </c>
    </row>
    <row r="47" customFormat="false" ht="15" hidden="false" customHeight="true" outlineLevel="0" collapsed="false">
      <c r="A47" s="38" t="s">
        <v>182</v>
      </c>
      <c r="B47" s="46"/>
      <c r="C47" s="47" t="s">
        <v>159</v>
      </c>
      <c r="D47" s="48" t="s">
        <v>103</v>
      </c>
      <c r="E47" s="49"/>
    </row>
    <row r="48" customFormat="false" ht="15.75" hidden="false" customHeight="true" outlineLevel="0" collapsed="false">
      <c r="A48" s="45" t="s">
        <v>183</v>
      </c>
      <c r="B48" s="45"/>
      <c r="C48" s="45"/>
      <c r="D48" s="45"/>
      <c r="E48" s="45"/>
    </row>
    <row r="49" customFormat="false" ht="15" hidden="false" customHeight="true" outlineLevel="0" collapsed="false">
      <c r="A49" s="38" t="s">
        <v>184</v>
      </c>
      <c r="B49" s="46"/>
      <c r="C49" s="47" t="s">
        <v>56</v>
      </c>
      <c r="D49" s="48" t="s">
        <v>103</v>
      </c>
      <c r="E49" s="49" t="s">
        <v>185</v>
      </c>
    </row>
    <row r="50" customFormat="false" ht="15" hidden="false" customHeight="true" outlineLevel="0" collapsed="false">
      <c r="A50" s="37" t="s">
        <v>186</v>
      </c>
      <c r="B50" s="46" t="n">
        <v>36</v>
      </c>
      <c r="C50" s="50" t="s">
        <v>187</v>
      </c>
      <c r="D50" s="51" t="s">
        <v>103</v>
      </c>
      <c r="E50" s="52" t="s">
        <v>188</v>
      </c>
    </row>
    <row r="51" customFormat="false" ht="15" hidden="false" customHeight="true" outlineLevel="0" collapsed="false">
      <c r="A51" s="38" t="s">
        <v>189</v>
      </c>
      <c r="B51" s="46"/>
      <c r="C51" s="47" t="s">
        <v>56</v>
      </c>
      <c r="D51" s="48" t="s">
        <v>103</v>
      </c>
      <c r="E51" s="49" t="s">
        <v>190</v>
      </c>
    </row>
    <row r="52" customFormat="false" ht="15" hidden="false" customHeight="true" outlineLevel="0" collapsed="false">
      <c r="A52" s="37" t="s">
        <v>191</v>
      </c>
      <c r="B52" s="46"/>
      <c r="C52" s="50" t="s">
        <v>56</v>
      </c>
      <c r="D52" s="51" t="s">
        <v>103</v>
      </c>
      <c r="E52" s="52" t="s">
        <v>192</v>
      </c>
    </row>
    <row r="53" customFormat="false" ht="15" hidden="false" customHeight="true" outlineLevel="0" collapsed="false">
      <c r="A53" s="38" t="s">
        <v>193</v>
      </c>
      <c r="B53" s="46"/>
      <c r="C53" s="47" t="s">
        <v>56</v>
      </c>
      <c r="D53" s="48" t="s">
        <v>103</v>
      </c>
      <c r="E53" s="49" t="s">
        <v>194</v>
      </c>
    </row>
    <row r="54" customFormat="false" ht="15.75" hidden="false" customHeight="true" outlineLevel="0" collapsed="false">
      <c r="A54" s="45" t="s">
        <v>195</v>
      </c>
      <c r="B54" s="45"/>
      <c r="C54" s="45"/>
      <c r="D54" s="45"/>
      <c r="E54" s="45"/>
    </row>
    <row r="55" customFormat="false" ht="15" hidden="false" customHeight="true" outlineLevel="0" collapsed="false">
      <c r="A55" s="38" t="s">
        <v>196</v>
      </c>
      <c r="B55" s="46"/>
      <c r="C55" s="47" t="s">
        <v>56</v>
      </c>
      <c r="D55" s="48" t="s">
        <v>103</v>
      </c>
      <c r="E55" s="49"/>
    </row>
    <row r="56" customFormat="false" ht="15" hidden="false" customHeight="true" outlineLevel="0" collapsed="false">
      <c r="A56" s="37" t="s">
        <v>197</v>
      </c>
      <c r="B56" s="46"/>
      <c r="C56" s="50" t="s">
        <v>56</v>
      </c>
      <c r="D56" s="51" t="s">
        <v>103</v>
      </c>
      <c r="E56" s="52" t="s">
        <v>198</v>
      </c>
    </row>
    <row r="57" customFormat="false" ht="15" hidden="false" customHeight="true" outlineLevel="0" collapsed="false">
      <c r="A57" s="38" t="s">
        <v>199</v>
      </c>
      <c r="B57" s="53" t="n">
        <v>0.09</v>
      </c>
      <c r="C57" s="47" t="s">
        <v>113</v>
      </c>
      <c r="D57" s="48" t="s">
        <v>103</v>
      </c>
      <c r="E57" s="49" t="s">
        <v>200</v>
      </c>
    </row>
    <row r="58" customFormat="false" ht="15" hidden="false" customHeight="true" outlineLevel="0" collapsed="false">
      <c r="A58" s="37" t="s">
        <v>201</v>
      </c>
      <c r="B58" s="46" t="n">
        <v>36</v>
      </c>
      <c r="C58" s="50" t="s">
        <v>202</v>
      </c>
      <c r="D58" s="51" t="s">
        <v>103</v>
      </c>
      <c r="E58" s="52" t="s">
        <v>203</v>
      </c>
    </row>
    <row r="59" customFormat="false" ht="15" hidden="false" customHeight="true" outlineLevel="0" collapsed="false">
      <c r="A59" s="38" t="s">
        <v>204</v>
      </c>
      <c r="B59" s="46" t="n">
        <v>0</v>
      </c>
      <c r="C59" s="47" t="s">
        <v>202</v>
      </c>
      <c r="D59" s="48" t="s">
        <v>103</v>
      </c>
      <c r="E59" s="49" t="s">
        <v>205</v>
      </c>
    </row>
    <row r="60" customFormat="false" ht="15.75" hidden="false" customHeight="true" outlineLevel="0" collapsed="false">
      <c r="A60" s="45" t="s">
        <v>206</v>
      </c>
      <c r="B60" s="45"/>
      <c r="C60" s="45"/>
      <c r="D60" s="45"/>
      <c r="E60" s="45"/>
    </row>
    <row r="61" customFormat="false" ht="15" hidden="false" customHeight="true" outlineLevel="0" collapsed="false">
      <c r="A61" s="38" t="s">
        <v>207</v>
      </c>
      <c r="B61" s="53" t="n">
        <v>0.2</v>
      </c>
      <c r="C61" s="47" t="s">
        <v>18</v>
      </c>
      <c r="D61" s="48" t="s">
        <v>103</v>
      </c>
      <c r="E61" s="49" t="s">
        <v>208</v>
      </c>
    </row>
    <row r="62" customFormat="false" ht="15" hidden="false" customHeight="true" outlineLevel="0" collapsed="false">
      <c r="A62" s="37" t="s">
        <v>209</v>
      </c>
      <c r="B62" s="46" t="n">
        <v>2</v>
      </c>
      <c r="C62" s="50" t="s">
        <v>210</v>
      </c>
      <c r="D62" s="51" t="s">
        <v>103</v>
      </c>
      <c r="E62" s="52" t="s">
        <v>211</v>
      </c>
    </row>
    <row r="63" customFormat="false" ht="15" hidden="false" customHeight="true" outlineLevel="0" collapsed="false">
      <c r="A63" s="38" t="s">
        <v>212</v>
      </c>
      <c r="B63" s="46" t="n">
        <v>2</v>
      </c>
      <c r="C63" s="47" t="s">
        <v>210</v>
      </c>
      <c r="D63" s="48" t="s">
        <v>103</v>
      </c>
      <c r="E63" s="49" t="s">
        <v>213</v>
      </c>
    </row>
    <row r="64" customFormat="false" ht="15" hidden="false" customHeight="true" outlineLevel="0" collapsed="false">
      <c r="A64" s="37" t="s">
        <v>214</v>
      </c>
      <c r="B64" s="53" t="n">
        <v>0.08</v>
      </c>
      <c r="C64" s="50" t="s">
        <v>18</v>
      </c>
      <c r="D64" s="51" t="s">
        <v>103</v>
      </c>
      <c r="E64" s="52" t="s">
        <v>215</v>
      </c>
    </row>
    <row r="65" customFormat="false" ht="15.75" hidden="false" customHeight="true" outlineLevel="0" collapsed="false">
      <c r="A65" s="45" t="s">
        <v>216</v>
      </c>
      <c r="B65" s="45"/>
      <c r="C65" s="45"/>
      <c r="D65" s="45"/>
      <c r="E65" s="45"/>
    </row>
    <row r="66" customFormat="false" ht="15" hidden="false" customHeight="true" outlineLevel="0" collapsed="false">
      <c r="A66" s="37" t="s">
        <v>217</v>
      </c>
      <c r="B66" s="53" t="n">
        <v>0.32</v>
      </c>
      <c r="C66" s="50" t="s">
        <v>18</v>
      </c>
      <c r="D66" s="51" t="s">
        <v>103</v>
      </c>
      <c r="E66" s="52"/>
    </row>
    <row r="67" customFormat="false" ht="15" hidden="false" customHeight="true" outlineLevel="0" collapsed="false">
      <c r="A67" s="38" t="s">
        <v>218</v>
      </c>
      <c r="B67" s="53" t="n">
        <v>0.45</v>
      </c>
      <c r="C67" s="47" t="s">
        <v>18</v>
      </c>
      <c r="D67" s="48" t="s">
        <v>103</v>
      </c>
      <c r="E67" s="49"/>
    </row>
    <row r="68" customFormat="false" ht="15" hidden="false" customHeight="true" outlineLevel="0" collapsed="false">
      <c r="A68" s="37" t="s">
        <v>219</v>
      </c>
      <c r="B68" s="53" t="n">
        <v>0.15</v>
      </c>
      <c r="C68" s="50" t="s">
        <v>18</v>
      </c>
      <c r="D68" s="51" t="s">
        <v>103</v>
      </c>
      <c r="E68" s="52"/>
    </row>
    <row r="69" customFormat="false" ht="15" hidden="false" customHeight="true" outlineLevel="0" collapsed="false">
      <c r="A69" s="38" t="s">
        <v>220</v>
      </c>
      <c r="B69" s="46" t="n">
        <v>24</v>
      </c>
      <c r="C69" s="47" t="s">
        <v>202</v>
      </c>
      <c r="D69" s="48" t="s">
        <v>103</v>
      </c>
      <c r="E69" s="49" t="s">
        <v>221</v>
      </c>
    </row>
    <row r="70" customFormat="false" ht="13.8" hidden="false" customHeight="false" outlineLevel="0" collapsed="false"/>
    <row r="71" customFormat="false" ht="30" hidden="false" customHeight="true" outlineLevel="0" collapsed="false">
      <c r="A71" s="42" t="s">
        <v>222</v>
      </c>
      <c r="B71" s="42"/>
      <c r="C71" s="42"/>
      <c r="D71" s="42"/>
      <c r="E71" s="42"/>
    </row>
  </sheetData>
  <mergeCells count="12">
    <mergeCell ref="A1:E2"/>
    <mergeCell ref="A4:E4"/>
    <mergeCell ref="A10:E10"/>
    <mergeCell ref="A25:E25"/>
    <mergeCell ref="A30:E30"/>
    <mergeCell ref="A37:E37"/>
    <mergeCell ref="A44:E44"/>
    <mergeCell ref="A48:E48"/>
    <mergeCell ref="A54:E54"/>
    <mergeCell ref="A60:E60"/>
    <mergeCell ref="A65:E65"/>
    <mergeCell ref="A71:E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6B50"/>
    <pageSetUpPr fitToPage="false"/>
  </sheetPr>
  <dimension ref="A1:BJ33"/>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H28" activeCellId="0" sqref="H28"/>
    </sheetView>
  </sheetViews>
  <sheetFormatPr defaultColWidth="8.71484375" defaultRowHeight="13.8" customHeight="false" zeroHeight="false" outlineLevelRow="0" outlineLevelCol="0"/>
  <cols>
    <col collapsed="false" customWidth="true" hidden="false" outlineLevel="0" max="1" min="1" style="4" width="48.4"/>
    <col collapsed="false" customWidth="true" hidden="false" outlineLevel="0" max="2" min="2" style="4" width="26.05"/>
    <col collapsed="false" customWidth="true" hidden="false" outlineLevel="0" max="36" min="3" style="4" width="11.18"/>
    <col collapsed="false" customWidth="true" hidden="false" outlineLevel="0" max="62" min="37" style="4" width="12.24"/>
    <col collapsed="false" customWidth="true" hidden="false" outlineLevel="0" max="16384" min="16384" style="4" width="11.53"/>
  </cols>
  <sheetData>
    <row r="1" customFormat="false" ht="30" hidden="false" customHeight="true" outlineLevel="0" collapsed="false">
      <c r="A1" s="54" t="s">
        <v>223</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row>
    <row r="2" customFormat="false" ht="30" hidden="false" customHeight="true" outlineLevel="0" collapsed="false">
      <c r="A2" s="43"/>
      <c r="B2" s="55"/>
      <c r="C2" s="55"/>
      <c r="D2" s="55" t="n">
        <v>1</v>
      </c>
      <c r="E2" s="55" t="n">
        <v>2</v>
      </c>
      <c r="F2" s="55" t="n">
        <v>3</v>
      </c>
      <c r="G2" s="55" t="n">
        <v>4</v>
      </c>
      <c r="H2" s="55" t="n">
        <v>5</v>
      </c>
      <c r="I2" s="55" t="n">
        <v>6</v>
      </c>
      <c r="J2" s="55" t="n">
        <v>7</v>
      </c>
      <c r="K2" s="55" t="n">
        <v>8</v>
      </c>
      <c r="L2" s="55" t="n">
        <v>9</v>
      </c>
      <c r="M2" s="55" t="n">
        <v>10</v>
      </c>
      <c r="N2" s="55" t="n">
        <v>11</v>
      </c>
      <c r="O2" s="55" t="n">
        <v>12</v>
      </c>
      <c r="P2" s="55" t="n">
        <v>13</v>
      </c>
      <c r="Q2" s="55" t="n">
        <v>14</v>
      </c>
      <c r="R2" s="55" t="n">
        <v>15</v>
      </c>
      <c r="S2" s="55" t="n">
        <v>16</v>
      </c>
      <c r="T2" s="55" t="n">
        <v>17</v>
      </c>
      <c r="U2" s="55" t="n">
        <v>18</v>
      </c>
      <c r="V2" s="55" t="n">
        <v>19</v>
      </c>
      <c r="W2" s="55" t="n">
        <v>20</v>
      </c>
      <c r="X2" s="55" t="n">
        <v>21</v>
      </c>
      <c r="Y2" s="55" t="n">
        <v>22</v>
      </c>
      <c r="Z2" s="55" t="n">
        <v>23</v>
      </c>
      <c r="AA2" s="55" t="n">
        <v>24</v>
      </c>
      <c r="AB2" s="55" t="n">
        <v>25</v>
      </c>
      <c r="AC2" s="55" t="n">
        <v>26</v>
      </c>
      <c r="AD2" s="55" t="n">
        <v>27</v>
      </c>
      <c r="AE2" s="55" t="n">
        <v>28</v>
      </c>
      <c r="AF2" s="55" t="n">
        <v>29</v>
      </c>
      <c r="AG2" s="55" t="n">
        <v>30</v>
      </c>
      <c r="AH2" s="55" t="n">
        <v>31</v>
      </c>
      <c r="AI2" s="55" t="n">
        <v>32</v>
      </c>
      <c r="AJ2" s="55" t="n">
        <v>33</v>
      </c>
      <c r="AK2" s="55" t="n">
        <v>34</v>
      </c>
      <c r="AL2" s="55" t="n">
        <v>35</v>
      </c>
      <c r="AM2" s="55" t="n">
        <v>36</v>
      </c>
      <c r="AN2" s="55" t="n">
        <v>37</v>
      </c>
      <c r="AO2" s="55" t="n">
        <v>38</v>
      </c>
      <c r="AP2" s="55" t="n">
        <v>39</v>
      </c>
      <c r="AQ2" s="55" t="n">
        <v>40</v>
      </c>
      <c r="AR2" s="55" t="n">
        <v>41</v>
      </c>
      <c r="AS2" s="55" t="n">
        <v>42</v>
      </c>
      <c r="AT2" s="55" t="n">
        <v>43</v>
      </c>
      <c r="AU2" s="55" t="n">
        <v>44</v>
      </c>
      <c r="AV2" s="55" t="n">
        <v>45</v>
      </c>
      <c r="AW2" s="55" t="n">
        <v>46</v>
      </c>
      <c r="AX2" s="55" t="n">
        <v>47</v>
      </c>
      <c r="AY2" s="55" t="n">
        <v>48</v>
      </c>
      <c r="AZ2" s="55" t="n">
        <v>49</v>
      </c>
      <c r="BA2" s="55" t="n">
        <v>50</v>
      </c>
      <c r="BB2" s="55" t="n">
        <v>51</v>
      </c>
      <c r="BC2" s="55" t="n">
        <v>52</v>
      </c>
      <c r="BD2" s="55" t="n">
        <v>53</v>
      </c>
      <c r="BE2" s="55" t="n">
        <v>54</v>
      </c>
      <c r="BF2" s="55" t="n">
        <v>55</v>
      </c>
      <c r="BG2" s="55" t="n">
        <v>56</v>
      </c>
      <c r="BH2" s="55" t="n">
        <v>57</v>
      </c>
      <c r="BI2" s="55" t="n">
        <v>58</v>
      </c>
      <c r="BJ2" s="55" t="n">
        <v>59</v>
      </c>
    </row>
    <row r="3" customFormat="false" ht="30" hidden="false" customHeight="true" outlineLevel="0" collapsed="false">
      <c r="A3" s="43"/>
      <c r="B3" s="55"/>
      <c r="C3" s="55" t="n">
        <f aca="false">YEAR(C5)-YEAR('⚙️ Assumptions'!$B$6) + 1</f>
        <v>1</v>
      </c>
      <c r="D3" s="55" t="n">
        <f aca="false">YEAR(D5)-YEAR('⚙️ Assumptions'!$B$6) + 1</f>
        <v>1</v>
      </c>
      <c r="E3" s="55" t="n">
        <f aca="false">YEAR(E5)-YEAR('⚙️ Assumptions'!$B$6) + 1</f>
        <v>1</v>
      </c>
      <c r="F3" s="55" t="n">
        <f aca="false">YEAR(F5)-YEAR('⚙️ Assumptions'!$B$6) + 1</f>
        <v>2</v>
      </c>
      <c r="G3" s="55" t="n">
        <f aca="false">YEAR(G5)-YEAR('⚙️ Assumptions'!$B$6) + 1</f>
        <v>2</v>
      </c>
      <c r="H3" s="55" t="n">
        <f aca="false">YEAR(H5)-YEAR('⚙️ Assumptions'!$B$6) + 1</f>
        <v>2</v>
      </c>
      <c r="I3" s="55" t="n">
        <f aca="false">YEAR(I5)-YEAR('⚙️ Assumptions'!$B$6) + 1</f>
        <v>2</v>
      </c>
      <c r="J3" s="55" t="n">
        <f aca="false">YEAR(J5)-YEAR('⚙️ Assumptions'!$B$6) + 1</f>
        <v>2</v>
      </c>
      <c r="K3" s="55" t="n">
        <f aca="false">YEAR(K5)-YEAR('⚙️ Assumptions'!$B$6) + 1</f>
        <v>2</v>
      </c>
      <c r="L3" s="55" t="n">
        <f aca="false">YEAR(L5)-YEAR('⚙️ Assumptions'!$B$6) + 1</f>
        <v>2</v>
      </c>
      <c r="M3" s="55" t="n">
        <f aca="false">YEAR(M5)-YEAR('⚙️ Assumptions'!$B$6) + 1</f>
        <v>2</v>
      </c>
      <c r="N3" s="55" t="n">
        <f aca="false">YEAR(N5)-YEAR('⚙️ Assumptions'!$B$6) + 1</f>
        <v>2</v>
      </c>
      <c r="O3" s="55" t="n">
        <f aca="false">YEAR(O5)-YEAR('⚙️ Assumptions'!$B$6) + 1</f>
        <v>2</v>
      </c>
      <c r="P3" s="55" t="n">
        <f aca="false">YEAR(P5)-YEAR('⚙️ Assumptions'!$B$6) + 1</f>
        <v>2</v>
      </c>
      <c r="Q3" s="55" t="n">
        <f aca="false">YEAR(Q5)-YEAR('⚙️ Assumptions'!$B$6) + 1</f>
        <v>2</v>
      </c>
      <c r="R3" s="55" t="n">
        <f aca="false">YEAR(R5)-YEAR('⚙️ Assumptions'!$B$6) + 1</f>
        <v>3</v>
      </c>
      <c r="S3" s="55" t="n">
        <f aca="false">YEAR(S5)-YEAR('⚙️ Assumptions'!$B$6) + 1</f>
        <v>3</v>
      </c>
      <c r="T3" s="55" t="n">
        <f aca="false">YEAR(T5)-YEAR('⚙️ Assumptions'!$B$6) + 1</f>
        <v>3</v>
      </c>
      <c r="U3" s="55" t="n">
        <f aca="false">YEAR(U5)-YEAR('⚙️ Assumptions'!$B$6) + 1</f>
        <v>3</v>
      </c>
      <c r="V3" s="55" t="n">
        <f aca="false">YEAR(V5)-YEAR('⚙️ Assumptions'!$B$6) + 1</f>
        <v>3</v>
      </c>
      <c r="W3" s="55" t="n">
        <f aca="false">YEAR(W5)-YEAR('⚙️ Assumptions'!$B$6) + 1</f>
        <v>3</v>
      </c>
      <c r="X3" s="55" t="n">
        <f aca="false">YEAR(X5)-YEAR('⚙️ Assumptions'!$B$6) + 1</f>
        <v>3</v>
      </c>
      <c r="Y3" s="55" t="n">
        <f aca="false">YEAR(Y5)-YEAR('⚙️ Assumptions'!$B$6) + 1</f>
        <v>3</v>
      </c>
      <c r="Z3" s="55" t="n">
        <f aca="false">YEAR(Z5)-YEAR('⚙️ Assumptions'!$B$6) + 1</f>
        <v>3</v>
      </c>
      <c r="AA3" s="55" t="n">
        <f aca="false">YEAR(AA5)-YEAR('⚙️ Assumptions'!$B$6) + 1</f>
        <v>3</v>
      </c>
      <c r="AB3" s="55" t="n">
        <f aca="false">YEAR(AB5)-YEAR('⚙️ Assumptions'!$B$6) + 1</f>
        <v>3</v>
      </c>
      <c r="AC3" s="55" t="n">
        <f aca="false">YEAR(AC5)-YEAR('⚙️ Assumptions'!$B$6) + 1</f>
        <v>3</v>
      </c>
      <c r="AD3" s="55" t="n">
        <f aca="false">YEAR(AD5)-YEAR('⚙️ Assumptions'!$B$6) + 1</f>
        <v>4</v>
      </c>
      <c r="AE3" s="55" t="n">
        <f aca="false">YEAR(AE5)-YEAR('⚙️ Assumptions'!$B$6) + 1</f>
        <v>4</v>
      </c>
      <c r="AF3" s="55" t="n">
        <f aca="false">YEAR(AF5)-YEAR('⚙️ Assumptions'!$B$6) + 1</f>
        <v>4</v>
      </c>
      <c r="AG3" s="55" t="n">
        <f aca="false">YEAR(AG5)-YEAR('⚙️ Assumptions'!$B$6) + 1</f>
        <v>4</v>
      </c>
      <c r="AH3" s="55" t="n">
        <f aca="false">YEAR(AH5)-YEAR('⚙️ Assumptions'!$B$6) + 1</f>
        <v>4</v>
      </c>
      <c r="AI3" s="55" t="n">
        <f aca="false">YEAR(AI5)-YEAR('⚙️ Assumptions'!$B$6) + 1</f>
        <v>4</v>
      </c>
      <c r="AJ3" s="55" t="n">
        <f aca="false">YEAR(AJ5)-YEAR('⚙️ Assumptions'!$B$6) + 1</f>
        <v>4</v>
      </c>
      <c r="AK3" s="55" t="n">
        <f aca="false">YEAR(AK5)-YEAR('⚙️ Assumptions'!$B$6) + 1</f>
        <v>4</v>
      </c>
      <c r="AL3" s="55" t="n">
        <f aca="false">YEAR(AL5)-YEAR('⚙️ Assumptions'!$B$6) + 1</f>
        <v>4</v>
      </c>
      <c r="AM3" s="55" t="n">
        <f aca="false">YEAR(AM5)-YEAR('⚙️ Assumptions'!$B$6) + 1</f>
        <v>4</v>
      </c>
      <c r="AN3" s="55" t="n">
        <f aca="false">YEAR(AN5)-YEAR('⚙️ Assumptions'!$B$6) + 1</f>
        <v>4</v>
      </c>
      <c r="AO3" s="55" t="n">
        <f aca="false">YEAR(AO5)-YEAR('⚙️ Assumptions'!$B$6) + 1</f>
        <v>4</v>
      </c>
      <c r="AP3" s="55" t="n">
        <f aca="false">YEAR(AP5)-YEAR('⚙️ Assumptions'!$B$6) + 1</f>
        <v>5</v>
      </c>
      <c r="AQ3" s="55" t="n">
        <f aca="false">YEAR(AQ5)-YEAR('⚙️ Assumptions'!$B$6) + 1</f>
        <v>5</v>
      </c>
      <c r="AR3" s="55" t="n">
        <f aca="false">YEAR(AR5)-YEAR('⚙️ Assumptions'!$B$6) + 1</f>
        <v>5</v>
      </c>
      <c r="AS3" s="55" t="n">
        <f aca="false">YEAR(AS5)-YEAR('⚙️ Assumptions'!$B$6) + 1</f>
        <v>5</v>
      </c>
      <c r="AT3" s="55" t="n">
        <f aca="false">YEAR(AT5)-YEAR('⚙️ Assumptions'!$B$6) + 1</f>
        <v>5</v>
      </c>
      <c r="AU3" s="55" t="n">
        <f aca="false">YEAR(AU5)-YEAR('⚙️ Assumptions'!$B$6) + 1</f>
        <v>5</v>
      </c>
      <c r="AV3" s="55" t="n">
        <f aca="false">YEAR(AV5)-YEAR('⚙️ Assumptions'!$B$6) + 1</f>
        <v>5</v>
      </c>
      <c r="AW3" s="55" t="n">
        <f aca="false">YEAR(AW5)-YEAR('⚙️ Assumptions'!$B$6) + 1</f>
        <v>5</v>
      </c>
      <c r="AX3" s="55" t="n">
        <f aca="false">YEAR(AX5)-YEAR('⚙️ Assumptions'!$B$6) + 1</f>
        <v>5</v>
      </c>
      <c r="AY3" s="55" t="n">
        <f aca="false">YEAR(AY5)-YEAR('⚙️ Assumptions'!$B$6) + 1</f>
        <v>5</v>
      </c>
      <c r="AZ3" s="55" t="n">
        <f aca="false">YEAR(AZ5)-YEAR('⚙️ Assumptions'!$B$6) + 1</f>
        <v>5</v>
      </c>
      <c r="BA3" s="55" t="n">
        <f aca="false">YEAR(BA5)-YEAR('⚙️ Assumptions'!$B$6) + 1</f>
        <v>5</v>
      </c>
      <c r="BB3" s="55" t="n">
        <f aca="false">YEAR(BB5)-YEAR('⚙️ Assumptions'!$B$6) + 1</f>
        <v>6</v>
      </c>
      <c r="BC3" s="55" t="n">
        <f aca="false">YEAR(BC5)-YEAR('⚙️ Assumptions'!$B$6) + 1</f>
        <v>6</v>
      </c>
      <c r="BD3" s="55" t="n">
        <f aca="false">YEAR(BD5)-YEAR('⚙️ Assumptions'!$B$6) + 1</f>
        <v>6</v>
      </c>
      <c r="BE3" s="55" t="n">
        <f aca="false">YEAR(BE5)-YEAR('⚙️ Assumptions'!$B$6) + 1</f>
        <v>6</v>
      </c>
      <c r="BF3" s="55" t="n">
        <f aca="false">YEAR(BF5)-YEAR('⚙️ Assumptions'!$B$6) + 1</f>
        <v>6</v>
      </c>
      <c r="BG3" s="55" t="n">
        <f aca="false">YEAR(BG5)-YEAR('⚙️ Assumptions'!$B$6) + 1</f>
        <v>6</v>
      </c>
      <c r="BH3" s="55" t="n">
        <f aca="false">YEAR(BH5)-YEAR('⚙️ Assumptions'!$B$6) + 1</f>
        <v>6</v>
      </c>
      <c r="BI3" s="55" t="n">
        <f aca="false">YEAR(BI5)-YEAR('⚙️ Assumptions'!$B$6) + 1</f>
        <v>6</v>
      </c>
      <c r="BJ3" s="55" t="n">
        <f aca="false">YEAR(BJ5)-YEAR('⚙️ Assumptions'!$B$6) + 1</f>
        <v>6</v>
      </c>
    </row>
    <row r="4" customFormat="false" ht="30" hidden="false" customHeight="true" outlineLevel="0" collapsed="false">
      <c r="A4" s="43"/>
      <c r="B4" s="55"/>
      <c r="C4" s="55" t="n">
        <v>1</v>
      </c>
      <c r="D4" s="55" t="n">
        <v>2</v>
      </c>
      <c r="E4" s="55" t="n">
        <v>3</v>
      </c>
      <c r="F4" s="55" t="n">
        <v>4</v>
      </c>
      <c r="G4" s="55" t="n">
        <v>5</v>
      </c>
      <c r="H4" s="55" t="n">
        <v>6</v>
      </c>
      <c r="I4" s="55" t="n">
        <v>7</v>
      </c>
      <c r="J4" s="55" t="n">
        <v>8</v>
      </c>
      <c r="K4" s="55" t="n">
        <v>9</v>
      </c>
      <c r="L4" s="55" t="n">
        <v>10</v>
      </c>
      <c r="M4" s="55" t="n">
        <v>11</v>
      </c>
      <c r="N4" s="55" t="n">
        <v>12</v>
      </c>
      <c r="O4" s="55" t="n">
        <v>13</v>
      </c>
      <c r="P4" s="55" t="n">
        <v>14</v>
      </c>
      <c r="Q4" s="55" t="n">
        <v>15</v>
      </c>
      <c r="R4" s="55" t="n">
        <v>16</v>
      </c>
      <c r="S4" s="55" t="n">
        <v>17</v>
      </c>
      <c r="T4" s="55" t="n">
        <v>18</v>
      </c>
      <c r="U4" s="55" t="n">
        <v>19</v>
      </c>
      <c r="V4" s="55" t="n">
        <v>20</v>
      </c>
      <c r="W4" s="55" t="n">
        <v>21</v>
      </c>
      <c r="X4" s="55" t="n">
        <v>22</v>
      </c>
      <c r="Y4" s="55" t="n">
        <v>23</v>
      </c>
      <c r="Z4" s="55" t="n">
        <v>24</v>
      </c>
      <c r="AA4" s="55" t="n">
        <v>25</v>
      </c>
      <c r="AB4" s="55" t="n">
        <v>26</v>
      </c>
      <c r="AC4" s="55" t="n">
        <v>27</v>
      </c>
      <c r="AD4" s="55" t="n">
        <v>28</v>
      </c>
      <c r="AE4" s="55" t="n">
        <v>29</v>
      </c>
      <c r="AF4" s="55" t="n">
        <v>30</v>
      </c>
      <c r="AG4" s="55" t="n">
        <v>31</v>
      </c>
      <c r="AH4" s="55" t="n">
        <v>32</v>
      </c>
      <c r="AI4" s="55" t="n">
        <v>33</v>
      </c>
      <c r="AJ4" s="55" t="n">
        <v>34</v>
      </c>
      <c r="AK4" s="55" t="n">
        <v>35</v>
      </c>
      <c r="AL4" s="55" t="n">
        <v>36</v>
      </c>
      <c r="AM4" s="55" t="n">
        <v>37</v>
      </c>
      <c r="AN4" s="55" t="n">
        <v>38</v>
      </c>
      <c r="AO4" s="55" t="n">
        <v>39</v>
      </c>
      <c r="AP4" s="55" t="n">
        <v>40</v>
      </c>
      <c r="AQ4" s="55" t="n">
        <v>41</v>
      </c>
      <c r="AR4" s="55" t="n">
        <v>42</v>
      </c>
      <c r="AS4" s="55" t="n">
        <v>43</v>
      </c>
      <c r="AT4" s="55" t="n">
        <v>44</v>
      </c>
      <c r="AU4" s="55" t="n">
        <v>45</v>
      </c>
      <c r="AV4" s="55" t="n">
        <v>46</v>
      </c>
      <c r="AW4" s="55" t="n">
        <v>47</v>
      </c>
      <c r="AX4" s="55" t="n">
        <v>48</v>
      </c>
      <c r="AY4" s="55" t="n">
        <v>49</v>
      </c>
      <c r="AZ4" s="55" t="n">
        <v>50</v>
      </c>
      <c r="BA4" s="55" t="n">
        <v>51</v>
      </c>
      <c r="BB4" s="55" t="n">
        <v>52</v>
      </c>
      <c r="BC4" s="55" t="n">
        <v>53</v>
      </c>
      <c r="BD4" s="55" t="n">
        <v>54</v>
      </c>
      <c r="BE4" s="55" t="n">
        <v>55</v>
      </c>
      <c r="BF4" s="55" t="n">
        <v>56</v>
      </c>
      <c r="BG4" s="55" t="n">
        <v>57</v>
      </c>
      <c r="BH4" s="55" t="n">
        <v>58</v>
      </c>
      <c r="BI4" s="55" t="n">
        <v>59</v>
      </c>
      <c r="BJ4" s="55" t="n">
        <v>60</v>
      </c>
    </row>
    <row r="5" customFormat="false" ht="21.75" hidden="false" customHeight="true" outlineLevel="0" collapsed="false">
      <c r="A5" s="56" t="s">
        <v>224</v>
      </c>
      <c r="B5" s="57" t="s">
        <v>225</v>
      </c>
      <c r="C5" s="58" t="n">
        <f aca="false">'⚙️ Assumptions'!B6</f>
        <v>46661</v>
      </c>
      <c r="D5" s="58" t="n">
        <f aca="false">EDATE(C$5,$D$2)</f>
        <v>46692</v>
      </c>
      <c r="E5" s="58" t="n">
        <f aca="false">EDATE($C$5,E2)</f>
        <v>46722</v>
      </c>
      <c r="F5" s="58" t="n">
        <f aca="false">EDATE($C$5,F2)</f>
        <v>46753</v>
      </c>
      <c r="G5" s="58" t="n">
        <f aca="false">EDATE($C$5,G2)</f>
        <v>46784</v>
      </c>
      <c r="H5" s="58" t="n">
        <f aca="false">EDATE($C$5,H2)</f>
        <v>46813</v>
      </c>
      <c r="I5" s="58" t="n">
        <f aca="false">EDATE($C$5,I2)</f>
        <v>46844</v>
      </c>
      <c r="J5" s="58" t="n">
        <f aca="false">EDATE($C$5,J2)</f>
        <v>46874</v>
      </c>
      <c r="K5" s="58" t="n">
        <f aca="false">EDATE($C$5,K2)</f>
        <v>46905</v>
      </c>
      <c r="L5" s="58" t="n">
        <f aca="false">EDATE($C$5,L2)</f>
        <v>46935</v>
      </c>
      <c r="M5" s="58" t="n">
        <f aca="false">EDATE($C$5,M2)</f>
        <v>46966</v>
      </c>
      <c r="N5" s="58" t="n">
        <f aca="false">EDATE($C$5,N2)</f>
        <v>46997</v>
      </c>
      <c r="O5" s="58" t="n">
        <f aca="false">EDATE($C$5,O2)</f>
        <v>47027</v>
      </c>
      <c r="P5" s="58" t="n">
        <f aca="false">EDATE($C$5,P2)</f>
        <v>47058</v>
      </c>
      <c r="Q5" s="58" t="n">
        <f aca="false">EDATE($C$5,Q2)</f>
        <v>47088</v>
      </c>
      <c r="R5" s="58" t="n">
        <f aca="false">EDATE($C$5,R2)</f>
        <v>47119</v>
      </c>
      <c r="S5" s="58" t="n">
        <f aca="false">EDATE($C$5,S2)</f>
        <v>47150</v>
      </c>
      <c r="T5" s="58" t="n">
        <f aca="false">EDATE($C$5,T2)</f>
        <v>47178</v>
      </c>
      <c r="U5" s="58" t="n">
        <f aca="false">EDATE($C$5,U2)</f>
        <v>47209</v>
      </c>
      <c r="V5" s="58" t="n">
        <f aca="false">EDATE($C$5,V2)</f>
        <v>47239</v>
      </c>
      <c r="W5" s="58" t="n">
        <f aca="false">EDATE($C$5,W2)</f>
        <v>47270</v>
      </c>
      <c r="X5" s="58" t="n">
        <f aca="false">EDATE($C$5,X2)</f>
        <v>47300</v>
      </c>
      <c r="Y5" s="58" t="n">
        <f aca="false">EDATE($C$5,Y2)</f>
        <v>47331</v>
      </c>
      <c r="Z5" s="58" t="n">
        <f aca="false">EDATE($C$5,Z2)</f>
        <v>47362</v>
      </c>
      <c r="AA5" s="58" t="n">
        <f aca="false">EDATE($C$5,AA2)</f>
        <v>47392</v>
      </c>
      <c r="AB5" s="58" t="n">
        <f aca="false">EDATE($C$5,AB2)</f>
        <v>47423</v>
      </c>
      <c r="AC5" s="58" t="n">
        <f aca="false">EDATE($C$5,AC2)</f>
        <v>47453</v>
      </c>
      <c r="AD5" s="58" t="n">
        <f aca="false">EDATE($C$5,AD2)</f>
        <v>47484</v>
      </c>
      <c r="AE5" s="58" t="n">
        <f aca="false">EDATE($C$5,AE2)</f>
        <v>47515</v>
      </c>
      <c r="AF5" s="58" t="n">
        <f aca="false">EDATE($C$5,AF2)</f>
        <v>47543</v>
      </c>
      <c r="AG5" s="58" t="n">
        <f aca="false">EDATE($C$5,AG2)</f>
        <v>47574</v>
      </c>
      <c r="AH5" s="58" t="n">
        <f aca="false">EDATE($C$5,AH2)</f>
        <v>47604</v>
      </c>
      <c r="AI5" s="58" t="n">
        <f aca="false">EDATE($C$5,AI2)</f>
        <v>47635</v>
      </c>
      <c r="AJ5" s="58" t="n">
        <f aca="false">EDATE($C$5,AJ2)</f>
        <v>47665</v>
      </c>
      <c r="AK5" s="58" t="n">
        <f aca="false">EDATE($C$5,AK2)</f>
        <v>47696</v>
      </c>
      <c r="AL5" s="58" t="n">
        <f aca="false">EDATE($C$5,AL2)</f>
        <v>47727</v>
      </c>
      <c r="AM5" s="58" t="n">
        <f aca="false">EDATE($C$5,AM2)</f>
        <v>47757</v>
      </c>
      <c r="AN5" s="58" t="n">
        <f aca="false">EDATE($C$5,AN2)</f>
        <v>47788</v>
      </c>
      <c r="AO5" s="58" t="n">
        <f aca="false">EDATE($C$5,AO2)</f>
        <v>47818</v>
      </c>
      <c r="AP5" s="58" t="n">
        <f aca="false">EDATE($C$5,AP2)</f>
        <v>47849</v>
      </c>
      <c r="AQ5" s="58" t="n">
        <f aca="false">EDATE($C$5,AQ2)</f>
        <v>47880</v>
      </c>
      <c r="AR5" s="58" t="n">
        <f aca="false">EDATE($C$5,AR2)</f>
        <v>47908</v>
      </c>
      <c r="AS5" s="58" t="n">
        <f aca="false">EDATE($C$5,AS2)</f>
        <v>47939</v>
      </c>
      <c r="AT5" s="58" t="n">
        <f aca="false">EDATE($C$5,AT2)</f>
        <v>47969</v>
      </c>
      <c r="AU5" s="58" t="n">
        <f aca="false">EDATE($C$5,AU2)</f>
        <v>48000</v>
      </c>
      <c r="AV5" s="58" t="n">
        <f aca="false">EDATE($C$5,AV2)</f>
        <v>48030</v>
      </c>
      <c r="AW5" s="58" t="n">
        <f aca="false">EDATE($C$5,AW2)</f>
        <v>48061</v>
      </c>
      <c r="AX5" s="58" t="n">
        <f aca="false">EDATE($C$5,AX2)</f>
        <v>48092</v>
      </c>
      <c r="AY5" s="58" t="n">
        <f aca="false">EDATE($C$5,AY2)</f>
        <v>48122</v>
      </c>
      <c r="AZ5" s="58" t="n">
        <f aca="false">EDATE($C$5,AZ2)</f>
        <v>48153</v>
      </c>
      <c r="BA5" s="58" t="n">
        <f aca="false">EDATE($C$5,BA2)</f>
        <v>48183</v>
      </c>
      <c r="BB5" s="58" t="n">
        <f aca="false">EDATE($C$5,BB2)</f>
        <v>48214</v>
      </c>
      <c r="BC5" s="58" t="n">
        <f aca="false">EDATE($C$5,BC2)</f>
        <v>48245</v>
      </c>
      <c r="BD5" s="58" t="n">
        <f aca="false">EDATE($C$5,BD2)</f>
        <v>48274</v>
      </c>
      <c r="BE5" s="58" t="n">
        <f aca="false">EDATE($C$5,BE2)</f>
        <v>48305</v>
      </c>
      <c r="BF5" s="58" t="n">
        <f aca="false">EDATE($C$5,BF2)</f>
        <v>48335</v>
      </c>
      <c r="BG5" s="58" t="n">
        <f aca="false">EDATE($C$5,BG2)</f>
        <v>48366</v>
      </c>
      <c r="BH5" s="58" t="n">
        <f aca="false">EDATE($C$5,BH2)</f>
        <v>48396</v>
      </c>
      <c r="BI5" s="58" t="n">
        <f aca="false">EDATE($C$5,BI2)</f>
        <v>48427</v>
      </c>
      <c r="BJ5" s="58" t="n">
        <f aca="false">EDATE($C$5,BJ2)</f>
        <v>48458</v>
      </c>
    </row>
    <row r="6" customFormat="false" ht="13.5" hidden="false" customHeight="true" outlineLevel="0" collapsed="false">
      <c r="A6" s="59" t="s">
        <v>226</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row>
    <row r="7" customFormat="false" ht="13.5" hidden="false" customHeight="true" outlineLevel="0" collapsed="false">
      <c r="A7" s="38" t="s">
        <v>227</v>
      </c>
      <c r="B7" s="60" t="n">
        <f aca="false">AVERAGEA(C7:AL7)</f>
        <v>144.166666666667</v>
      </c>
      <c r="C7" s="61" t="n">
        <f aca="false">_xlfn.LET(
_xlpm.Ramp_up_Percentage, INDEX('⚙️ Other Assumptions'!$B$17:$Q$19,MATCH('⚙️ Assumptions'!$B$13,'⚙️ Other Assumptions'!$A$17:$A$19,0),MATCH(C4,'⚙️ Other Assumptions'!$B$14:$AI$14,0)),
_xlpm.Default_max_val,INDEX('⚙️ Other Assumptions'!$B$24:$B$26,MATCH('⚙️ Assumptions'!$B$13,'⚙️ Other Assumptions'!$A$24:$A$26)),
_xlpm.Expected_number_of_sales, '⚙️ Assumptions'!$B$12,
IFERROR(_xlpm.Ramp_up_Percentage,_xlpm.Default_max_val)*_xlpm.Expected_number_of_sales)</f>
        <v>0</v>
      </c>
      <c r="D7" s="61" t="n">
        <f aca="false">_xlfn.LET(
_xlpm.Ramp_up_Percentage, INDEX('⚙️ Other Assumptions'!$B$17:$Q$19,MATCH('⚙️ Assumptions'!$B$13,'⚙️ Other Assumptions'!$A$17:$A$19,0),MATCH(D4,'⚙️ Other Assumptions'!$B$14:$AI$14,0)),
_xlpm.Default_max_val,INDEX('⚙️ Other Assumptions'!$B$24:$B$26,MATCH('⚙️ Assumptions'!$B$13,'⚙️ Other Assumptions'!$A$24:$A$26)),
_xlpm.Expected_number_of_sales, '⚙️ Assumptions'!$B$12,
IFERROR(_xlpm.Ramp_up_Percentage,_xlpm.Default_max_val)*_xlpm.Expected_number_of_sales)</f>
        <v>0</v>
      </c>
      <c r="E7" s="61" t="n">
        <f aca="false">_xlfn.LET(
_xlpm.Ramp_up_Percentage, INDEX('⚙️ Other Assumptions'!$B$17:$Q$19,MATCH('⚙️ Assumptions'!$B$13,'⚙️ Other Assumptions'!$A$17:$A$19,0),MATCH(E4,'⚙️ Other Assumptions'!$B$14:$AI$14,0)),
_xlpm.Default_max_val,INDEX('⚙️ Other Assumptions'!$B$24:$B$26,MATCH('⚙️ Assumptions'!$B$13,'⚙️ Other Assumptions'!$A$24:$A$26)),
_xlpm.Expected_number_of_sales, '⚙️ Assumptions'!$B$12,
IFERROR(_xlpm.Ramp_up_Percentage,_xlpm.Default_max_val)*_xlpm.Expected_number_of_sales)</f>
        <v>45</v>
      </c>
      <c r="F7" s="61" t="n">
        <f aca="false">_xlfn.LET(
_xlpm.Ramp_up_Percentage, INDEX('⚙️ Other Assumptions'!$B$17:$Q$19,MATCH('⚙️ Assumptions'!$B$13,'⚙️ Other Assumptions'!$A$17:$A$19,0),MATCH(F4,'⚙️ Other Assumptions'!$B$14:$AI$14,0)),
_xlpm.Default_max_val,INDEX('⚙️ Other Assumptions'!$B$24:$B$26,MATCH('⚙️ Assumptions'!$B$13,'⚙️ Other Assumptions'!$A$24:$A$26)),
_xlpm.Expected_number_of_sales, '⚙️ Assumptions'!$B$12,
IFERROR(_xlpm.Ramp_up_Percentage,_xlpm.Default_max_val)*_xlpm.Expected_number_of_sales)</f>
        <v>45</v>
      </c>
      <c r="G7" s="61" t="n">
        <f aca="false">_xlfn.LET(
_xlpm.Ramp_up_Percentage, INDEX('⚙️ Other Assumptions'!$B$17:$Q$19,MATCH('⚙️ Assumptions'!$B$13,'⚙️ Other Assumptions'!$A$17:$A$19,0),MATCH(G4,'⚙️ Other Assumptions'!$B$14:$AI$14,0)),
_xlpm.Default_max_val,INDEX('⚙️ Other Assumptions'!$B$24:$B$26,MATCH('⚙️ Assumptions'!$B$13,'⚙️ Other Assumptions'!$A$24:$A$26)),
_xlpm.Expected_number_of_sales, '⚙️ Assumptions'!$B$12,
IFERROR(_xlpm.Ramp_up_Percentage,_xlpm.Default_max_val)*_xlpm.Expected_number_of_sales)</f>
        <v>75</v>
      </c>
      <c r="H7" s="61" t="n">
        <f aca="false">_xlfn.LET(
_xlpm.Ramp_up_Percentage, INDEX('⚙️ Other Assumptions'!$B$17:$Q$19,MATCH('⚙️ Assumptions'!$B$13,'⚙️ Other Assumptions'!$A$17:$A$19,0),MATCH(H4,'⚙️ Other Assumptions'!$B$14:$AI$14,0)),
_xlpm.Default_max_val,INDEX('⚙️ Other Assumptions'!$B$24:$B$26,MATCH('⚙️ Assumptions'!$B$13,'⚙️ Other Assumptions'!$A$24:$A$26)),
_xlpm.Expected_number_of_sales, '⚙️ Assumptions'!$B$12,
IFERROR(_xlpm.Ramp_up_Percentage,_xlpm.Default_max_val)*_xlpm.Expected_number_of_sales)</f>
        <v>75</v>
      </c>
      <c r="I7" s="61" t="n">
        <f aca="false">_xlfn.LET(
_xlpm.Ramp_up_Percentage, INDEX('⚙️ Other Assumptions'!$B$17:$Q$19,MATCH('⚙️ Assumptions'!$B$13,'⚙️ Other Assumptions'!$A$17:$A$19,0),MATCH(I4,'⚙️ Other Assumptions'!$B$14:$AI$14,0)),
_xlpm.Default_max_val,INDEX('⚙️ Other Assumptions'!$B$24:$B$26,MATCH('⚙️ Assumptions'!$B$13,'⚙️ Other Assumptions'!$A$24:$A$26)),
_xlpm.Expected_number_of_sales, '⚙️ Assumptions'!$B$12,
IFERROR(_xlpm.Ramp_up_Percentage,_xlpm.Default_max_val)*_xlpm.Expected_number_of_sales)</f>
        <v>112.5</v>
      </c>
      <c r="J7" s="61" t="n">
        <f aca="false">_xlfn.LET(
_xlpm.Ramp_up_Percentage, INDEX('⚙️ Other Assumptions'!$B$17:$Q$19,MATCH('⚙️ Assumptions'!$B$13,'⚙️ Other Assumptions'!$A$17:$A$19,0),MATCH(J4,'⚙️ Other Assumptions'!$B$14:$AI$14,0)),
_xlpm.Default_max_val,INDEX('⚙️ Other Assumptions'!$B$24:$B$26,MATCH('⚙️ Assumptions'!$B$13,'⚙️ Other Assumptions'!$A$24:$A$26)),
_xlpm.Expected_number_of_sales, '⚙️ Assumptions'!$B$12,
IFERROR(_xlpm.Ramp_up_Percentage,_xlpm.Default_max_val)*_xlpm.Expected_number_of_sales)</f>
        <v>112.5</v>
      </c>
      <c r="K7" s="61" t="n">
        <f aca="false">_xlfn.LET(
_xlpm.Ramp_up_Percentage, INDEX('⚙️ Other Assumptions'!$B$17:$Q$19,MATCH('⚙️ Assumptions'!$B$13,'⚙️ Other Assumptions'!$A$17:$A$19,0),MATCH(K4,'⚙️ Other Assumptions'!$B$14:$AI$14,0)),
_xlpm.Default_max_val,INDEX('⚙️ Other Assumptions'!$B$24:$B$26,MATCH('⚙️ Assumptions'!$B$13,'⚙️ Other Assumptions'!$A$24:$A$26)),
_xlpm.Expected_number_of_sales, '⚙️ Assumptions'!$B$12,
IFERROR(_xlpm.Ramp_up_Percentage,_xlpm.Default_max_val)*_xlpm.Expected_number_of_sales)</f>
        <v>120</v>
      </c>
      <c r="L7" s="61" t="n">
        <f aca="false">_xlfn.LET(
_xlpm.Ramp_up_Percentage, INDEX('⚙️ Other Assumptions'!$B$17:$Q$19,MATCH('⚙️ Assumptions'!$B$13,'⚙️ Other Assumptions'!$A$17:$A$19,0),MATCH(L4,'⚙️ Other Assumptions'!$B$14:$AI$14,0)),
_xlpm.Default_max_val,INDEX('⚙️ Other Assumptions'!$B$24:$B$26,MATCH('⚙️ Assumptions'!$B$13,'⚙️ Other Assumptions'!$A$24:$A$26)),
_xlpm.Expected_number_of_sales, '⚙️ Assumptions'!$B$12,
IFERROR(_xlpm.Ramp_up_Percentage,_xlpm.Default_max_val)*_xlpm.Expected_number_of_sales)</f>
        <v>135</v>
      </c>
      <c r="M7" s="61" t="n">
        <f aca="false">_xlfn.LET(
_xlpm.Ramp_up_Percentage, INDEX('⚙️ Other Assumptions'!$B$17:$Q$19,MATCH('⚙️ Assumptions'!$B$13,'⚙️ Other Assumptions'!$A$17:$A$19,0),MATCH(M4,'⚙️ Other Assumptions'!$B$14:$AI$14,0)),
_xlpm.Default_max_val,INDEX('⚙️ Other Assumptions'!$B$24:$B$26,MATCH('⚙️ Assumptions'!$B$13,'⚙️ Other Assumptions'!$A$24:$A$26)),
_xlpm.Expected_number_of_sales, '⚙️ Assumptions'!$B$12,
IFERROR(_xlpm.Ramp_up_Percentage,_xlpm.Default_max_val)*_xlpm.Expected_number_of_sales)</f>
        <v>135</v>
      </c>
      <c r="N7" s="61" t="n">
        <f aca="false">_xlfn.LET(
_xlpm.Ramp_up_Percentage, INDEX('⚙️ Other Assumptions'!$B$17:$Q$19,MATCH('⚙️ Assumptions'!$B$13,'⚙️ Other Assumptions'!$A$17:$A$19,0),MATCH(N4,'⚙️ Other Assumptions'!$B$14:$AI$14,0)),
_xlpm.Default_max_val,INDEX('⚙️ Other Assumptions'!$B$24:$B$26,MATCH('⚙️ Assumptions'!$B$13,'⚙️ Other Assumptions'!$A$24:$A$26)),
_xlpm.Expected_number_of_sales, '⚙️ Assumptions'!$B$12,
IFERROR(_xlpm.Ramp_up_Percentage,_xlpm.Default_max_val)*_xlpm.Expected_number_of_sales)</f>
        <v>142.5</v>
      </c>
      <c r="O7" s="61" t="n">
        <f aca="false">_xlfn.LET(
_xlpm.Ramp_up_Percentage, INDEX('⚙️ Other Assumptions'!$B$17:$Q$19,MATCH('⚙️ Assumptions'!$B$13,'⚙️ Other Assumptions'!$A$17:$A$19,0),MATCH(O4,'⚙️ Other Assumptions'!$B$14:$AI$14,0)),
_xlpm.Default_max_val,INDEX('⚙️ Other Assumptions'!$B$24:$B$26,MATCH('⚙️ Assumptions'!$B$13,'⚙️ Other Assumptions'!$A$24:$A$26)),
_xlpm.Expected_number_of_sales, '⚙️ Assumptions'!$B$12,
IFERROR(_xlpm.Ramp_up_Percentage,_xlpm.Default_max_val)*_xlpm.Expected_number_of_sales)</f>
        <v>142.5</v>
      </c>
      <c r="P7" s="61" t="n">
        <f aca="false">_xlfn.LET(
_xlpm.Ramp_up_Percentage, INDEX('⚙️ Other Assumptions'!$B$17:$Q$19,MATCH('⚙️ Assumptions'!$B$13,'⚙️ Other Assumptions'!$A$17:$A$19,0),MATCH(P4,'⚙️ Other Assumptions'!$B$14:$AI$14,0)),
_xlpm.Default_max_val,INDEX('⚙️ Other Assumptions'!$B$24:$B$26,MATCH('⚙️ Assumptions'!$B$13,'⚙️ Other Assumptions'!$A$24:$A$26)),
_xlpm.Expected_number_of_sales, '⚙️ Assumptions'!$B$12,
IFERROR(_xlpm.Ramp_up_Percentage,_xlpm.Default_max_val)*_xlpm.Expected_number_of_sales)</f>
        <v>150</v>
      </c>
      <c r="Q7" s="61" t="n">
        <f aca="false">_xlfn.LET(
_xlpm.Ramp_up_Percentage, INDEX('⚙️ Other Assumptions'!$B$17:$Q$19,MATCH('⚙️ Assumptions'!$B$13,'⚙️ Other Assumptions'!$A$17:$A$19,0),MATCH(Q4,'⚙️ Other Assumptions'!$B$14:$AI$14,0)),
_xlpm.Default_max_val,INDEX('⚙️ Other Assumptions'!$B$24:$B$26,MATCH('⚙️ Assumptions'!$B$13,'⚙️ Other Assumptions'!$A$24:$A$26)),
_xlpm.Expected_number_of_sales, '⚙️ Assumptions'!$B$12,
IFERROR(_xlpm.Ramp_up_Percentage,_xlpm.Default_max_val)*_xlpm.Expected_number_of_sales)</f>
        <v>150</v>
      </c>
      <c r="R7" s="61" t="n">
        <f aca="false">_xlfn.LET(
_xlpm.Ramp_up_Percentage, INDEX('⚙️ Other Assumptions'!$B$17:$Q$19,MATCH('⚙️ Assumptions'!$B$13,'⚙️ Other Assumptions'!$A$17:$A$19,0),MATCH(R4,'⚙️ Other Assumptions'!$B$14:$AI$14,0)),
_xlpm.Default_max_val,INDEX('⚙️ Other Assumptions'!$B$24:$B$26,MATCH('⚙️ Assumptions'!$B$13,'⚙️ Other Assumptions'!$A$24:$A$26)),
_xlpm.Expected_number_of_sales, '⚙️ Assumptions'!$B$12,
IFERROR(_xlpm.Ramp_up_Percentage,_xlpm.Default_max_val)*_xlpm.Expected_number_of_sales)</f>
        <v>150</v>
      </c>
      <c r="S7" s="61" t="n">
        <f aca="false">_xlfn.LET(
_xlpm.Ramp_up_Percentage, INDEX('⚙️ Other Assumptions'!$B$17:$Q$19,MATCH('⚙️ Assumptions'!$B$13,'⚙️ Other Assumptions'!$A$17:$A$19,0),MATCH(S4,'⚙️ Other Assumptions'!$B$14:$AI$14,0)),
_xlpm.Default_max_val,INDEX('⚙️ Other Assumptions'!$B$24:$B$26,MATCH('⚙️ Assumptions'!$B$13,'⚙️ Other Assumptions'!$A$24:$A$26)),
_xlpm.Expected_number_of_sales, '⚙️ Assumptions'!$B$12,
IFERROR(_xlpm.Ramp_up_Percentage,_xlpm.Default_max_val)*_xlpm.Expected_number_of_sales)</f>
        <v>180</v>
      </c>
      <c r="T7" s="61" t="n">
        <f aca="false">_xlfn.LET(
_xlpm.Ramp_up_Percentage, INDEX('⚙️ Other Assumptions'!$B$17:$Q$19,MATCH('⚙️ Assumptions'!$B$13,'⚙️ Other Assumptions'!$A$17:$A$19,0),MATCH(T4,'⚙️ Other Assumptions'!$B$14:$AI$14,0)),
_xlpm.Default_max_val,INDEX('⚙️ Other Assumptions'!$B$24:$B$26,MATCH('⚙️ Assumptions'!$B$13,'⚙️ Other Assumptions'!$A$24:$A$26)),
_xlpm.Expected_number_of_sales, '⚙️ Assumptions'!$B$12,
IFERROR(_xlpm.Ramp_up_Percentage,_xlpm.Default_max_val)*_xlpm.Expected_number_of_sales)</f>
        <v>180</v>
      </c>
      <c r="U7" s="61" t="n">
        <f aca="false">_xlfn.LET(
_xlpm.Ramp_up_Percentage, INDEX('⚙️ Other Assumptions'!$B$17:$Q$19,MATCH('⚙️ Assumptions'!$B$13,'⚙️ Other Assumptions'!$A$17:$A$19,0),MATCH(U4,'⚙️ Other Assumptions'!$B$14:$AI$14,0)),
_xlpm.Default_max_val,INDEX('⚙️ Other Assumptions'!$B$24:$B$26,MATCH('⚙️ Assumptions'!$B$13,'⚙️ Other Assumptions'!$A$24:$A$26)),
_xlpm.Expected_number_of_sales, '⚙️ Assumptions'!$B$12,
IFERROR(_xlpm.Ramp_up_Percentage,_xlpm.Default_max_val)*_xlpm.Expected_number_of_sales)</f>
        <v>180</v>
      </c>
      <c r="V7" s="61" t="n">
        <f aca="false">_xlfn.LET(
_xlpm.Ramp_up_Percentage, INDEX('⚙️ Other Assumptions'!$B$17:$Q$19,MATCH('⚙️ Assumptions'!$B$13,'⚙️ Other Assumptions'!$A$17:$A$19,0),MATCH(V4,'⚙️ Other Assumptions'!$B$14:$AI$14,0)),
_xlpm.Default_max_val,INDEX('⚙️ Other Assumptions'!$B$24:$B$26,MATCH('⚙️ Assumptions'!$B$13,'⚙️ Other Assumptions'!$A$24:$A$26)),
_xlpm.Expected_number_of_sales, '⚙️ Assumptions'!$B$12,
IFERROR(_xlpm.Ramp_up_Percentage,_xlpm.Default_max_val)*_xlpm.Expected_number_of_sales)</f>
        <v>180</v>
      </c>
      <c r="W7" s="61" t="n">
        <f aca="false">_xlfn.LET(
_xlpm.Ramp_up_Percentage, INDEX('⚙️ Other Assumptions'!$B$17:$Q$19,MATCH('⚙️ Assumptions'!$B$13,'⚙️ Other Assumptions'!$A$17:$A$19,0),MATCH(W4,'⚙️ Other Assumptions'!$B$14:$AI$14,0)),
_xlpm.Default_max_val,INDEX('⚙️ Other Assumptions'!$B$24:$B$26,MATCH('⚙️ Assumptions'!$B$13,'⚙️ Other Assumptions'!$A$24:$A$26)),
_xlpm.Expected_number_of_sales, '⚙️ Assumptions'!$B$12,
IFERROR(_xlpm.Ramp_up_Percentage,_xlpm.Default_max_val)*_xlpm.Expected_number_of_sales)</f>
        <v>180</v>
      </c>
      <c r="X7" s="61" t="n">
        <f aca="false">_xlfn.LET(
_xlpm.Ramp_up_Percentage, INDEX('⚙️ Other Assumptions'!$B$17:$Q$19,MATCH('⚙️ Assumptions'!$B$13,'⚙️ Other Assumptions'!$A$17:$A$19,0),MATCH(X4,'⚙️ Other Assumptions'!$B$14:$AI$14,0)),
_xlpm.Default_max_val,INDEX('⚙️ Other Assumptions'!$B$24:$B$26,MATCH('⚙️ Assumptions'!$B$13,'⚙️ Other Assumptions'!$A$24:$A$26)),
_xlpm.Expected_number_of_sales, '⚙️ Assumptions'!$B$12,
IFERROR(_xlpm.Ramp_up_Percentage,_xlpm.Default_max_val)*_xlpm.Expected_number_of_sales)</f>
        <v>180</v>
      </c>
      <c r="Y7" s="61" t="n">
        <f aca="false">_xlfn.LET(
_xlpm.Ramp_up_Percentage, INDEX('⚙️ Other Assumptions'!$B$17:$Q$19,MATCH('⚙️ Assumptions'!$B$13,'⚙️ Other Assumptions'!$A$17:$A$19,0),MATCH(Y4,'⚙️ Other Assumptions'!$B$14:$AI$14,0)),
_xlpm.Default_max_val,INDEX('⚙️ Other Assumptions'!$B$24:$B$26,MATCH('⚙️ Assumptions'!$B$13,'⚙️ Other Assumptions'!$A$24:$A$26)),
_xlpm.Expected_number_of_sales, '⚙️ Assumptions'!$B$12,
IFERROR(_xlpm.Ramp_up_Percentage,_xlpm.Default_max_val)*_xlpm.Expected_number_of_sales)</f>
        <v>180</v>
      </c>
      <c r="Z7" s="61" t="n">
        <f aca="false">_xlfn.LET(
_xlpm.Ramp_up_Percentage, INDEX('⚙️ Other Assumptions'!$B$17:$Q$19,MATCH('⚙️ Assumptions'!$B$13,'⚙️ Other Assumptions'!$A$17:$A$19,0),MATCH(Z4,'⚙️ Other Assumptions'!$B$14:$AI$14,0)),
_xlpm.Default_max_val,INDEX('⚙️ Other Assumptions'!$B$24:$B$26,MATCH('⚙️ Assumptions'!$B$13,'⚙️ Other Assumptions'!$A$24:$A$26)),
_xlpm.Expected_number_of_sales, '⚙️ Assumptions'!$B$12,
IFERROR(_xlpm.Ramp_up_Percentage,_xlpm.Default_max_val)*_xlpm.Expected_number_of_sales)</f>
        <v>180</v>
      </c>
      <c r="AA7" s="61" t="n">
        <f aca="false">_xlfn.LET(
_xlpm.Ramp_up_Percentage, INDEX('⚙️ Other Assumptions'!$B$17:$Q$19,MATCH('⚙️ Assumptions'!$B$13,'⚙️ Other Assumptions'!$A$17:$A$19,0),MATCH(AA4,'⚙️ Other Assumptions'!$B$14:$AI$14,0)),
_xlpm.Default_max_val,INDEX('⚙️ Other Assumptions'!$B$24:$B$26,MATCH('⚙️ Assumptions'!$B$13,'⚙️ Other Assumptions'!$A$24:$A$26)),
_xlpm.Expected_number_of_sales, '⚙️ Assumptions'!$B$12,
IFERROR(_xlpm.Ramp_up_Percentage,_xlpm.Default_max_val)*_xlpm.Expected_number_of_sales)</f>
        <v>180</v>
      </c>
      <c r="AB7" s="61" t="n">
        <f aca="false">_xlfn.LET(
_xlpm.Ramp_up_Percentage, INDEX('⚙️ Other Assumptions'!$B$17:$Q$19,MATCH('⚙️ Assumptions'!$B$13,'⚙️ Other Assumptions'!$A$17:$A$19,0),MATCH(AB4,'⚙️ Other Assumptions'!$B$14:$AI$14,0)),
_xlpm.Default_max_val,INDEX('⚙️ Other Assumptions'!$B$24:$B$26,MATCH('⚙️ Assumptions'!$B$13,'⚙️ Other Assumptions'!$A$24:$A$26)),
_xlpm.Expected_number_of_sales, '⚙️ Assumptions'!$B$12,
IFERROR(_xlpm.Ramp_up_Percentage,_xlpm.Default_max_val)*_xlpm.Expected_number_of_sales)</f>
        <v>180</v>
      </c>
      <c r="AC7" s="61" t="n">
        <f aca="false">_xlfn.LET(
_xlpm.Ramp_up_Percentage, INDEX('⚙️ Other Assumptions'!$B$17:$Q$19,MATCH('⚙️ Assumptions'!$B$13,'⚙️ Other Assumptions'!$A$17:$A$19,0),MATCH(AC4,'⚙️ Other Assumptions'!$B$14:$AI$14,0)),
_xlpm.Default_max_val,INDEX('⚙️ Other Assumptions'!$B$24:$B$26,MATCH('⚙️ Assumptions'!$B$13,'⚙️ Other Assumptions'!$A$24:$A$26)),
_xlpm.Expected_number_of_sales, '⚙️ Assumptions'!$B$12,
IFERROR(_xlpm.Ramp_up_Percentage,_xlpm.Default_max_val)*_xlpm.Expected_number_of_sales)</f>
        <v>180</v>
      </c>
      <c r="AD7" s="61" t="n">
        <f aca="false">_xlfn.LET(
_xlpm.Ramp_up_Percentage, INDEX('⚙️ Other Assumptions'!$B$17:$Q$19,MATCH('⚙️ Assumptions'!$B$13,'⚙️ Other Assumptions'!$A$17:$A$19,0),MATCH(AD4,'⚙️ Other Assumptions'!$B$14:$AI$14,0)),
_xlpm.Default_max_val,INDEX('⚙️ Other Assumptions'!$B$24:$B$26,MATCH('⚙️ Assumptions'!$B$13,'⚙️ Other Assumptions'!$A$24:$A$26)),
_xlpm.Expected_number_of_sales, '⚙️ Assumptions'!$B$12,
IFERROR(_xlpm.Ramp_up_Percentage,_xlpm.Default_max_val)*_xlpm.Expected_number_of_sales)</f>
        <v>180</v>
      </c>
      <c r="AE7" s="61" t="n">
        <f aca="false">_xlfn.LET(
_xlpm.Ramp_up_Percentage, INDEX('⚙️ Other Assumptions'!$B$17:$Q$19,MATCH('⚙️ Assumptions'!$B$13,'⚙️ Other Assumptions'!$A$17:$A$19,0),MATCH(AE4,'⚙️ Other Assumptions'!$B$14:$AI$14,0)),
_xlpm.Default_max_val,INDEX('⚙️ Other Assumptions'!$B$24:$B$26,MATCH('⚙️ Assumptions'!$B$13,'⚙️ Other Assumptions'!$A$24:$A$26)),
_xlpm.Expected_number_of_sales, '⚙️ Assumptions'!$B$12,
IFERROR(_xlpm.Ramp_up_Percentage,_xlpm.Default_max_val)*_xlpm.Expected_number_of_sales)</f>
        <v>180</v>
      </c>
      <c r="AF7" s="61" t="n">
        <f aca="false">_xlfn.LET(
_xlpm.Ramp_up_Percentage, INDEX('⚙️ Other Assumptions'!$B$17:$Q$19,MATCH('⚙️ Assumptions'!$B$13,'⚙️ Other Assumptions'!$A$17:$A$19,0),MATCH(AF4,'⚙️ Other Assumptions'!$B$14:$AI$14,0)),
_xlpm.Default_max_val,INDEX('⚙️ Other Assumptions'!$B$24:$B$26,MATCH('⚙️ Assumptions'!$B$13,'⚙️ Other Assumptions'!$A$24:$A$26)),
_xlpm.Expected_number_of_sales, '⚙️ Assumptions'!$B$12,
IFERROR(_xlpm.Ramp_up_Percentage,_xlpm.Default_max_val)*_xlpm.Expected_number_of_sales)</f>
        <v>180</v>
      </c>
      <c r="AG7" s="61" t="n">
        <f aca="false">_xlfn.LET(
_xlpm.Ramp_up_Percentage, INDEX('⚙️ Other Assumptions'!$B$17:$Q$19,MATCH('⚙️ Assumptions'!$B$13,'⚙️ Other Assumptions'!$A$17:$A$19,0),MATCH(AG4,'⚙️ Other Assumptions'!$B$14:$AI$14,0)),
_xlpm.Default_max_val,INDEX('⚙️ Other Assumptions'!$B$24:$B$26,MATCH('⚙️ Assumptions'!$B$13,'⚙️ Other Assumptions'!$A$24:$A$26)),
_xlpm.Expected_number_of_sales, '⚙️ Assumptions'!$B$12,
IFERROR(_xlpm.Ramp_up_Percentage,_xlpm.Default_max_val)*_xlpm.Expected_number_of_sales)</f>
        <v>180</v>
      </c>
      <c r="AH7" s="61" t="n">
        <f aca="false">_xlfn.LET(
_xlpm.Ramp_up_Percentage, INDEX('⚙️ Other Assumptions'!$B$17:$Q$19,MATCH('⚙️ Assumptions'!$B$13,'⚙️ Other Assumptions'!$A$17:$A$19,0),MATCH(AH4,'⚙️ Other Assumptions'!$B$14:$AI$14,0)),
_xlpm.Default_max_val,INDEX('⚙️ Other Assumptions'!$B$24:$B$26,MATCH('⚙️ Assumptions'!$B$13,'⚙️ Other Assumptions'!$A$24:$A$26)),
_xlpm.Expected_number_of_sales, '⚙️ Assumptions'!$B$12,
IFERROR(_xlpm.Ramp_up_Percentage,_xlpm.Default_max_val)*_xlpm.Expected_number_of_sales)</f>
        <v>180</v>
      </c>
      <c r="AI7" s="61" t="n">
        <f aca="false">_xlfn.LET(
_xlpm.Ramp_up_Percentage, INDEX('⚙️ Other Assumptions'!$B$17:$Q$19,MATCH('⚙️ Assumptions'!$B$13,'⚙️ Other Assumptions'!$A$17:$A$19,0),MATCH(AI4,'⚙️ Other Assumptions'!$B$14:$AI$14,0)),
_xlpm.Default_max_val,INDEX('⚙️ Other Assumptions'!$B$24:$B$26,MATCH('⚙️ Assumptions'!$B$13,'⚙️ Other Assumptions'!$A$24:$A$26)),
_xlpm.Expected_number_of_sales, '⚙️ Assumptions'!$B$12,
IFERROR(_xlpm.Ramp_up_Percentage,_xlpm.Default_max_val)*_xlpm.Expected_number_of_sales)</f>
        <v>180</v>
      </c>
      <c r="AJ7" s="61" t="n">
        <f aca="false">_xlfn.LET(
_xlpm.Ramp_up_Percentage, INDEX('⚙️ Other Assumptions'!$B$17:$Q$19,MATCH('⚙️ Assumptions'!$B$13,'⚙️ Other Assumptions'!$A$17:$A$19,0),MATCH(AJ4,'⚙️ Other Assumptions'!$B$14:$AI$14,0)),
_xlpm.Default_max_val,INDEX('⚙️ Other Assumptions'!$B$24:$B$26,MATCH('⚙️ Assumptions'!$B$13,'⚙️ Other Assumptions'!$A$24:$A$26)),
_xlpm.Expected_number_of_sales, '⚙️ Assumptions'!$B$12,
IFERROR(_xlpm.Ramp_up_Percentage,_xlpm.Default_max_val)*_xlpm.Expected_number_of_sales)</f>
        <v>180</v>
      </c>
      <c r="AK7" s="61" t="n">
        <f aca="false">_xlfn.LET(
_xlpm.Ramp_up_Percentage, INDEX('⚙️ Other Assumptions'!$B$17:$Q$19,MATCH('⚙️ Assumptions'!$B$13,'⚙️ Other Assumptions'!$A$17:$A$19,0),MATCH(AK4,'⚙️ Other Assumptions'!$B$14:$AI$14,0)),
_xlpm.Default_max_val,INDEX('⚙️ Other Assumptions'!$B$24:$B$26,MATCH('⚙️ Assumptions'!$B$13,'⚙️ Other Assumptions'!$A$24:$A$26)),
_xlpm.Expected_number_of_sales, '⚙️ Assumptions'!$B$12,
IFERROR(_xlpm.Ramp_up_Percentage,_xlpm.Default_max_val)*_xlpm.Expected_number_of_sales)</f>
        <v>180</v>
      </c>
      <c r="AL7" s="61" t="n">
        <f aca="false">_xlfn.LET(
_xlpm.Ramp_up_Percentage, INDEX('⚙️ Other Assumptions'!$B$17:$Q$19,MATCH('⚙️ Assumptions'!$B$13,'⚙️ Other Assumptions'!$A$17:$A$19,0),MATCH(AL4,'⚙️ Other Assumptions'!$B$14:$AI$14,0)),
_xlpm.Default_max_val,INDEX('⚙️ Other Assumptions'!$B$24:$B$26,MATCH('⚙️ Assumptions'!$B$13,'⚙️ Other Assumptions'!$A$24:$A$26)),
_xlpm.Expected_number_of_sales, '⚙️ Assumptions'!$B$12,
IFERROR(_xlpm.Ramp_up_Percentage,_xlpm.Default_max_val)*_xlpm.Expected_number_of_sales)</f>
        <v>180</v>
      </c>
      <c r="AM7" s="61" t="n">
        <f aca="false">_xlfn.LET(
_xlpm.Ramp_up_Percentage, INDEX('⚙️ Other Assumptions'!$B$17:$Q$19,MATCH('⚙️ Assumptions'!$B$13,'⚙️ Other Assumptions'!$A$17:$A$19,0),MATCH(AM4,'⚙️ Other Assumptions'!$B$14:$AI$14,0)),
_xlpm.Default_max_val,INDEX('⚙️ Other Assumptions'!$B$24:$B$26,MATCH('⚙️ Assumptions'!$B$13,'⚙️ Other Assumptions'!$A$24:$A$26)),
_xlpm.Expected_number_of_sales, '⚙️ Assumptions'!$B$12,
IFERROR(_xlpm.Ramp_up_Percentage,_xlpm.Default_max_val)*_xlpm.Expected_number_of_sales)</f>
        <v>180</v>
      </c>
      <c r="AN7" s="61" t="n">
        <f aca="false">_xlfn.LET(
_xlpm.Ramp_up_Percentage, INDEX('⚙️ Other Assumptions'!$B$17:$Q$19,MATCH('⚙️ Assumptions'!$B$13,'⚙️ Other Assumptions'!$A$17:$A$19,0),MATCH(AN4,'⚙️ Other Assumptions'!$B$14:$AI$14,0)),
_xlpm.Default_max_val,INDEX('⚙️ Other Assumptions'!$B$24:$B$26,MATCH('⚙️ Assumptions'!$B$13,'⚙️ Other Assumptions'!$A$24:$A$26)),
_xlpm.Expected_number_of_sales, '⚙️ Assumptions'!$B$12,
IFERROR(_xlpm.Ramp_up_Percentage,_xlpm.Default_max_val)*_xlpm.Expected_number_of_sales)</f>
        <v>180</v>
      </c>
      <c r="AO7" s="61" t="n">
        <f aca="false">_xlfn.LET(
_xlpm.Ramp_up_Percentage, INDEX('⚙️ Other Assumptions'!$B$17:$Q$19,MATCH('⚙️ Assumptions'!$B$13,'⚙️ Other Assumptions'!$A$17:$A$19,0),MATCH(AO4,'⚙️ Other Assumptions'!$B$14:$AI$14,0)),
_xlpm.Default_max_val,INDEX('⚙️ Other Assumptions'!$B$24:$B$26,MATCH('⚙️ Assumptions'!$B$13,'⚙️ Other Assumptions'!$A$24:$A$26)),
_xlpm.Expected_number_of_sales, '⚙️ Assumptions'!$B$12,
IFERROR(_xlpm.Ramp_up_Percentage,_xlpm.Default_max_val)*_xlpm.Expected_number_of_sales)</f>
        <v>180</v>
      </c>
      <c r="AP7" s="61" t="n">
        <f aca="false">_xlfn.LET(
_xlpm.Ramp_up_Percentage, INDEX('⚙️ Other Assumptions'!$B$17:$Q$19,MATCH('⚙️ Assumptions'!$B$13,'⚙️ Other Assumptions'!$A$17:$A$19,0),MATCH(AP4,'⚙️ Other Assumptions'!$B$14:$AI$14,0)),
_xlpm.Default_max_val,INDEX('⚙️ Other Assumptions'!$B$24:$B$26,MATCH('⚙️ Assumptions'!$B$13,'⚙️ Other Assumptions'!$A$24:$A$26)),
_xlpm.Expected_number_of_sales, '⚙️ Assumptions'!$B$12,
IFERROR(_xlpm.Ramp_up_Percentage,_xlpm.Default_max_val)*_xlpm.Expected_number_of_sales)</f>
        <v>180</v>
      </c>
      <c r="AQ7" s="61" t="n">
        <f aca="false">_xlfn.LET(
_xlpm.Ramp_up_Percentage, INDEX('⚙️ Other Assumptions'!$B$17:$Q$19,MATCH('⚙️ Assumptions'!$B$13,'⚙️ Other Assumptions'!$A$17:$A$19,0),MATCH(AQ4,'⚙️ Other Assumptions'!$B$14:$AI$14,0)),
_xlpm.Default_max_val,INDEX('⚙️ Other Assumptions'!$B$24:$B$26,MATCH('⚙️ Assumptions'!$B$13,'⚙️ Other Assumptions'!$A$24:$A$26)),
_xlpm.Expected_number_of_sales, '⚙️ Assumptions'!$B$12,
IFERROR(_xlpm.Ramp_up_Percentage,_xlpm.Default_max_val)*_xlpm.Expected_number_of_sales)</f>
        <v>180</v>
      </c>
      <c r="AR7" s="61" t="n">
        <f aca="false">_xlfn.LET(
_xlpm.Ramp_up_Percentage, INDEX('⚙️ Other Assumptions'!$B$17:$Q$19,MATCH('⚙️ Assumptions'!$B$13,'⚙️ Other Assumptions'!$A$17:$A$19,0),MATCH(AR4,'⚙️ Other Assumptions'!$B$14:$AI$14,0)),
_xlpm.Default_max_val,INDEX('⚙️ Other Assumptions'!$B$24:$B$26,MATCH('⚙️ Assumptions'!$B$13,'⚙️ Other Assumptions'!$A$24:$A$26)),
_xlpm.Expected_number_of_sales, '⚙️ Assumptions'!$B$12,
IFERROR(_xlpm.Ramp_up_Percentage,_xlpm.Default_max_val)*_xlpm.Expected_number_of_sales)</f>
        <v>180</v>
      </c>
      <c r="AS7" s="61" t="n">
        <f aca="false">_xlfn.LET(
_xlpm.Ramp_up_Percentage, INDEX('⚙️ Other Assumptions'!$B$17:$Q$19,MATCH('⚙️ Assumptions'!$B$13,'⚙️ Other Assumptions'!$A$17:$A$19,0),MATCH(AS4,'⚙️ Other Assumptions'!$B$14:$AI$14,0)),
_xlpm.Default_max_val,INDEX('⚙️ Other Assumptions'!$B$24:$B$26,MATCH('⚙️ Assumptions'!$B$13,'⚙️ Other Assumptions'!$A$24:$A$26)),
_xlpm.Expected_number_of_sales, '⚙️ Assumptions'!$B$12,
IFERROR(_xlpm.Ramp_up_Percentage,_xlpm.Default_max_val)*_xlpm.Expected_number_of_sales)</f>
        <v>180</v>
      </c>
      <c r="AT7" s="61" t="n">
        <f aca="false">_xlfn.LET(
_xlpm.Ramp_up_Percentage, INDEX('⚙️ Other Assumptions'!$B$17:$Q$19,MATCH('⚙️ Assumptions'!$B$13,'⚙️ Other Assumptions'!$A$17:$A$19,0),MATCH(AT4,'⚙️ Other Assumptions'!$B$14:$AI$14,0)),
_xlpm.Default_max_val,INDEX('⚙️ Other Assumptions'!$B$24:$B$26,MATCH('⚙️ Assumptions'!$B$13,'⚙️ Other Assumptions'!$A$24:$A$26)),
_xlpm.Expected_number_of_sales, '⚙️ Assumptions'!$B$12,
IFERROR(_xlpm.Ramp_up_Percentage,_xlpm.Default_max_val)*_xlpm.Expected_number_of_sales)</f>
        <v>180</v>
      </c>
      <c r="AU7" s="61" t="n">
        <f aca="false">_xlfn.LET(
_xlpm.Ramp_up_Percentage, INDEX('⚙️ Other Assumptions'!$B$17:$Q$19,MATCH('⚙️ Assumptions'!$B$13,'⚙️ Other Assumptions'!$A$17:$A$19,0),MATCH(AU4,'⚙️ Other Assumptions'!$B$14:$AI$14,0)),
_xlpm.Default_max_val,INDEX('⚙️ Other Assumptions'!$B$24:$B$26,MATCH('⚙️ Assumptions'!$B$13,'⚙️ Other Assumptions'!$A$24:$A$26)),
_xlpm.Expected_number_of_sales, '⚙️ Assumptions'!$B$12,
IFERROR(_xlpm.Ramp_up_Percentage,_xlpm.Default_max_val)*_xlpm.Expected_number_of_sales)</f>
        <v>180</v>
      </c>
      <c r="AV7" s="61" t="n">
        <f aca="false">_xlfn.LET(
_xlpm.Ramp_up_Percentage, INDEX('⚙️ Other Assumptions'!$B$17:$Q$19,MATCH('⚙️ Assumptions'!$B$13,'⚙️ Other Assumptions'!$A$17:$A$19,0),MATCH(AV4,'⚙️ Other Assumptions'!$B$14:$AI$14,0)),
_xlpm.Default_max_val,INDEX('⚙️ Other Assumptions'!$B$24:$B$26,MATCH('⚙️ Assumptions'!$B$13,'⚙️ Other Assumptions'!$A$24:$A$26)),
_xlpm.Expected_number_of_sales, '⚙️ Assumptions'!$B$12,
IFERROR(_xlpm.Ramp_up_Percentage,_xlpm.Default_max_val)*_xlpm.Expected_number_of_sales)</f>
        <v>180</v>
      </c>
      <c r="AW7" s="61" t="n">
        <f aca="false">_xlfn.LET(
_xlpm.Ramp_up_Percentage, INDEX('⚙️ Other Assumptions'!$B$17:$Q$19,MATCH('⚙️ Assumptions'!$B$13,'⚙️ Other Assumptions'!$A$17:$A$19,0),MATCH(AW4,'⚙️ Other Assumptions'!$B$14:$AI$14,0)),
_xlpm.Default_max_val,INDEX('⚙️ Other Assumptions'!$B$24:$B$26,MATCH('⚙️ Assumptions'!$B$13,'⚙️ Other Assumptions'!$A$24:$A$26)),
_xlpm.Expected_number_of_sales, '⚙️ Assumptions'!$B$12,
IFERROR(_xlpm.Ramp_up_Percentage,_xlpm.Default_max_val)*_xlpm.Expected_number_of_sales)</f>
        <v>180</v>
      </c>
      <c r="AX7" s="61" t="n">
        <f aca="false">_xlfn.LET(
_xlpm.Ramp_up_Percentage, INDEX('⚙️ Other Assumptions'!$B$17:$Q$19,MATCH('⚙️ Assumptions'!$B$13,'⚙️ Other Assumptions'!$A$17:$A$19,0),MATCH(AX4,'⚙️ Other Assumptions'!$B$14:$AI$14,0)),
_xlpm.Default_max_val,INDEX('⚙️ Other Assumptions'!$B$24:$B$26,MATCH('⚙️ Assumptions'!$B$13,'⚙️ Other Assumptions'!$A$24:$A$26)),
_xlpm.Expected_number_of_sales, '⚙️ Assumptions'!$B$12,
IFERROR(_xlpm.Ramp_up_Percentage,_xlpm.Default_max_val)*_xlpm.Expected_number_of_sales)</f>
        <v>180</v>
      </c>
      <c r="AY7" s="61" t="n">
        <f aca="false">_xlfn.LET(
_xlpm.Ramp_up_Percentage, INDEX('⚙️ Other Assumptions'!$B$17:$Q$19,MATCH('⚙️ Assumptions'!$B$13,'⚙️ Other Assumptions'!$A$17:$A$19,0),MATCH(AY4,'⚙️ Other Assumptions'!$B$14:$AI$14,0)),
_xlpm.Default_max_val,INDEX('⚙️ Other Assumptions'!$B$24:$B$26,MATCH('⚙️ Assumptions'!$B$13,'⚙️ Other Assumptions'!$A$24:$A$26)),
_xlpm.Expected_number_of_sales, '⚙️ Assumptions'!$B$12,
IFERROR(_xlpm.Ramp_up_Percentage,_xlpm.Default_max_val)*_xlpm.Expected_number_of_sales)</f>
        <v>180</v>
      </c>
      <c r="AZ7" s="61" t="n">
        <f aca="false">_xlfn.LET(
_xlpm.Ramp_up_Percentage, INDEX('⚙️ Other Assumptions'!$B$17:$Q$19,MATCH('⚙️ Assumptions'!$B$13,'⚙️ Other Assumptions'!$A$17:$A$19,0),MATCH(AZ4,'⚙️ Other Assumptions'!$B$14:$AI$14,0)),
_xlpm.Default_max_val,INDEX('⚙️ Other Assumptions'!$B$24:$B$26,MATCH('⚙️ Assumptions'!$B$13,'⚙️ Other Assumptions'!$A$24:$A$26)),
_xlpm.Expected_number_of_sales, '⚙️ Assumptions'!$B$12,
IFERROR(_xlpm.Ramp_up_Percentage,_xlpm.Default_max_val)*_xlpm.Expected_number_of_sales)</f>
        <v>180</v>
      </c>
      <c r="BA7" s="61" t="n">
        <f aca="false">_xlfn.LET(
_xlpm.Ramp_up_Percentage, INDEX('⚙️ Other Assumptions'!$B$17:$Q$19,MATCH('⚙️ Assumptions'!$B$13,'⚙️ Other Assumptions'!$A$17:$A$19,0),MATCH(BA4,'⚙️ Other Assumptions'!$B$14:$AI$14,0)),
_xlpm.Default_max_val,INDEX('⚙️ Other Assumptions'!$B$24:$B$26,MATCH('⚙️ Assumptions'!$B$13,'⚙️ Other Assumptions'!$A$24:$A$26)),
_xlpm.Expected_number_of_sales, '⚙️ Assumptions'!$B$12,
IFERROR(_xlpm.Ramp_up_Percentage,_xlpm.Default_max_val)*_xlpm.Expected_number_of_sales)</f>
        <v>180</v>
      </c>
      <c r="BB7" s="61" t="n">
        <f aca="false">_xlfn.LET(
_xlpm.Ramp_up_Percentage, INDEX('⚙️ Other Assumptions'!$B$17:$Q$19,MATCH('⚙️ Assumptions'!$B$13,'⚙️ Other Assumptions'!$A$17:$A$19,0),MATCH(BB4,'⚙️ Other Assumptions'!$B$14:$AI$14,0)),
_xlpm.Default_max_val,INDEX('⚙️ Other Assumptions'!$B$24:$B$26,MATCH('⚙️ Assumptions'!$B$13,'⚙️ Other Assumptions'!$A$24:$A$26)),
_xlpm.Expected_number_of_sales, '⚙️ Assumptions'!$B$12,
IFERROR(_xlpm.Ramp_up_Percentage,_xlpm.Default_max_val)*_xlpm.Expected_number_of_sales)</f>
        <v>180</v>
      </c>
      <c r="BC7" s="61" t="n">
        <f aca="false">_xlfn.LET(
_xlpm.Ramp_up_Percentage, INDEX('⚙️ Other Assumptions'!$B$17:$Q$19,MATCH('⚙️ Assumptions'!$B$13,'⚙️ Other Assumptions'!$A$17:$A$19,0),MATCH(BC4,'⚙️ Other Assumptions'!$B$14:$AI$14,0)),
_xlpm.Default_max_val,INDEX('⚙️ Other Assumptions'!$B$24:$B$26,MATCH('⚙️ Assumptions'!$B$13,'⚙️ Other Assumptions'!$A$24:$A$26)),
_xlpm.Expected_number_of_sales, '⚙️ Assumptions'!$B$12,
IFERROR(_xlpm.Ramp_up_Percentage,_xlpm.Default_max_val)*_xlpm.Expected_number_of_sales)</f>
        <v>180</v>
      </c>
      <c r="BD7" s="61" t="n">
        <f aca="false">_xlfn.LET(
_xlpm.Ramp_up_Percentage, INDEX('⚙️ Other Assumptions'!$B$17:$Q$19,MATCH('⚙️ Assumptions'!$B$13,'⚙️ Other Assumptions'!$A$17:$A$19,0),MATCH(BD4,'⚙️ Other Assumptions'!$B$14:$AI$14,0)),
_xlpm.Default_max_val,INDEX('⚙️ Other Assumptions'!$B$24:$B$26,MATCH('⚙️ Assumptions'!$B$13,'⚙️ Other Assumptions'!$A$24:$A$26)),
_xlpm.Expected_number_of_sales, '⚙️ Assumptions'!$B$12,
IFERROR(_xlpm.Ramp_up_Percentage,_xlpm.Default_max_val)*_xlpm.Expected_number_of_sales)</f>
        <v>180</v>
      </c>
      <c r="BE7" s="61" t="n">
        <f aca="false">_xlfn.LET(
_xlpm.Ramp_up_Percentage, INDEX('⚙️ Other Assumptions'!$B$17:$Q$19,MATCH('⚙️ Assumptions'!$B$13,'⚙️ Other Assumptions'!$A$17:$A$19,0),MATCH(BE4,'⚙️ Other Assumptions'!$B$14:$AI$14,0)),
_xlpm.Default_max_val,INDEX('⚙️ Other Assumptions'!$B$24:$B$26,MATCH('⚙️ Assumptions'!$B$13,'⚙️ Other Assumptions'!$A$24:$A$26)),
_xlpm.Expected_number_of_sales, '⚙️ Assumptions'!$B$12,
IFERROR(_xlpm.Ramp_up_Percentage,_xlpm.Default_max_val)*_xlpm.Expected_number_of_sales)</f>
        <v>180</v>
      </c>
      <c r="BF7" s="61" t="n">
        <f aca="false">_xlfn.LET(
_xlpm.Ramp_up_Percentage, INDEX('⚙️ Other Assumptions'!$B$17:$Q$19,MATCH('⚙️ Assumptions'!$B$13,'⚙️ Other Assumptions'!$A$17:$A$19,0),MATCH(BF4,'⚙️ Other Assumptions'!$B$14:$AI$14,0)),
_xlpm.Default_max_val,INDEX('⚙️ Other Assumptions'!$B$24:$B$26,MATCH('⚙️ Assumptions'!$B$13,'⚙️ Other Assumptions'!$A$24:$A$26)),
_xlpm.Expected_number_of_sales, '⚙️ Assumptions'!$B$12,
IFERROR(_xlpm.Ramp_up_Percentage,_xlpm.Default_max_val)*_xlpm.Expected_number_of_sales)</f>
        <v>180</v>
      </c>
      <c r="BG7" s="61" t="n">
        <f aca="false">_xlfn.LET(
_xlpm.Ramp_up_Percentage, INDEX('⚙️ Other Assumptions'!$B$17:$Q$19,MATCH('⚙️ Assumptions'!$B$13,'⚙️ Other Assumptions'!$A$17:$A$19,0),MATCH(BG4,'⚙️ Other Assumptions'!$B$14:$AI$14,0)),
_xlpm.Default_max_val,INDEX('⚙️ Other Assumptions'!$B$24:$B$26,MATCH('⚙️ Assumptions'!$B$13,'⚙️ Other Assumptions'!$A$24:$A$26)),
_xlpm.Expected_number_of_sales, '⚙️ Assumptions'!$B$12,
IFERROR(_xlpm.Ramp_up_Percentage,_xlpm.Default_max_val)*_xlpm.Expected_number_of_sales)</f>
        <v>180</v>
      </c>
      <c r="BH7" s="61" t="n">
        <f aca="false">_xlfn.LET(
_xlpm.Ramp_up_Percentage, INDEX('⚙️ Other Assumptions'!$B$17:$Q$19,MATCH('⚙️ Assumptions'!$B$13,'⚙️ Other Assumptions'!$A$17:$A$19,0),MATCH(BH4,'⚙️ Other Assumptions'!$B$14:$AI$14,0)),
_xlpm.Default_max_val,INDEX('⚙️ Other Assumptions'!$B$24:$B$26,MATCH('⚙️ Assumptions'!$B$13,'⚙️ Other Assumptions'!$A$24:$A$26)),
_xlpm.Expected_number_of_sales, '⚙️ Assumptions'!$B$12,
IFERROR(_xlpm.Ramp_up_Percentage,_xlpm.Default_max_val)*_xlpm.Expected_number_of_sales)</f>
        <v>180</v>
      </c>
      <c r="BI7" s="61" t="n">
        <f aca="false">_xlfn.LET(
_xlpm.Ramp_up_Percentage, INDEX('⚙️ Other Assumptions'!$B$17:$Q$19,MATCH('⚙️ Assumptions'!$B$13,'⚙️ Other Assumptions'!$A$17:$A$19,0),MATCH(BI4,'⚙️ Other Assumptions'!$B$14:$AI$14,0)),
_xlpm.Default_max_val,INDEX('⚙️ Other Assumptions'!$B$24:$B$26,MATCH('⚙️ Assumptions'!$B$13,'⚙️ Other Assumptions'!$A$24:$A$26)),
_xlpm.Expected_number_of_sales, '⚙️ Assumptions'!$B$12,
IFERROR(_xlpm.Ramp_up_Percentage,_xlpm.Default_max_val)*_xlpm.Expected_number_of_sales)</f>
        <v>180</v>
      </c>
      <c r="BJ7" s="61" t="n">
        <f aca="false">_xlfn.LET(
_xlpm.Ramp_up_Percentage, INDEX('⚙️ Other Assumptions'!$B$17:$Q$19,MATCH('⚙️ Assumptions'!$B$13,'⚙️ Other Assumptions'!$A$17:$A$19,0),MATCH(BJ4,'⚙️ Other Assumptions'!$B$14:$AI$14,0)),
_xlpm.Default_max_val,INDEX('⚙️ Other Assumptions'!$B$24:$B$26,MATCH('⚙️ Assumptions'!$B$13,'⚙️ Other Assumptions'!$A$24:$A$26)),
_xlpm.Expected_number_of_sales, '⚙️ Assumptions'!$B$12,
IFERROR(_xlpm.Ramp_up_Percentage,_xlpm.Default_max_val)*_xlpm.Expected_number_of_sales)</f>
        <v>180</v>
      </c>
    </row>
    <row r="8" customFormat="false" ht="13.5" hidden="false" customHeight="true" outlineLevel="0" collapsed="false">
      <c r="A8" s="37" t="s">
        <v>228</v>
      </c>
      <c r="B8" s="62" t="n">
        <f aca="false">AVERAGEA(C8:AL8)</f>
        <v>30.4444444444444</v>
      </c>
      <c r="C8" s="63" t="n">
        <f aca="false">DAY(DATE(YEAR(C5), MONTH(C5)+1, 0))</f>
        <v>31</v>
      </c>
      <c r="D8" s="63" t="n">
        <f aca="false">DAY(DATE(YEAR(D5), MONTH(D5)+1, 0))</f>
        <v>30</v>
      </c>
      <c r="E8" s="63" t="n">
        <f aca="false">DAY(DATE(YEAR(E5), MONTH(E5)+1, 0))</f>
        <v>31</v>
      </c>
      <c r="F8" s="63" t="n">
        <f aca="false">DAY(DATE(YEAR(F5), MONTH(F5)+1, 0))</f>
        <v>31</v>
      </c>
      <c r="G8" s="63" t="n">
        <f aca="false">DAY(DATE(YEAR(G5), MONTH(G5)+1, 0))</f>
        <v>29</v>
      </c>
      <c r="H8" s="63" t="n">
        <f aca="false">DAY(DATE(YEAR(H5), MONTH(H5)+1, 0))</f>
        <v>31</v>
      </c>
      <c r="I8" s="63" t="n">
        <f aca="false">DAY(DATE(YEAR(I5), MONTH(I5)+1, 0))</f>
        <v>30</v>
      </c>
      <c r="J8" s="63" t="n">
        <f aca="false">DAY(DATE(YEAR(J5), MONTH(J5)+1, 0))</f>
        <v>31</v>
      </c>
      <c r="K8" s="63" t="n">
        <f aca="false">DAY(DATE(YEAR(K5), MONTH(K5)+1, 0))</f>
        <v>30</v>
      </c>
      <c r="L8" s="63" t="n">
        <f aca="false">DAY(DATE(YEAR(L5), MONTH(L5)+1, 0))</f>
        <v>31</v>
      </c>
      <c r="M8" s="63" t="n">
        <f aca="false">DAY(DATE(YEAR(M5), MONTH(M5)+1, 0))</f>
        <v>31</v>
      </c>
      <c r="N8" s="63" t="n">
        <f aca="false">DAY(DATE(YEAR(N5), MONTH(N5)+1, 0))</f>
        <v>30</v>
      </c>
      <c r="O8" s="63" t="n">
        <f aca="false">DAY(DATE(YEAR(O5), MONTH(O5)+1, 0))</f>
        <v>31</v>
      </c>
      <c r="P8" s="63" t="n">
        <f aca="false">DAY(DATE(YEAR(P5), MONTH(P5)+1, 0))</f>
        <v>30</v>
      </c>
      <c r="Q8" s="63" t="n">
        <f aca="false">DAY(DATE(YEAR(Q5), MONTH(Q5)+1, 0))</f>
        <v>31</v>
      </c>
      <c r="R8" s="63" t="n">
        <f aca="false">DAY(DATE(YEAR(R5), MONTH(R5)+1, 0))</f>
        <v>31</v>
      </c>
      <c r="S8" s="63" t="n">
        <f aca="false">DAY(DATE(YEAR(S5), MONTH(S5)+1, 0))</f>
        <v>28</v>
      </c>
      <c r="T8" s="63" t="n">
        <f aca="false">DAY(DATE(YEAR(T5), MONTH(T5)+1, 0))</f>
        <v>31</v>
      </c>
      <c r="U8" s="63" t="n">
        <f aca="false">DAY(DATE(YEAR(U5), MONTH(U5)+1, 0))</f>
        <v>30</v>
      </c>
      <c r="V8" s="63" t="n">
        <f aca="false">DAY(DATE(YEAR(V5), MONTH(V5)+1, 0))</f>
        <v>31</v>
      </c>
      <c r="W8" s="63" t="n">
        <f aca="false">DAY(DATE(YEAR(W5), MONTH(W5)+1, 0))</f>
        <v>30</v>
      </c>
      <c r="X8" s="63" t="n">
        <f aca="false">DAY(DATE(YEAR(X5), MONTH(X5)+1, 0))</f>
        <v>31</v>
      </c>
      <c r="Y8" s="63" t="n">
        <f aca="false">DAY(DATE(YEAR(Y5), MONTH(Y5)+1, 0))</f>
        <v>31</v>
      </c>
      <c r="Z8" s="63" t="n">
        <f aca="false">DAY(DATE(YEAR(Z5), MONTH(Z5)+1, 0))</f>
        <v>30</v>
      </c>
      <c r="AA8" s="63" t="n">
        <f aca="false">DAY(DATE(YEAR(AA5), MONTH(AA5)+1, 0))</f>
        <v>31</v>
      </c>
      <c r="AB8" s="63" t="n">
        <f aca="false">DAY(DATE(YEAR(AB5), MONTH(AB5)+1, 0))</f>
        <v>30</v>
      </c>
      <c r="AC8" s="63" t="n">
        <f aca="false">DAY(DATE(YEAR(AC5), MONTH(AC5)+1, 0))</f>
        <v>31</v>
      </c>
      <c r="AD8" s="63" t="n">
        <f aca="false">DAY(DATE(YEAR(AD5), MONTH(AD5)+1, 0))</f>
        <v>31</v>
      </c>
      <c r="AE8" s="63" t="n">
        <f aca="false">DAY(DATE(YEAR(AE5), MONTH(AE5)+1, 0))</f>
        <v>28</v>
      </c>
      <c r="AF8" s="63" t="n">
        <f aca="false">DAY(DATE(YEAR(AF5), MONTH(AF5)+1, 0))</f>
        <v>31</v>
      </c>
      <c r="AG8" s="63" t="n">
        <f aca="false">DAY(DATE(YEAR(AG5), MONTH(AG5)+1, 0))</f>
        <v>30</v>
      </c>
      <c r="AH8" s="63" t="n">
        <f aca="false">DAY(DATE(YEAR(AH5), MONTH(AH5)+1, 0))</f>
        <v>31</v>
      </c>
      <c r="AI8" s="63" t="n">
        <f aca="false">DAY(DATE(YEAR(AI5), MONTH(AI5)+1, 0))</f>
        <v>30</v>
      </c>
      <c r="AJ8" s="63" t="n">
        <f aca="false">DAY(DATE(YEAR(AJ5), MONTH(AJ5)+1, 0))</f>
        <v>31</v>
      </c>
      <c r="AK8" s="63" t="n">
        <f aca="false">DAY(DATE(YEAR(AK5), MONTH(AK5)+1, 0))</f>
        <v>31</v>
      </c>
      <c r="AL8" s="63" t="n">
        <f aca="false">DAY(DATE(YEAR(AL5), MONTH(AL5)+1, 0))</f>
        <v>30</v>
      </c>
      <c r="AM8" s="63" t="n">
        <f aca="false">DAY(DATE(YEAR(AM5), MONTH(AM5)+1, 0))</f>
        <v>31</v>
      </c>
      <c r="AN8" s="63" t="n">
        <f aca="false">DAY(DATE(YEAR(AN5), MONTH(AN5)+1, 0))</f>
        <v>30</v>
      </c>
      <c r="AO8" s="63" t="n">
        <f aca="false">DAY(DATE(YEAR(AO5), MONTH(AO5)+1, 0))</f>
        <v>31</v>
      </c>
      <c r="AP8" s="63" t="n">
        <f aca="false">DAY(DATE(YEAR(AP5), MONTH(AP5)+1, 0))</f>
        <v>31</v>
      </c>
      <c r="AQ8" s="63" t="n">
        <f aca="false">DAY(DATE(YEAR(AQ5), MONTH(AQ5)+1, 0))</f>
        <v>28</v>
      </c>
      <c r="AR8" s="63" t="n">
        <f aca="false">DAY(DATE(YEAR(AR5), MONTH(AR5)+1, 0))</f>
        <v>31</v>
      </c>
      <c r="AS8" s="63" t="n">
        <f aca="false">DAY(DATE(YEAR(AS5), MONTH(AS5)+1, 0))</f>
        <v>30</v>
      </c>
      <c r="AT8" s="63" t="n">
        <f aca="false">DAY(DATE(YEAR(AT5), MONTH(AT5)+1, 0))</f>
        <v>31</v>
      </c>
      <c r="AU8" s="63" t="n">
        <f aca="false">DAY(DATE(YEAR(AU5), MONTH(AU5)+1, 0))</f>
        <v>30</v>
      </c>
      <c r="AV8" s="63" t="n">
        <f aca="false">DAY(DATE(YEAR(AV5), MONTH(AV5)+1, 0))</f>
        <v>31</v>
      </c>
      <c r="AW8" s="63" t="n">
        <f aca="false">DAY(DATE(YEAR(AW5), MONTH(AW5)+1, 0))</f>
        <v>31</v>
      </c>
      <c r="AX8" s="63" t="n">
        <f aca="false">DAY(DATE(YEAR(AX5), MONTH(AX5)+1, 0))</f>
        <v>30</v>
      </c>
      <c r="AY8" s="63" t="n">
        <f aca="false">DAY(DATE(YEAR(AY5), MONTH(AY5)+1, 0))</f>
        <v>31</v>
      </c>
      <c r="AZ8" s="63" t="n">
        <f aca="false">DAY(DATE(YEAR(AZ5), MONTH(AZ5)+1, 0))</f>
        <v>30</v>
      </c>
      <c r="BA8" s="63" t="n">
        <f aca="false">DAY(DATE(YEAR(BA5), MONTH(BA5)+1, 0))</f>
        <v>31</v>
      </c>
      <c r="BB8" s="63" t="n">
        <f aca="false">DAY(DATE(YEAR(BB5), MONTH(BB5)+1, 0))</f>
        <v>31</v>
      </c>
      <c r="BC8" s="63" t="n">
        <f aca="false">DAY(DATE(YEAR(BC5), MONTH(BC5)+1, 0))</f>
        <v>29</v>
      </c>
      <c r="BD8" s="63" t="n">
        <f aca="false">DAY(DATE(YEAR(BD5), MONTH(BD5)+1, 0))</f>
        <v>31</v>
      </c>
      <c r="BE8" s="63" t="n">
        <f aca="false">DAY(DATE(YEAR(BE5), MONTH(BE5)+1, 0))</f>
        <v>30</v>
      </c>
      <c r="BF8" s="63" t="n">
        <f aca="false">DAY(DATE(YEAR(BF5), MONTH(BF5)+1, 0))</f>
        <v>31</v>
      </c>
      <c r="BG8" s="63" t="n">
        <f aca="false">DAY(DATE(YEAR(BG5), MONTH(BG5)+1, 0))</f>
        <v>30</v>
      </c>
      <c r="BH8" s="63" t="n">
        <f aca="false">DAY(DATE(YEAR(BH5), MONTH(BH5)+1, 0))</f>
        <v>31</v>
      </c>
      <c r="BI8" s="63" t="n">
        <f aca="false">DAY(DATE(YEAR(BI5), MONTH(BI5)+1, 0))</f>
        <v>31</v>
      </c>
      <c r="BJ8" s="63" t="n">
        <f aca="false">DAY(DATE(YEAR(BJ5), MONTH(BJ5)+1, 0))</f>
        <v>30</v>
      </c>
    </row>
    <row r="9" customFormat="false" ht="13.5" hidden="false" customHeight="true" outlineLevel="0" collapsed="false">
      <c r="A9" s="38" t="s">
        <v>229</v>
      </c>
      <c r="B9" s="62" t="n">
        <f aca="false">SUM(C9:AL9)</f>
        <v>38.1</v>
      </c>
      <c r="C9" s="63" t="n">
        <f aca="false">INDEX('⚙️ Other Assumptions'!$B$16:$M$16,MATCH(MONTH(C5),'⚙️ Other Assumptions'!$B$14:$M$14,0))</f>
        <v>0.95</v>
      </c>
      <c r="D9" s="63" t="n">
        <f aca="false">INDEX('⚙️ Other Assumptions'!$B$16:$M$16,MATCH(MONTH(D5),'⚙️ Other Assumptions'!$B$14:$M$14,0))</f>
        <v>1.05</v>
      </c>
      <c r="E9" s="63" t="n">
        <f aca="false">INDEX('⚙️ Other Assumptions'!$B$16:$M$16,MATCH(MONTH(E5),'⚙️ Other Assumptions'!$B$14:$M$14,0))</f>
        <v>1.2</v>
      </c>
      <c r="F9" s="63" t="n">
        <f aca="false">INDEX('⚙️ Other Assumptions'!$B$16:$M$16,MATCH(MONTH(F5),'⚙️ Other Assumptions'!$B$14:$M$14,0))</f>
        <v>1.2</v>
      </c>
      <c r="G9" s="63" t="n">
        <f aca="false">INDEX('⚙️ Other Assumptions'!$B$16:$M$16,MATCH(MONTH(G5),'⚙️ Other Assumptions'!$B$14:$M$14,0))</f>
        <v>0.85</v>
      </c>
      <c r="H9" s="63" t="n">
        <f aca="false">INDEX('⚙️ Other Assumptions'!$B$16:$M$16,MATCH(MONTH(H5),'⚙️ Other Assumptions'!$B$14:$M$14,0))</f>
        <v>0.95</v>
      </c>
      <c r="I9" s="63" t="n">
        <f aca="false">INDEX('⚙️ Other Assumptions'!$B$16:$M$16,MATCH(MONTH(I5),'⚙️ Other Assumptions'!$B$14:$M$14,0))</f>
        <v>1.15</v>
      </c>
      <c r="J9" s="63" t="n">
        <f aca="false">INDEX('⚙️ Other Assumptions'!$B$16:$M$16,MATCH(MONTH(J5),'⚙️ Other Assumptions'!$B$14:$M$14,0))</f>
        <v>1.05</v>
      </c>
      <c r="K9" s="63" t="n">
        <f aca="false">INDEX('⚙️ Other Assumptions'!$B$16:$M$16,MATCH(MONTH(K5),'⚙️ Other Assumptions'!$B$14:$M$14,0))</f>
        <v>1.2</v>
      </c>
      <c r="L9" s="63" t="n">
        <f aca="false">INDEX('⚙️ Other Assumptions'!$B$16:$M$16,MATCH(MONTH(L5),'⚙️ Other Assumptions'!$B$14:$M$14,0))</f>
        <v>1.15</v>
      </c>
      <c r="M9" s="63" t="n">
        <f aca="false">INDEX('⚙️ Other Assumptions'!$B$16:$M$16,MATCH(MONTH(M5),'⚙️ Other Assumptions'!$B$14:$M$14,0))</f>
        <v>1</v>
      </c>
      <c r="N9" s="63" t="n">
        <f aca="false">INDEX('⚙️ Other Assumptions'!$B$16:$M$16,MATCH(MONTH(N5),'⚙️ Other Assumptions'!$B$14:$M$14,0))</f>
        <v>0.95</v>
      </c>
      <c r="O9" s="63" t="n">
        <f aca="false">INDEX('⚙️ Other Assumptions'!$B$16:$M$16,MATCH(MONTH(O5),'⚙️ Other Assumptions'!$B$14:$M$14,0))</f>
        <v>0.95</v>
      </c>
      <c r="P9" s="63" t="n">
        <f aca="false">INDEX('⚙️ Other Assumptions'!$B$16:$M$16,MATCH(MONTH(P5),'⚙️ Other Assumptions'!$B$14:$M$14,0))</f>
        <v>1.05</v>
      </c>
      <c r="Q9" s="63" t="n">
        <f aca="false">INDEX('⚙️ Other Assumptions'!$B$16:$M$16,MATCH(MONTH(Q5),'⚙️ Other Assumptions'!$B$14:$M$14,0))</f>
        <v>1.2</v>
      </c>
      <c r="R9" s="63" t="n">
        <f aca="false">INDEX('⚙️ Other Assumptions'!$B$16:$M$16,MATCH(MONTH(R5),'⚙️ Other Assumptions'!$B$14:$M$14,0))</f>
        <v>1.2</v>
      </c>
      <c r="S9" s="63" t="n">
        <f aca="false">INDEX('⚙️ Other Assumptions'!$B$16:$M$16,MATCH(MONTH(S5),'⚙️ Other Assumptions'!$B$14:$M$14,0))</f>
        <v>0.85</v>
      </c>
      <c r="T9" s="63" t="n">
        <f aca="false">INDEX('⚙️ Other Assumptions'!$B$16:$M$16,MATCH(MONTH(T5),'⚙️ Other Assumptions'!$B$14:$M$14,0))</f>
        <v>0.95</v>
      </c>
      <c r="U9" s="63" t="n">
        <f aca="false">INDEX('⚙️ Other Assumptions'!$B$16:$M$16,MATCH(MONTH(U5),'⚙️ Other Assumptions'!$B$14:$M$14,0))</f>
        <v>1.15</v>
      </c>
      <c r="V9" s="63" t="n">
        <f aca="false">INDEX('⚙️ Other Assumptions'!$B$16:$M$16,MATCH(MONTH(V5),'⚙️ Other Assumptions'!$B$14:$M$14,0))</f>
        <v>1.05</v>
      </c>
      <c r="W9" s="63" t="n">
        <f aca="false">INDEX('⚙️ Other Assumptions'!$B$16:$M$16,MATCH(MONTH(W5),'⚙️ Other Assumptions'!$B$14:$M$14,0))</f>
        <v>1.2</v>
      </c>
      <c r="X9" s="63" t="n">
        <f aca="false">INDEX('⚙️ Other Assumptions'!$B$16:$M$16,MATCH(MONTH(X5),'⚙️ Other Assumptions'!$B$14:$M$14,0))</f>
        <v>1.15</v>
      </c>
      <c r="Y9" s="63" t="n">
        <f aca="false">INDEX('⚙️ Other Assumptions'!$B$16:$M$16,MATCH(MONTH(Y5),'⚙️ Other Assumptions'!$B$14:$M$14,0))</f>
        <v>1</v>
      </c>
      <c r="Z9" s="63" t="n">
        <f aca="false">INDEX('⚙️ Other Assumptions'!$B$16:$M$16,MATCH(MONTH(Z5),'⚙️ Other Assumptions'!$B$14:$M$14,0))</f>
        <v>0.95</v>
      </c>
      <c r="AA9" s="63" t="n">
        <f aca="false">INDEX('⚙️ Other Assumptions'!$B$16:$M$16,MATCH(MONTH(AA5),'⚙️ Other Assumptions'!$B$14:$M$14,0))</f>
        <v>0.95</v>
      </c>
      <c r="AB9" s="63" t="n">
        <f aca="false">INDEX('⚙️ Other Assumptions'!$B$16:$M$16,MATCH(MONTH(AB5),'⚙️ Other Assumptions'!$B$14:$M$14,0))</f>
        <v>1.05</v>
      </c>
      <c r="AC9" s="63" t="n">
        <f aca="false">INDEX('⚙️ Other Assumptions'!$B$16:$M$16,MATCH(MONTH(AC5),'⚙️ Other Assumptions'!$B$14:$M$14,0))</f>
        <v>1.2</v>
      </c>
      <c r="AD9" s="63" t="n">
        <f aca="false">INDEX('⚙️ Other Assumptions'!$B$16:$M$16,MATCH(MONTH(AD5),'⚙️ Other Assumptions'!$B$14:$M$14,0))</f>
        <v>1.2</v>
      </c>
      <c r="AE9" s="63" t="n">
        <f aca="false">INDEX('⚙️ Other Assumptions'!$B$16:$M$16,MATCH(MONTH(AE5),'⚙️ Other Assumptions'!$B$14:$M$14,0))</f>
        <v>0.85</v>
      </c>
      <c r="AF9" s="63" t="n">
        <f aca="false">INDEX('⚙️ Other Assumptions'!$B$16:$M$16,MATCH(MONTH(AF5),'⚙️ Other Assumptions'!$B$14:$M$14,0))</f>
        <v>0.95</v>
      </c>
      <c r="AG9" s="63" t="n">
        <f aca="false">INDEX('⚙️ Other Assumptions'!$B$16:$M$16,MATCH(MONTH(AG5),'⚙️ Other Assumptions'!$B$14:$M$14,0))</f>
        <v>1.15</v>
      </c>
      <c r="AH9" s="63" t="n">
        <f aca="false">INDEX('⚙️ Other Assumptions'!$B$16:$M$16,MATCH(MONTH(AH5),'⚙️ Other Assumptions'!$B$14:$M$14,0))</f>
        <v>1.05</v>
      </c>
      <c r="AI9" s="63" t="n">
        <f aca="false">INDEX('⚙️ Other Assumptions'!$B$16:$M$16,MATCH(MONTH(AI5),'⚙️ Other Assumptions'!$B$14:$M$14,0))</f>
        <v>1.2</v>
      </c>
      <c r="AJ9" s="63" t="n">
        <f aca="false">INDEX('⚙️ Other Assumptions'!$B$16:$M$16,MATCH(MONTH(AJ5),'⚙️ Other Assumptions'!$B$14:$M$14,0))</f>
        <v>1.15</v>
      </c>
      <c r="AK9" s="63" t="n">
        <f aca="false">INDEX('⚙️ Other Assumptions'!$B$16:$M$16,MATCH(MONTH(AK5),'⚙️ Other Assumptions'!$B$14:$M$14,0))</f>
        <v>1</v>
      </c>
      <c r="AL9" s="63" t="n">
        <f aca="false">INDEX('⚙️ Other Assumptions'!$B$16:$M$16,MATCH(MONTH(AL5),'⚙️ Other Assumptions'!$B$14:$M$14,0))</f>
        <v>0.95</v>
      </c>
      <c r="AM9" s="63" t="n">
        <f aca="false">INDEX('⚙️ Other Assumptions'!$B$16:$M$16,MATCH(MONTH(AM5),'⚙️ Other Assumptions'!$B$14:$M$14,0))</f>
        <v>0.95</v>
      </c>
      <c r="AN9" s="63" t="n">
        <f aca="false">INDEX('⚙️ Other Assumptions'!$B$16:$M$16,MATCH(MONTH(AN5),'⚙️ Other Assumptions'!$B$14:$M$14,0))</f>
        <v>1.05</v>
      </c>
      <c r="AO9" s="63" t="n">
        <f aca="false">INDEX('⚙️ Other Assumptions'!$B$16:$M$16,MATCH(MONTH(AO5),'⚙️ Other Assumptions'!$B$14:$M$14,0))</f>
        <v>1.2</v>
      </c>
      <c r="AP9" s="63" t="n">
        <f aca="false">INDEX('⚙️ Other Assumptions'!$B$16:$M$16,MATCH(MONTH(AP5),'⚙️ Other Assumptions'!$B$14:$M$14,0))</f>
        <v>1.2</v>
      </c>
      <c r="AQ9" s="63" t="n">
        <f aca="false">INDEX('⚙️ Other Assumptions'!$B$16:$M$16,MATCH(MONTH(AQ5),'⚙️ Other Assumptions'!$B$14:$M$14,0))</f>
        <v>0.85</v>
      </c>
      <c r="AR9" s="63" t="n">
        <f aca="false">INDEX('⚙️ Other Assumptions'!$B$16:$M$16,MATCH(MONTH(AR5),'⚙️ Other Assumptions'!$B$14:$M$14,0))</f>
        <v>0.95</v>
      </c>
      <c r="AS9" s="63" t="n">
        <f aca="false">INDEX('⚙️ Other Assumptions'!$B$16:$M$16,MATCH(MONTH(AS5),'⚙️ Other Assumptions'!$B$14:$M$14,0))</f>
        <v>1.15</v>
      </c>
      <c r="AT9" s="63" t="n">
        <f aca="false">INDEX('⚙️ Other Assumptions'!$B$16:$M$16,MATCH(MONTH(AT5),'⚙️ Other Assumptions'!$B$14:$M$14,0))</f>
        <v>1.05</v>
      </c>
      <c r="AU9" s="63" t="n">
        <f aca="false">INDEX('⚙️ Other Assumptions'!$B$16:$M$16,MATCH(MONTH(AU5),'⚙️ Other Assumptions'!$B$14:$M$14,0))</f>
        <v>1.2</v>
      </c>
      <c r="AV9" s="63" t="n">
        <f aca="false">INDEX('⚙️ Other Assumptions'!$B$16:$M$16,MATCH(MONTH(AV5),'⚙️ Other Assumptions'!$B$14:$M$14,0))</f>
        <v>1.15</v>
      </c>
      <c r="AW9" s="63" t="n">
        <f aca="false">INDEX('⚙️ Other Assumptions'!$B$16:$M$16,MATCH(MONTH(AW5),'⚙️ Other Assumptions'!$B$14:$M$14,0))</f>
        <v>1</v>
      </c>
      <c r="AX9" s="63" t="n">
        <f aca="false">INDEX('⚙️ Other Assumptions'!$B$16:$M$16,MATCH(MONTH(AX5),'⚙️ Other Assumptions'!$B$14:$M$14,0))</f>
        <v>0.95</v>
      </c>
      <c r="AY9" s="63" t="n">
        <f aca="false">INDEX('⚙️ Other Assumptions'!$B$16:$M$16,MATCH(MONTH(AY5),'⚙️ Other Assumptions'!$B$14:$M$14,0))</f>
        <v>0.95</v>
      </c>
      <c r="AZ9" s="63" t="n">
        <f aca="false">INDEX('⚙️ Other Assumptions'!$B$16:$M$16,MATCH(MONTH(AZ5),'⚙️ Other Assumptions'!$B$14:$M$14,0))</f>
        <v>1.05</v>
      </c>
      <c r="BA9" s="63" t="n">
        <f aca="false">INDEX('⚙️ Other Assumptions'!$B$16:$M$16,MATCH(MONTH(BA5),'⚙️ Other Assumptions'!$B$14:$M$14,0))</f>
        <v>1.2</v>
      </c>
      <c r="BB9" s="63" t="n">
        <f aca="false">INDEX('⚙️ Other Assumptions'!$B$16:$M$16,MATCH(MONTH(BB5),'⚙️ Other Assumptions'!$B$14:$M$14,0))</f>
        <v>1.2</v>
      </c>
      <c r="BC9" s="63" t="n">
        <f aca="false">INDEX('⚙️ Other Assumptions'!$B$16:$M$16,MATCH(MONTH(BC5),'⚙️ Other Assumptions'!$B$14:$M$14,0))</f>
        <v>0.85</v>
      </c>
      <c r="BD9" s="63" t="n">
        <f aca="false">INDEX('⚙️ Other Assumptions'!$B$16:$M$16,MATCH(MONTH(BD5),'⚙️ Other Assumptions'!$B$14:$M$14,0))</f>
        <v>0.95</v>
      </c>
      <c r="BE9" s="63" t="n">
        <f aca="false">INDEX('⚙️ Other Assumptions'!$B$16:$M$16,MATCH(MONTH(BE5),'⚙️ Other Assumptions'!$B$14:$M$14,0))</f>
        <v>1.15</v>
      </c>
      <c r="BF9" s="63" t="n">
        <f aca="false">INDEX('⚙️ Other Assumptions'!$B$16:$M$16,MATCH(MONTH(BF5),'⚙️ Other Assumptions'!$B$14:$M$14,0))</f>
        <v>1.05</v>
      </c>
      <c r="BG9" s="63" t="n">
        <f aca="false">INDEX('⚙️ Other Assumptions'!$B$16:$M$16,MATCH(MONTH(BG5),'⚙️ Other Assumptions'!$B$14:$M$14,0))</f>
        <v>1.2</v>
      </c>
      <c r="BH9" s="63" t="n">
        <f aca="false">INDEX('⚙️ Other Assumptions'!$B$16:$M$16,MATCH(MONTH(BH5),'⚙️ Other Assumptions'!$B$14:$M$14,0))</f>
        <v>1.15</v>
      </c>
      <c r="BI9" s="63" t="n">
        <f aca="false">INDEX('⚙️ Other Assumptions'!$B$16:$M$16,MATCH(MONTH(BI5),'⚙️ Other Assumptions'!$B$14:$M$14,0))</f>
        <v>1</v>
      </c>
      <c r="BJ9" s="63" t="n">
        <f aca="false">INDEX('⚙️ Other Assumptions'!$B$16:$M$16,MATCH(MONTH(BJ5),'⚙️ Other Assumptions'!$B$14:$M$14,0))</f>
        <v>0.95</v>
      </c>
    </row>
    <row r="10" customFormat="false" ht="13.5" hidden="false" customHeight="true" outlineLevel="0" collapsed="false">
      <c r="A10" s="37" t="s">
        <v>230</v>
      </c>
      <c r="B10" s="60" t="n">
        <f aca="false">AVERAGEA(C10:AL10)</f>
        <v>75000</v>
      </c>
      <c r="C10" s="64" t="n">
        <v>75000</v>
      </c>
      <c r="D10" s="64" t="n">
        <v>75000</v>
      </c>
      <c r="E10" s="64" t="n">
        <v>75000</v>
      </c>
      <c r="F10" s="64" t="n">
        <v>75000</v>
      </c>
      <c r="G10" s="64" t="n">
        <v>75000</v>
      </c>
      <c r="H10" s="64" t="n">
        <v>75000</v>
      </c>
      <c r="I10" s="64" t="n">
        <v>75000</v>
      </c>
      <c r="J10" s="64" t="n">
        <v>75000</v>
      </c>
      <c r="K10" s="64" t="n">
        <v>75000</v>
      </c>
      <c r="L10" s="64" t="n">
        <v>75000</v>
      </c>
      <c r="M10" s="64" t="n">
        <v>75000</v>
      </c>
      <c r="N10" s="64" t="n">
        <v>75000</v>
      </c>
      <c r="O10" s="64" t="n">
        <v>75000</v>
      </c>
      <c r="P10" s="64" t="n">
        <v>75000</v>
      </c>
      <c r="Q10" s="64" t="n">
        <v>75000</v>
      </c>
      <c r="R10" s="64" t="n">
        <v>75000</v>
      </c>
      <c r="S10" s="64" t="n">
        <v>75000</v>
      </c>
      <c r="T10" s="64" t="n">
        <v>75000</v>
      </c>
      <c r="U10" s="64" t="n">
        <v>75000</v>
      </c>
      <c r="V10" s="64" t="n">
        <v>75000</v>
      </c>
      <c r="W10" s="64" t="n">
        <v>75000</v>
      </c>
      <c r="X10" s="64" t="n">
        <v>75000</v>
      </c>
      <c r="Y10" s="64" t="n">
        <v>75000</v>
      </c>
      <c r="Z10" s="64" t="n">
        <v>75000</v>
      </c>
      <c r="AA10" s="64" t="n">
        <v>75000</v>
      </c>
      <c r="AB10" s="64" t="n">
        <v>75000</v>
      </c>
      <c r="AC10" s="64" t="n">
        <v>75000</v>
      </c>
      <c r="AD10" s="64" t="n">
        <v>75000</v>
      </c>
      <c r="AE10" s="64" t="n">
        <v>75000</v>
      </c>
      <c r="AF10" s="64" t="n">
        <v>75000</v>
      </c>
      <c r="AG10" s="64" t="n">
        <v>75000</v>
      </c>
      <c r="AH10" s="64" t="n">
        <v>75000</v>
      </c>
      <c r="AI10" s="64" t="n">
        <v>75000</v>
      </c>
      <c r="AJ10" s="64" t="n">
        <v>75000</v>
      </c>
      <c r="AK10" s="64" t="n">
        <v>75000</v>
      </c>
      <c r="AL10" s="64" t="n">
        <v>75000</v>
      </c>
      <c r="AM10" s="64" t="n">
        <v>75000</v>
      </c>
      <c r="AN10" s="64" t="n">
        <v>75000</v>
      </c>
      <c r="AO10" s="64" t="n">
        <v>75000</v>
      </c>
      <c r="AP10" s="64" t="n">
        <v>75000</v>
      </c>
      <c r="AQ10" s="64" t="n">
        <v>75000</v>
      </c>
      <c r="AR10" s="64" t="n">
        <v>75000</v>
      </c>
      <c r="AS10" s="64" t="n">
        <v>75000</v>
      </c>
      <c r="AT10" s="64" t="n">
        <v>75000</v>
      </c>
      <c r="AU10" s="64" t="n">
        <v>75000</v>
      </c>
      <c r="AV10" s="64" t="n">
        <v>75000</v>
      </c>
      <c r="AW10" s="64" t="n">
        <v>75000</v>
      </c>
      <c r="AX10" s="64" t="n">
        <v>75000</v>
      </c>
      <c r="AY10" s="64" t="n">
        <v>75000</v>
      </c>
      <c r="AZ10" s="64" t="n">
        <v>75000</v>
      </c>
      <c r="BA10" s="64" t="n">
        <v>75000</v>
      </c>
      <c r="BB10" s="64" t="n">
        <v>75000</v>
      </c>
      <c r="BC10" s="64" t="n">
        <v>75000</v>
      </c>
      <c r="BD10" s="64" t="n">
        <v>75000</v>
      </c>
      <c r="BE10" s="64" t="n">
        <v>75000</v>
      </c>
      <c r="BF10" s="64" t="n">
        <v>75000</v>
      </c>
      <c r="BG10" s="64" t="n">
        <v>75000</v>
      </c>
      <c r="BH10" s="64" t="n">
        <v>75000</v>
      </c>
      <c r="BI10" s="64" t="n">
        <v>75000</v>
      </c>
      <c r="BJ10" s="64" t="n">
        <v>75000</v>
      </c>
    </row>
    <row r="11" customFormat="false" ht="13.5" hidden="false" customHeight="true" outlineLevel="0" collapsed="false">
      <c r="A11" s="38" t="s">
        <v>231</v>
      </c>
      <c r="B11" s="65" t="n">
        <f aca="false">AVERAGE(C11:AL11)</f>
        <v>0.8</v>
      </c>
      <c r="C11" s="53" t="n">
        <v>0.8</v>
      </c>
      <c r="D11" s="53" t="n">
        <v>0.8</v>
      </c>
      <c r="E11" s="53" t="n">
        <v>0.8</v>
      </c>
      <c r="F11" s="53" t="n">
        <v>0.8</v>
      </c>
      <c r="G11" s="53" t="n">
        <v>0.8</v>
      </c>
      <c r="H11" s="53" t="n">
        <v>0.8</v>
      </c>
      <c r="I11" s="53" t="n">
        <v>0.8</v>
      </c>
      <c r="J11" s="53" t="n">
        <v>0.8</v>
      </c>
      <c r="K11" s="53" t="n">
        <v>0.8</v>
      </c>
      <c r="L11" s="53" t="n">
        <v>0.8</v>
      </c>
      <c r="M11" s="53" t="n">
        <v>0.8</v>
      </c>
      <c r="N11" s="53" t="n">
        <v>0.8</v>
      </c>
      <c r="O11" s="53" t="n">
        <v>0.8</v>
      </c>
      <c r="P11" s="53" t="n">
        <v>0.8</v>
      </c>
      <c r="Q11" s="53" t="n">
        <v>0.8</v>
      </c>
      <c r="R11" s="53" t="n">
        <v>0.8</v>
      </c>
      <c r="S11" s="53" t="n">
        <v>0.8</v>
      </c>
      <c r="T11" s="53" t="n">
        <v>0.8</v>
      </c>
      <c r="U11" s="53" t="n">
        <v>0.8</v>
      </c>
      <c r="V11" s="53" t="n">
        <v>0.8</v>
      </c>
      <c r="W11" s="53" t="n">
        <v>0.8</v>
      </c>
      <c r="X11" s="53" t="n">
        <v>0.8</v>
      </c>
      <c r="Y11" s="53" t="n">
        <v>0.8</v>
      </c>
      <c r="Z11" s="53" t="n">
        <v>0.8</v>
      </c>
      <c r="AA11" s="53" t="n">
        <v>0.8</v>
      </c>
      <c r="AB11" s="53" t="n">
        <v>0.8</v>
      </c>
      <c r="AC11" s="53" t="n">
        <v>0.8</v>
      </c>
      <c r="AD11" s="53" t="n">
        <v>0.8</v>
      </c>
      <c r="AE11" s="53" t="n">
        <v>0.8</v>
      </c>
      <c r="AF11" s="53" t="n">
        <v>0.8</v>
      </c>
      <c r="AG11" s="53" t="n">
        <v>0.8</v>
      </c>
      <c r="AH11" s="53" t="n">
        <v>0.8</v>
      </c>
      <c r="AI11" s="53" t="n">
        <v>0.8</v>
      </c>
      <c r="AJ11" s="53" t="n">
        <v>0.8</v>
      </c>
      <c r="AK11" s="53" t="n">
        <v>0.8</v>
      </c>
      <c r="AL11" s="53" t="n">
        <v>0.8</v>
      </c>
      <c r="AM11" s="53" t="n">
        <v>0.8</v>
      </c>
      <c r="AN11" s="53" t="n">
        <v>0.8</v>
      </c>
      <c r="AO11" s="53" t="n">
        <v>0.8</v>
      </c>
      <c r="AP11" s="53" t="n">
        <v>0.8</v>
      </c>
      <c r="AQ11" s="53" t="n">
        <v>0.8</v>
      </c>
      <c r="AR11" s="53" t="n">
        <v>0.8</v>
      </c>
      <c r="AS11" s="53" t="n">
        <v>0.8</v>
      </c>
      <c r="AT11" s="53" t="n">
        <v>0.8</v>
      </c>
      <c r="AU11" s="53" t="n">
        <v>0.8</v>
      </c>
      <c r="AV11" s="53" t="n">
        <v>0.8</v>
      </c>
      <c r="AW11" s="53" t="n">
        <v>0.8</v>
      </c>
      <c r="AX11" s="53" t="n">
        <v>0.8</v>
      </c>
      <c r="AY11" s="53" t="n">
        <v>0.8</v>
      </c>
      <c r="AZ11" s="53" t="n">
        <v>0.8</v>
      </c>
      <c r="BA11" s="53" t="n">
        <v>0.8</v>
      </c>
      <c r="BB11" s="53" t="n">
        <v>0.8</v>
      </c>
      <c r="BC11" s="53" t="n">
        <v>0.8</v>
      </c>
      <c r="BD11" s="53" t="n">
        <v>0.8</v>
      </c>
      <c r="BE11" s="53" t="n">
        <v>0.8</v>
      </c>
      <c r="BF11" s="53" t="n">
        <v>0.8</v>
      </c>
      <c r="BG11" s="53" t="n">
        <v>0.8</v>
      </c>
      <c r="BH11" s="53" t="n">
        <v>0.8</v>
      </c>
      <c r="BI11" s="53" t="n">
        <v>0.8</v>
      </c>
      <c r="BJ11" s="53" t="n">
        <v>0.8</v>
      </c>
    </row>
    <row r="12" customFormat="false" ht="13.5" hidden="false" customHeight="true" outlineLevel="0" collapsed="false">
      <c r="A12" s="59" t="s">
        <v>232</v>
      </c>
      <c r="B12" s="59"/>
      <c r="C12" s="59"/>
      <c r="D12" s="59"/>
      <c r="E12" s="59"/>
      <c r="F12" s="59"/>
      <c r="G12" s="59"/>
      <c r="H12" s="59"/>
      <c r="I12" s="59"/>
      <c r="J12" s="59"/>
      <c r="K12" s="59"/>
      <c r="L12" s="59"/>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row>
    <row r="13" customFormat="false" ht="13.5" hidden="false" customHeight="true" outlineLevel="0" collapsed="false">
      <c r="A13" s="38" t="s">
        <v>233</v>
      </c>
      <c r="B13" s="60" t="n">
        <f aca="false">AVERAGEA(C13:AL13)</f>
        <v>4647.0625</v>
      </c>
      <c r="C13" s="60" t="n">
        <f aca="false">C7*C8*C9</f>
        <v>0</v>
      </c>
      <c r="D13" s="60" t="n">
        <f aca="false">D7*D8*D9</f>
        <v>0</v>
      </c>
      <c r="E13" s="60" t="n">
        <f aca="false">E7*E8*E9</f>
        <v>1674</v>
      </c>
      <c r="F13" s="60" t="n">
        <f aca="false">F7*F8*F9</f>
        <v>1674</v>
      </c>
      <c r="G13" s="60" t="n">
        <f aca="false">G7*G8*G9</f>
        <v>1848.75</v>
      </c>
      <c r="H13" s="60" t="n">
        <f aca="false">H7*H8*H9</f>
        <v>2208.75</v>
      </c>
      <c r="I13" s="60" t="n">
        <f aca="false">I7*I8*I9</f>
        <v>3881.25</v>
      </c>
      <c r="J13" s="60" t="n">
        <f aca="false">J7*J8*J9</f>
        <v>3661.875</v>
      </c>
      <c r="K13" s="60" t="n">
        <f aca="false">K7*K8*K9</f>
        <v>4320</v>
      </c>
      <c r="L13" s="60" t="n">
        <f aca="false">L7*L8*L9</f>
        <v>4812.75</v>
      </c>
      <c r="M13" s="60" t="n">
        <f aca="false">M7*M8*M9</f>
        <v>4185</v>
      </c>
      <c r="N13" s="60" t="n">
        <f aca="false">N7*N8*N9</f>
        <v>4061.25</v>
      </c>
      <c r="O13" s="60" t="n">
        <f aca="false">O7*O8*O9</f>
        <v>4196.625</v>
      </c>
      <c r="P13" s="60" t="n">
        <f aca="false">P7*P8*P9</f>
        <v>4725</v>
      </c>
      <c r="Q13" s="60" t="n">
        <f aca="false">Q7*Q8*Q9</f>
        <v>5580</v>
      </c>
      <c r="R13" s="60" t="n">
        <f aca="false">R7*R8*R9</f>
        <v>5580</v>
      </c>
      <c r="S13" s="60" t="n">
        <f aca="false">S7*S8*S9</f>
        <v>4284</v>
      </c>
      <c r="T13" s="60" t="n">
        <f aca="false">T7*T8*T9</f>
        <v>5301</v>
      </c>
      <c r="U13" s="60" t="n">
        <f aca="false">U7*U8*U9</f>
        <v>6210</v>
      </c>
      <c r="V13" s="60" t="n">
        <f aca="false">V7*V8*V9</f>
        <v>5859</v>
      </c>
      <c r="W13" s="60" t="n">
        <f aca="false">W7*W8*W9</f>
        <v>6480</v>
      </c>
      <c r="X13" s="60" t="n">
        <f aca="false">X7*X8*X9</f>
        <v>6417</v>
      </c>
      <c r="Y13" s="60" t="n">
        <f aca="false">Y7*Y8*Y9</f>
        <v>5580</v>
      </c>
      <c r="Z13" s="60" t="n">
        <f aca="false">Z7*Z8*Z9</f>
        <v>5130</v>
      </c>
      <c r="AA13" s="60" t="n">
        <f aca="false">AA7*AA8*AA9</f>
        <v>5301</v>
      </c>
      <c r="AB13" s="60" t="n">
        <f aca="false">AB7*AB8*AB9</f>
        <v>5670</v>
      </c>
      <c r="AC13" s="60" t="n">
        <f aca="false">AC7*AC8*AC9</f>
        <v>6696</v>
      </c>
      <c r="AD13" s="60" t="n">
        <f aca="false">AD7*AD8*AD9</f>
        <v>6696</v>
      </c>
      <c r="AE13" s="60" t="n">
        <f aca="false">AE7*AE8*AE9</f>
        <v>4284</v>
      </c>
      <c r="AF13" s="60" t="n">
        <f aca="false">AF7*AF8*AF9</f>
        <v>5301</v>
      </c>
      <c r="AG13" s="60" t="n">
        <f aca="false">AG7*AG8*AG9</f>
        <v>6210</v>
      </c>
      <c r="AH13" s="60" t="n">
        <f aca="false">AH7*AH8*AH9</f>
        <v>5859</v>
      </c>
      <c r="AI13" s="60" t="n">
        <f aca="false">AI7*AI8*AI9</f>
        <v>6480</v>
      </c>
      <c r="AJ13" s="60" t="n">
        <f aca="false">AJ7*AJ8*AJ9</f>
        <v>6417</v>
      </c>
      <c r="AK13" s="60" t="n">
        <f aca="false">AK7*AK8*AK9</f>
        <v>5580</v>
      </c>
      <c r="AL13" s="60" t="n">
        <f aca="false">AL7*AL8*AL9</f>
        <v>5130</v>
      </c>
      <c r="AM13" s="60" t="n">
        <f aca="false">AM7*AM8*AM9</f>
        <v>5301</v>
      </c>
      <c r="AN13" s="60" t="n">
        <f aca="false">AN7*AN8*AN9</f>
        <v>5670</v>
      </c>
      <c r="AO13" s="60" t="n">
        <f aca="false">AO7*AO8*AO9</f>
        <v>6696</v>
      </c>
      <c r="AP13" s="60" t="n">
        <f aca="false">AP7*AP8*AP9</f>
        <v>6696</v>
      </c>
      <c r="AQ13" s="60" t="n">
        <f aca="false">AQ7*AQ8*AQ9</f>
        <v>4284</v>
      </c>
      <c r="AR13" s="60" t="n">
        <f aca="false">AR7*AR8*AR9</f>
        <v>5301</v>
      </c>
      <c r="AS13" s="60" t="n">
        <f aca="false">AS7*AS8*AS9</f>
        <v>6210</v>
      </c>
      <c r="AT13" s="60" t="n">
        <f aca="false">AT7*AT8*AT9</f>
        <v>5859</v>
      </c>
      <c r="AU13" s="60" t="n">
        <f aca="false">AU7*AU8*AU9</f>
        <v>6480</v>
      </c>
      <c r="AV13" s="60" t="n">
        <f aca="false">AV7*AV8*AV9</f>
        <v>6417</v>
      </c>
      <c r="AW13" s="60" t="n">
        <f aca="false">AW7*AW8*AW9</f>
        <v>5580</v>
      </c>
      <c r="AX13" s="60" t="n">
        <f aca="false">AX7*AX8*AX9</f>
        <v>5130</v>
      </c>
      <c r="AY13" s="60" t="n">
        <f aca="false">AY7*AY8*AY9</f>
        <v>5301</v>
      </c>
      <c r="AZ13" s="60" t="n">
        <f aca="false">AZ7*AZ8*AZ9</f>
        <v>5670</v>
      </c>
      <c r="BA13" s="60" t="n">
        <f aca="false">BA7*BA8*BA9</f>
        <v>6696</v>
      </c>
      <c r="BB13" s="60" t="n">
        <f aca="false">BB7*BB8*BB9</f>
        <v>6696</v>
      </c>
      <c r="BC13" s="60" t="n">
        <f aca="false">BC7*BC8*BC9</f>
        <v>4437</v>
      </c>
      <c r="BD13" s="60" t="n">
        <f aca="false">BD7*BD8*BD9</f>
        <v>5301</v>
      </c>
      <c r="BE13" s="60" t="n">
        <f aca="false">BE7*BE8*BE9</f>
        <v>6210</v>
      </c>
      <c r="BF13" s="60" t="n">
        <f aca="false">BF7*BF8*BF9</f>
        <v>5859</v>
      </c>
      <c r="BG13" s="60" t="n">
        <f aca="false">BG7*BG8*BG9</f>
        <v>6480</v>
      </c>
      <c r="BH13" s="60" t="n">
        <f aca="false">BH7*BH8*BH9</f>
        <v>6417</v>
      </c>
      <c r="BI13" s="60" t="n">
        <f aca="false">BI7*BI8*BI9</f>
        <v>5580</v>
      </c>
      <c r="BJ13" s="60" t="n">
        <f aca="false">BJ7*BJ8*BJ9</f>
        <v>5130</v>
      </c>
    </row>
    <row r="14" customFormat="false" ht="13.5" hidden="false" customHeight="true" outlineLevel="0" collapsed="false">
      <c r="A14" s="66" t="s">
        <v>234</v>
      </c>
      <c r="B14" s="67" t="n">
        <f aca="false">SUM(C14:AL14)</f>
        <v>12547068750</v>
      </c>
      <c r="C14" s="67" t="n">
        <f aca="false">_xlfn.LET(
_xlpm.number_of_serves, C13,
_xlpm.avg_spend, C10,
_xlpm.avg_days_per_month,C8,
_xlpm.number_of_serves*_xlpm.avg_spend)</f>
        <v>0</v>
      </c>
      <c r="D14" s="67" t="n">
        <f aca="false">_xlfn.LET(
_xlpm.number_of_serves, D13,
_xlpm.avg_spend, D10,
_xlpm.avg_days_per_month,D8,
_xlpm.number_of_serves*_xlpm.avg_spend)</f>
        <v>0</v>
      </c>
      <c r="E14" s="67" t="n">
        <f aca="false">_xlfn.LET(
_xlpm.number_of_serves, E13,
_xlpm.avg_spend, E10,
_xlpm.avg_days_per_month,E8,
_xlpm.number_of_serves*_xlpm.avg_spend)</f>
        <v>125550000</v>
      </c>
      <c r="F14" s="67" t="n">
        <f aca="false">_xlfn.LET(
_xlpm.number_of_serves, F13,
_xlpm.avg_spend, F10,
_xlpm.avg_days_per_month,F8,
_xlpm.number_of_serves*_xlpm.avg_spend)</f>
        <v>125550000</v>
      </c>
      <c r="G14" s="67" t="n">
        <f aca="false">_xlfn.LET(
_xlpm.number_of_serves, G13,
_xlpm.avg_spend, G10,
_xlpm.avg_days_per_month,G8,
_xlpm.number_of_serves*_xlpm.avg_spend)</f>
        <v>138656250</v>
      </c>
      <c r="H14" s="67" t="n">
        <f aca="false">_xlfn.LET(
_xlpm.number_of_serves, H13,
_xlpm.avg_spend, H10,
_xlpm.avg_days_per_month,H8,
_xlpm.number_of_serves*_xlpm.avg_spend)</f>
        <v>165656250</v>
      </c>
      <c r="I14" s="67" t="n">
        <f aca="false">_xlfn.LET(
_xlpm.number_of_serves, I13,
_xlpm.avg_spend, I10,
_xlpm.avg_days_per_month,I8,
_xlpm.number_of_serves*_xlpm.avg_spend)</f>
        <v>291093750</v>
      </c>
      <c r="J14" s="67" t="n">
        <f aca="false">_xlfn.LET(
_xlpm.number_of_serves, J13,
_xlpm.avg_spend, J10,
_xlpm.avg_days_per_month,J8,
_xlpm.number_of_serves*_xlpm.avg_spend)</f>
        <v>274640625</v>
      </c>
      <c r="K14" s="67" t="n">
        <f aca="false">_xlfn.LET(
_xlpm.number_of_serves, K13,
_xlpm.avg_spend, K10,
_xlpm.avg_days_per_month,K8,
_xlpm.number_of_serves*_xlpm.avg_spend)</f>
        <v>324000000</v>
      </c>
      <c r="L14" s="67" t="n">
        <f aca="false">_xlfn.LET(
_xlpm.number_of_serves, L13,
_xlpm.avg_spend, L10,
_xlpm.avg_days_per_month,L8,
_xlpm.number_of_serves*_xlpm.avg_spend)</f>
        <v>360956250</v>
      </c>
      <c r="M14" s="67" t="n">
        <f aca="false">_xlfn.LET(
_xlpm.number_of_serves, M13,
_xlpm.avg_spend, M10,
_xlpm.avg_days_per_month,M8,
_xlpm.number_of_serves*_xlpm.avg_spend)</f>
        <v>313875000</v>
      </c>
      <c r="N14" s="67" t="n">
        <f aca="false">_xlfn.LET(
_xlpm.number_of_serves, N13,
_xlpm.avg_spend, N10,
_xlpm.avg_days_per_month,N8,
_xlpm.number_of_serves*_xlpm.avg_spend)</f>
        <v>304593750</v>
      </c>
      <c r="O14" s="67" t="n">
        <f aca="false">_xlfn.LET(
_xlpm.number_of_serves, O13,
_xlpm.avg_spend, O10,
_xlpm.avg_days_per_month,O8,
_xlpm.number_of_serves*_xlpm.avg_spend)</f>
        <v>314746875</v>
      </c>
      <c r="P14" s="67" t="n">
        <f aca="false">_xlfn.LET(
_xlpm.number_of_serves, P13,
_xlpm.avg_spend, P10,
_xlpm.avg_days_per_month,P8,
_xlpm.number_of_serves*_xlpm.avg_spend)</f>
        <v>354375000</v>
      </c>
      <c r="Q14" s="67" t="n">
        <f aca="false">_xlfn.LET(
_xlpm.number_of_serves, Q13,
_xlpm.avg_spend, Q10,
_xlpm.avg_days_per_month,Q8,
_xlpm.number_of_serves*_xlpm.avg_spend)</f>
        <v>418500000</v>
      </c>
      <c r="R14" s="67" t="n">
        <f aca="false">_xlfn.LET(
_xlpm.number_of_serves, R13,
_xlpm.avg_spend, R10,
_xlpm.avg_days_per_month,R8,
_xlpm.number_of_serves*_xlpm.avg_spend)</f>
        <v>418500000</v>
      </c>
      <c r="S14" s="67" t="n">
        <f aca="false">_xlfn.LET(
_xlpm.number_of_serves, S13,
_xlpm.avg_spend, S10,
_xlpm.avg_days_per_month,S8,
_xlpm.number_of_serves*_xlpm.avg_spend)</f>
        <v>321300000</v>
      </c>
      <c r="T14" s="67" t="n">
        <f aca="false">_xlfn.LET(
_xlpm.number_of_serves, T13,
_xlpm.avg_spend, T10,
_xlpm.avg_days_per_month,T8,
_xlpm.number_of_serves*_xlpm.avg_spend)</f>
        <v>397575000</v>
      </c>
      <c r="U14" s="67" t="n">
        <f aca="false">_xlfn.LET(
_xlpm.number_of_serves, U13,
_xlpm.avg_spend, U10,
_xlpm.avg_days_per_month,U8,
_xlpm.number_of_serves*_xlpm.avg_spend)</f>
        <v>465750000</v>
      </c>
      <c r="V14" s="67" t="n">
        <f aca="false">_xlfn.LET(
_xlpm.number_of_serves, V13,
_xlpm.avg_spend, V10,
_xlpm.avg_days_per_month,V8,
_xlpm.number_of_serves*_xlpm.avg_spend)</f>
        <v>439425000</v>
      </c>
      <c r="W14" s="67" t="n">
        <f aca="false">_xlfn.LET(
_xlpm.number_of_serves, W13,
_xlpm.avg_spend, W10,
_xlpm.avg_days_per_month,W8,
_xlpm.number_of_serves*_xlpm.avg_spend)</f>
        <v>486000000</v>
      </c>
      <c r="X14" s="67" t="n">
        <f aca="false">_xlfn.LET(
_xlpm.number_of_serves, X13,
_xlpm.avg_spend, X10,
_xlpm.avg_days_per_month,X8,
_xlpm.number_of_serves*_xlpm.avg_spend)</f>
        <v>481275000</v>
      </c>
      <c r="Y14" s="67" t="n">
        <f aca="false">_xlfn.LET(
_xlpm.number_of_serves, Y13,
_xlpm.avg_spend, Y10,
_xlpm.avg_days_per_month,Y8,
_xlpm.number_of_serves*_xlpm.avg_spend)</f>
        <v>418500000</v>
      </c>
      <c r="Z14" s="67" t="n">
        <f aca="false">_xlfn.LET(
_xlpm.number_of_serves, Z13,
_xlpm.avg_spend, Z10,
_xlpm.avg_days_per_month,Z8,
_xlpm.number_of_serves*_xlpm.avg_spend)</f>
        <v>384750000</v>
      </c>
      <c r="AA14" s="67" t="n">
        <f aca="false">_xlfn.LET(
_xlpm.number_of_serves, AA13,
_xlpm.avg_spend, AA10,
_xlpm.avg_days_per_month,AA8,
_xlpm.number_of_serves*_xlpm.avg_spend)</f>
        <v>397575000</v>
      </c>
      <c r="AB14" s="67" t="n">
        <f aca="false">_xlfn.LET(
_xlpm.number_of_serves, AB13,
_xlpm.avg_spend, AB10,
_xlpm.avg_days_per_month,AB8,
_xlpm.number_of_serves*_xlpm.avg_spend)</f>
        <v>425250000</v>
      </c>
      <c r="AC14" s="67" t="n">
        <f aca="false">_xlfn.LET(
_xlpm.number_of_serves, AC13,
_xlpm.avg_spend, AC10,
_xlpm.avg_days_per_month,AC8,
_xlpm.number_of_serves*_xlpm.avg_spend)</f>
        <v>502200000</v>
      </c>
      <c r="AD14" s="67" t="n">
        <f aca="false">_xlfn.LET(
_xlpm.number_of_serves, AD13,
_xlpm.avg_spend, AD10,
_xlpm.avg_days_per_month,AD8,
_xlpm.number_of_serves*_xlpm.avg_spend)</f>
        <v>502200000</v>
      </c>
      <c r="AE14" s="67" t="n">
        <f aca="false">_xlfn.LET(
_xlpm.number_of_serves, AE13,
_xlpm.avg_spend, AE10,
_xlpm.avg_days_per_month,AE8,
_xlpm.number_of_serves*_xlpm.avg_spend)</f>
        <v>321300000</v>
      </c>
      <c r="AF14" s="67" t="n">
        <f aca="false">_xlfn.LET(
_xlpm.number_of_serves, AF13,
_xlpm.avg_spend, AF10,
_xlpm.avg_days_per_month,AF8,
_xlpm.number_of_serves*_xlpm.avg_spend)</f>
        <v>397575000</v>
      </c>
      <c r="AG14" s="67" t="n">
        <f aca="false">_xlfn.LET(
_xlpm.number_of_serves, AG13,
_xlpm.avg_spend, AG10,
_xlpm.avg_days_per_month,AG8,
_xlpm.number_of_serves*_xlpm.avg_spend)</f>
        <v>465750000</v>
      </c>
      <c r="AH14" s="67" t="n">
        <f aca="false">_xlfn.LET(
_xlpm.number_of_serves, AH13,
_xlpm.avg_spend, AH10,
_xlpm.avg_days_per_month,AH8,
_xlpm.number_of_serves*_xlpm.avg_spend)</f>
        <v>439425000</v>
      </c>
      <c r="AI14" s="67" t="n">
        <f aca="false">_xlfn.LET(
_xlpm.number_of_serves, AI13,
_xlpm.avg_spend, AI10,
_xlpm.avg_days_per_month,AI8,
_xlpm.number_of_serves*_xlpm.avg_spend)</f>
        <v>486000000</v>
      </c>
      <c r="AJ14" s="67" t="n">
        <f aca="false">_xlfn.LET(
_xlpm.number_of_serves, AJ13,
_xlpm.avg_spend, AJ10,
_xlpm.avg_days_per_month,AJ8,
_xlpm.number_of_serves*_xlpm.avg_spend)</f>
        <v>481275000</v>
      </c>
      <c r="AK14" s="67" t="n">
        <f aca="false">_xlfn.LET(
_xlpm.number_of_serves, AK13,
_xlpm.avg_spend, AK10,
_xlpm.avg_days_per_month,AK8,
_xlpm.number_of_serves*_xlpm.avg_spend)</f>
        <v>418500000</v>
      </c>
      <c r="AL14" s="67" t="n">
        <f aca="false">_xlfn.LET(
_xlpm.number_of_serves, AL13,
_xlpm.avg_spend, AL10,
_xlpm.avg_days_per_month,AL8,
_xlpm.number_of_serves*_xlpm.avg_spend)</f>
        <v>384750000</v>
      </c>
      <c r="AM14" s="67" t="n">
        <f aca="false">_xlfn.LET(
_xlpm.number_of_serves, AM13,
_xlpm.avg_spend, AM10,
_xlpm.avg_days_per_month,AM8,
_xlpm.number_of_serves*_xlpm.avg_spend)</f>
        <v>397575000</v>
      </c>
      <c r="AN14" s="67" t="n">
        <f aca="false">_xlfn.LET(
_xlpm.number_of_serves, AN13,
_xlpm.avg_spend, AN10,
_xlpm.avg_days_per_month,AN8,
_xlpm.number_of_serves*_xlpm.avg_spend)</f>
        <v>425250000</v>
      </c>
      <c r="AO14" s="67" t="n">
        <f aca="false">_xlfn.LET(
_xlpm.number_of_serves, AO13,
_xlpm.avg_spend, AO10,
_xlpm.avg_days_per_month,AO8,
_xlpm.number_of_serves*_xlpm.avg_spend)</f>
        <v>502200000</v>
      </c>
      <c r="AP14" s="67" t="n">
        <f aca="false">_xlfn.LET(
_xlpm.number_of_serves, AP13,
_xlpm.avg_spend, AP10,
_xlpm.avg_days_per_month,AP8,
_xlpm.number_of_serves*_xlpm.avg_spend)</f>
        <v>502200000</v>
      </c>
      <c r="AQ14" s="67" t="n">
        <f aca="false">_xlfn.LET(
_xlpm.number_of_serves, AQ13,
_xlpm.avg_spend, AQ10,
_xlpm.avg_days_per_month,AQ8,
_xlpm.number_of_serves*_xlpm.avg_spend)</f>
        <v>321300000</v>
      </c>
      <c r="AR14" s="67" t="n">
        <f aca="false">_xlfn.LET(
_xlpm.number_of_serves, AR13,
_xlpm.avg_spend, AR10,
_xlpm.avg_days_per_month,AR8,
_xlpm.number_of_serves*_xlpm.avg_spend)</f>
        <v>397575000</v>
      </c>
      <c r="AS14" s="67" t="n">
        <f aca="false">_xlfn.LET(
_xlpm.number_of_serves, AS13,
_xlpm.avg_spend, AS10,
_xlpm.avg_days_per_month,AS8,
_xlpm.number_of_serves*_xlpm.avg_spend)</f>
        <v>465750000</v>
      </c>
      <c r="AT14" s="67" t="n">
        <f aca="false">_xlfn.LET(
_xlpm.number_of_serves, AT13,
_xlpm.avg_spend, AT10,
_xlpm.avg_days_per_month,AT8,
_xlpm.number_of_serves*_xlpm.avg_spend)</f>
        <v>439425000</v>
      </c>
      <c r="AU14" s="67" t="n">
        <f aca="false">_xlfn.LET(
_xlpm.number_of_serves, AU13,
_xlpm.avg_spend, AU10,
_xlpm.avg_days_per_month,AU8,
_xlpm.number_of_serves*_xlpm.avg_spend)</f>
        <v>486000000</v>
      </c>
      <c r="AV14" s="67" t="n">
        <f aca="false">_xlfn.LET(
_xlpm.number_of_serves, AV13,
_xlpm.avg_spend, AV10,
_xlpm.avg_days_per_month,AV8,
_xlpm.number_of_serves*_xlpm.avg_spend)</f>
        <v>481275000</v>
      </c>
      <c r="AW14" s="67" t="n">
        <f aca="false">_xlfn.LET(
_xlpm.number_of_serves, AW13,
_xlpm.avg_spend, AW10,
_xlpm.avg_days_per_month,AW8,
_xlpm.number_of_serves*_xlpm.avg_spend)</f>
        <v>418500000</v>
      </c>
      <c r="AX14" s="67" t="n">
        <f aca="false">_xlfn.LET(
_xlpm.number_of_serves, AX13,
_xlpm.avg_spend, AX10,
_xlpm.avg_days_per_month,AX8,
_xlpm.number_of_serves*_xlpm.avg_spend)</f>
        <v>384750000</v>
      </c>
      <c r="AY14" s="67" t="n">
        <f aca="false">_xlfn.LET(
_xlpm.number_of_serves, AY13,
_xlpm.avg_spend, AY10,
_xlpm.avg_days_per_month,AY8,
_xlpm.number_of_serves*_xlpm.avg_spend)</f>
        <v>397575000</v>
      </c>
      <c r="AZ14" s="67" t="n">
        <f aca="false">_xlfn.LET(
_xlpm.number_of_serves, AZ13,
_xlpm.avg_spend, AZ10,
_xlpm.avg_days_per_month,AZ8,
_xlpm.number_of_serves*_xlpm.avg_spend)</f>
        <v>425250000</v>
      </c>
      <c r="BA14" s="67" t="n">
        <f aca="false">_xlfn.LET(
_xlpm.number_of_serves, BA13,
_xlpm.avg_spend, BA10,
_xlpm.avg_days_per_month,BA8,
_xlpm.number_of_serves*_xlpm.avg_spend)</f>
        <v>502200000</v>
      </c>
      <c r="BB14" s="67" t="n">
        <f aca="false">_xlfn.LET(
_xlpm.number_of_serves, BB13,
_xlpm.avg_spend, BB10,
_xlpm.avg_days_per_month,BB8,
_xlpm.number_of_serves*_xlpm.avg_spend)</f>
        <v>502200000</v>
      </c>
      <c r="BC14" s="67" t="n">
        <f aca="false">_xlfn.LET(
_xlpm.number_of_serves, BC13,
_xlpm.avg_spend, BC10,
_xlpm.avg_days_per_month,BC8,
_xlpm.number_of_serves*_xlpm.avg_spend)</f>
        <v>332775000</v>
      </c>
      <c r="BD14" s="67" t="n">
        <f aca="false">_xlfn.LET(
_xlpm.number_of_serves, BD13,
_xlpm.avg_spend, BD10,
_xlpm.avg_days_per_month,BD8,
_xlpm.number_of_serves*_xlpm.avg_spend)</f>
        <v>397575000</v>
      </c>
      <c r="BE14" s="67" t="n">
        <f aca="false">_xlfn.LET(
_xlpm.number_of_serves, BE13,
_xlpm.avg_spend, BE10,
_xlpm.avg_days_per_month,BE8,
_xlpm.number_of_serves*_xlpm.avg_spend)</f>
        <v>465750000</v>
      </c>
      <c r="BF14" s="67" t="n">
        <f aca="false">_xlfn.LET(
_xlpm.number_of_serves, BF13,
_xlpm.avg_spend, BF10,
_xlpm.avg_days_per_month,BF8,
_xlpm.number_of_serves*_xlpm.avg_spend)</f>
        <v>439425000</v>
      </c>
      <c r="BG14" s="67" t="n">
        <f aca="false">_xlfn.LET(
_xlpm.number_of_serves, BG13,
_xlpm.avg_spend, BG10,
_xlpm.avg_days_per_month,BG8,
_xlpm.number_of_serves*_xlpm.avg_spend)</f>
        <v>486000000</v>
      </c>
      <c r="BH14" s="67" t="n">
        <f aca="false">_xlfn.LET(
_xlpm.number_of_serves, BH13,
_xlpm.avg_spend, BH10,
_xlpm.avg_days_per_month,BH8,
_xlpm.number_of_serves*_xlpm.avg_spend)</f>
        <v>481275000</v>
      </c>
      <c r="BI14" s="67" t="n">
        <f aca="false">_xlfn.LET(
_xlpm.number_of_serves, BI13,
_xlpm.avg_spend, BI10,
_xlpm.avg_days_per_month,BI8,
_xlpm.number_of_serves*_xlpm.avg_spend)</f>
        <v>418500000</v>
      </c>
      <c r="BJ14" s="67" t="n">
        <f aca="false">_xlfn.LET(
_xlpm.number_of_serves, BJ13,
_xlpm.avg_spend, BJ10,
_xlpm.avg_days_per_month,BJ8,
_xlpm.number_of_serves*_xlpm.avg_spend)</f>
        <v>384750000</v>
      </c>
    </row>
    <row r="15" customFormat="false" ht="13.5" hidden="false" customHeight="true" outlineLevel="0" collapsed="false">
      <c r="A15" s="38" t="s">
        <v>235</v>
      </c>
      <c r="B15" s="60" t="n">
        <f aca="false">SUM(C15:AL15)</f>
        <v>10037655000</v>
      </c>
      <c r="C15" s="60" t="n">
        <f aca="false">C14*C11</f>
        <v>0</v>
      </c>
      <c r="D15" s="60" t="n">
        <f aca="false">D14*D11</f>
        <v>0</v>
      </c>
      <c r="E15" s="60" t="n">
        <f aca="false">E14*E11</f>
        <v>100440000</v>
      </c>
      <c r="F15" s="60" t="n">
        <f aca="false">F14*F11</f>
        <v>100440000</v>
      </c>
      <c r="G15" s="60" t="n">
        <f aca="false">G14*G11</f>
        <v>110925000</v>
      </c>
      <c r="H15" s="60" t="n">
        <f aca="false">H14*H11</f>
        <v>132525000</v>
      </c>
      <c r="I15" s="60" t="n">
        <f aca="false">I14*I11</f>
        <v>232875000</v>
      </c>
      <c r="J15" s="60" t="n">
        <f aca="false">J14*J11</f>
        <v>219712500</v>
      </c>
      <c r="K15" s="60" t="n">
        <f aca="false">K14*K11</f>
        <v>259200000</v>
      </c>
      <c r="L15" s="60" t="n">
        <f aca="false">L14*L11</f>
        <v>288765000</v>
      </c>
      <c r="M15" s="60" t="n">
        <f aca="false">M14*M11</f>
        <v>251100000</v>
      </c>
      <c r="N15" s="60" t="n">
        <f aca="false">N14*N11</f>
        <v>243675000</v>
      </c>
      <c r="O15" s="60" t="n">
        <f aca="false">O14*O11</f>
        <v>251797500</v>
      </c>
      <c r="P15" s="60" t="n">
        <f aca="false">P14*P11</f>
        <v>283500000</v>
      </c>
      <c r="Q15" s="60" t="n">
        <f aca="false">Q14*Q11</f>
        <v>334800000</v>
      </c>
      <c r="R15" s="60" t="n">
        <f aca="false">R14*R11</f>
        <v>334800000</v>
      </c>
      <c r="S15" s="60" t="n">
        <f aca="false">S14*S11</f>
        <v>257040000</v>
      </c>
      <c r="T15" s="60" t="n">
        <f aca="false">T14*T11</f>
        <v>318060000</v>
      </c>
      <c r="U15" s="60" t="n">
        <f aca="false">U14*U11</f>
        <v>372600000</v>
      </c>
      <c r="V15" s="60" t="n">
        <f aca="false">V14*V11</f>
        <v>351540000</v>
      </c>
      <c r="W15" s="60" t="n">
        <f aca="false">W14*W11</f>
        <v>388800000</v>
      </c>
      <c r="X15" s="60" t="n">
        <f aca="false">X14*X11</f>
        <v>385020000</v>
      </c>
      <c r="Y15" s="60" t="n">
        <f aca="false">Y14*Y11</f>
        <v>334800000</v>
      </c>
      <c r="Z15" s="60" t="n">
        <f aca="false">Z14*Z11</f>
        <v>307800000</v>
      </c>
      <c r="AA15" s="60" t="n">
        <f aca="false">AA14*AA11</f>
        <v>318060000</v>
      </c>
      <c r="AB15" s="60" t="n">
        <f aca="false">AB14*AB11</f>
        <v>340200000</v>
      </c>
      <c r="AC15" s="60" t="n">
        <f aca="false">AC14*AC11</f>
        <v>401760000</v>
      </c>
      <c r="AD15" s="60" t="n">
        <f aca="false">AD14*AD11</f>
        <v>401760000</v>
      </c>
      <c r="AE15" s="60" t="n">
        <f aca="false">AE14*AE11</f>
        <v>257040000</v>
      </c>
      <c r="AF15" s="60" t="n">
        <f aca="false">AF14*AF11</f>
        <v>318060000</v>
      </c>
      <c r="AG15" s="60" t="n">
        <f aca="false">AG14*AG11</f>
        <v>372600000</v>
      </c>
      <c r="AH15" s="60" t="n">
        <f aca="false">AH14*AH11</f>
        <v>351540000</v>
      </c>
      <c r="AI15" s="60" t="n">
        <f aca="false">AI14*AI11</f>
        <v>388800000</v>
      </c>
      <c r="AJ15" s="60" t="n">
        <f aca="false">AJ14*AJ11</f>
        <v>385020000</v>
      </c>
      <c r="AK15" s="60" t="n">
        <f aca="false">AK14*AK11</f>
        <v>334800000</v>
      </c>
      <c r="AL15" s="60" t="n">
        <f aca="false">AL14*AL11</f>
        <v>307800000</v>
      </c>
      <c r="AM15" s="60" t="n">
        <f aca="false">AM14*AM11</f>
        <v>318060000</v>
      </c>
      <c r="AN15" s="60" t="n">
        <f aca="false">AN14*AN11</f>
        <v>340200000</v>
      </c>
      <c r="AO15" s="60" t="n">
        <f aca="false">AO14*AO11</f>
        <v>401760000</v>
      </c>
      <c r="AP15" s="60" t="n">
        <f aca="false">AP14*AP11</f>
        <v>401760000</v>
      </c>
      <c r="AQ15" s="60" t="n">
        <f aca="false">AQ14*AQ11</f>
        <v>257040000</v>
      </c>
      <c r="AR15" s="60" t="n">
        <f aca="false">AR14*AR11</f>
        <v>318060000</v>
      </c>
      <c r="AS15" s="60" t="n">
        <f aca="false">AS14*AS11</f>
        <v>372600000</v>
      </c>
      <c r="AT15" s="60" t="n">
        <f aca="false">AT14*AT11</f>
        <v>351540000</v>
      </c>
      <c r="AU15" s="60" t="n">
        <f aca="false">AU14*AU11</f>
        <v>388800000</v>
      </c>
      <c r="AV15" s="60" t="n">
        <f aca="false">AV14*AV11</f>
        <v>385020000</v>
      </c>
      <c r="AW15" s="60" t="n">
        <f aca="false">AW14*AW11</f>
        <v>334800000</v>
      </c>
      <c r="AX15" s="60" t="n">
        <f aca="false">AX14*AX11</f>
        <v>307800000</v>
      </c>
      <c r="AY15" s="60" t="n">
        <f aca="false">AY14*AY11</f>
        <v>318060000</v>
      </c>
      <c r="AZ15" s="60" t="n">
        <f aca="false">AZ14*AZ11</f>
        <v>340200000</v>
      </c>
      <c r="BA15" s="60" t="n">
        <f aca="false">BA14*BA11</f>
        <v>401760000</v>
      </c>
      <c r="BB15" s="60" t="n">
        <f aca="false">BB14*BB11</f>
        <v>401760000</v>
      </c>
      <c r="BC15" s="60" t="n">
        <f aca="false">BC14*BC11</f>
        <v>266220000</v>
      </c>
      <c r="BD15" s="60" t="n">
        <f aca="false">BD14*BD11</f>
        <v>318060000</v>
      </c>
      <c r="BE15" s="60" t="n">
        <f aca="false">BE14*BE11</f>
        <v>372600000</v>
      </c>
      <c r="BF15" s="60" t="n">
        <f aca="false">BF14*BF11</f>
        <v>351540000</v>
      </c>
      <c r="BG15" s="60" t="n">
        <f aca="false">BG14*BG11</f>
        <v>388800000</v>
      </c>
      <c r="BH15" s="60" t="n">
        <f aca="false">BH14*BH11</f>
        <v>385020000</v>
      </c>
      <c r="BI15" s="60" t="n">
        <f aca="false">BI14*BI11</f>
        <v>334800000</v>
      </c>
      <c r="BJ15" s="60" t="n">
        <f aca="false">BJ14*BJ11</f>
        <v>307800000</v>
      </c>
    </row>
    <row r="16" customFormat="false" ht="13.5" hidden="false" customHeight="true" outlineLevel="0" collapsed="false">
      <c r="A16" s="37" t="s">
        <v>236</v>
      </c>
      <c r="B16" s="68" t="n">
        <f aca="false">SUM(C16:AL16)</f>
        <v>2509413750</v>
      </c>
      <c r="C16" s="68" t="n">
        <f aca="false">C14-C15</f>
        <v>0</v>
      </c>
      <c r="D16" s="68" t="n">
        <f aca="false">D14-D15</f>
        <v>0</v>
      </c>
      <c r="E16" s="68" t="n">
        <f aca="false">E14-E15</f>
        <v>25110000</v>
      </c>
      <c r="F16" s="68" t="n">
        <f aca="false">F14-F15</f>
        <v>25110000</v>
      </c>
      <c r="G16" s="68" t="n">
        <f aca="false">G14-G15</f>
        <v>27731250</v>
      </c>
      <c r="H16" s="68" t="n">
        <f aca="false">H14-H15</f>
        <v>33131250</v>
      </c>
      <c r="I16" s="68" t="n">
        <f aca="false">I14-I15</f>
        <v>58218750</v>
      </c>
      <c r="J16" s="68" t="n">
        <f aca="false">J14-J15</f>
        <v>54928125</v>
      </c>
      <c r="K16" s="68" t="n">
        <f aca="false">K14-K15</f>
        <v>64800000</v>
      </c>
      <c r="L16" s="68" t="n">
        <f aca="false">L14-L15</f>
        <v>72191250</v>
      </c>
      <c r="M16" s="68" t="n">
        <f aca="false">M14-M15</f>
        <v>62775000</v>
      </c>
      <c r="N16" s="68" t="n">
        <f aca="false">N14-N15</f>
        <v>60918750</v>
      </c>
      <c r="O16" s="68" t="n">
        <f aca="false">O14-O15</f>
        <v>62949375</v>
      </c>
      <c r="P16" s="68" t="n">
        <f aca="false">P14-P15</f>
        <v>70875000</v>
      </c>
      <c r="Q16" s="68" t="n">
        <f aca="false">Q14-Q15</f>
        <v>83700000</v>
      </c>
      <c r="R16" s="68" t="n">
        <f aca="false">R14-R15</f>
        <v>83700000</v>
      </c>
      <c r="S16" s="68" t="n">
        <f aca="false">S14-S15</f>
        <v>64260000</v>
      </c>
      <c r="T16" s="68" t="n">
        <f aca="false">T14-T15</f>
        <v>79515000</v>
      </c>
      <c r="U16" s="68" t="n">
        <f aca="false">U14-U15</f>
        <v>93149999.9999999</v>
      </c>
      <c r="V16" s="68" t="n">
        <f aca="false">V14-V15</f>
        <v>87885000</v>
      </c>
      <c r="W16" s="68" t="n">
        <f aca="false">W14-W15</f>
        <v>97200000</v>
      </c>
      <c r="X16" s="68" t="n">
        <f aca="false">X14-X15</f>
        <v>96254999.9999999</v>
      </c>
      <c r="Y16" s="68" t="n">
        <f aca="false">Y14-Y15</f>
        <v>83700000</v>
      </c>
      <c r="Z16" s="68" t="n">
        <f aca="false">Z14-Z15</f>
        <v>76950000</v>
      </c>
      <c r="AA16" s="68" t="n">
        <f aca="false">AA14-AA15</f>
        <v>79515000</v>
      </c>
      <c r="AB16" s="68" t="n">
        <f aca="false">AB14-AB15</f>
        <v>85050000</v>
      </c>
      <c r="AC16" s="68" t="n">
        <f aca="false">AC14-AC15</f>
        <v>100440000</v>
      </c>
      <c r="AD16" s="68" t="n">
        <f aca="false">AD14-AD15</f>
        <v>100440000</v>
      </c>
      <c r="AE16" s="68" t="n">
        <f aca="false">AE14-AE15</f>
        <v>64260000</v>
      </c>
      <c r="AF16" s="68" t="n">
        <f aca="false">AF14-AF15</f>
        <v>79515000</v>
      </c>
      <c r="AG16" s="68" t="n">
        <f aca="false">AG14-AG15</f>
        <v>93149999.9999999</v>
      </c>
      <c r="AH16" s="68" t="n">
        <f aca="false">AH14-AH15</f>
        <v>87885000</v>
      </c>
      <c r="AI16" s="68" t="n">
        <f aca="false">AI14-AI15</f>
        <v>97200000</v>
      </c>
      <c r="AJ16" s="68" t="n">
        <f aca="false">AJ14-AJ15</f>
        <v>96254999.9999999</v>
      </c>
      <c r="AK16" s="68" t="n">
        <f aca="false">AK14-AK15</f>
        <v>83700000</v>
      </c>
      <c r="AL16" s="68" t="n">
        <f aca="false">AL14-AL15</f>
        <v>76950000</v>
      </c>
      <c r="AM16" s="68" t="n">
        <f aca="false">AM14-AM15</f>
        <v>79515000</v>
      </c>
      <c r="AN16" s="68" t="n">
        <f aca="false">AN14-AN15</f>
        <v>85050000</v>
      </c>
      <c r="AO16" s="68" t="n">
        <f aca="false">AO14-AO15</f>
        <v>100440000</v>
      </c>
      <c r="AP16" s="68" t="n">
        <f aca="false">AP14-AP15</f>
        <v>100440000</v>
      </c>
      <c r="AQ16" s="68" t="n">
        <f aca="false">AQ14-AQ15</f>
        <v>64260000</v>
      </c>
      <c r="AR16" s="68" t="n">
        <f aca="false">AR14-AR15</f>
        <v>79515000</v>
      </c>
      <c r="AS16" s="68" t="n">
        <f aca="false">AS14-AS15</f>
        <v>93149999.9999999</v>
      </c>
      <c r="AT16" s="68" t="n">
        <f aca="false">AT14-AT15</f>
        <v>87885000</v>
      </c>
      <c r="AU16" s="68" t="n">
        <f aca="false">AU14-AU15</f>
        <v>97200000</v>
      </c>
      <c r="AV16" s="68" t="n">
        <f aca="false">AV14-AV15</f>
        <v>96254999.9999999</v>
      </c>
      <c r="AW16" s="68" t="n">
        <f aca="false">AW14-AW15</f>
        <v>83700000</v>
      </c>
      <c r="AX16" s="68" t="n">
        <f aca="false">AX14-AX15</f>
        <v>76950000</v>
      </c>
      <c r="AY16" s="68" t="n">
        <f aca="false">AY14-AY15</f>
        <v>79515000</v>
      </c>
      <c r="AZ16" s="68" t="n">
        <f aca="false">AZ14-AZ15</f>
        <v>85050000</v>
      </c>
      <c r="BA16" s="68" t="n">
        <f aca="false">BA14-BA15</f>
        <v>100440000</v>
      </c>
      <c r="BB16" s="68" t="n">
        <f aca="false">BB14-BB15</f>
        <v>100440000</v>
      </c>
      <c r="BC16" s="68" t="n">
        <f aca="false">BC14-BC15</f>
        <v>66555000</v>
      </c>
      <c r="BD16" s="68" t="n">
        <f aca="false">BD14-BD15</f>
        <v>79515000</v>
      </c>
      <c r="BE16" s="68" t="n">
        <f aca="false">BE14-BE15</f>
        <v>93149999.9999999</v>
      </c>
      <c r="BF16" s="68" t="n">
        <f aca="false">BF14-BF15</f>
        <v>87885000</v>
      </c>
      <c r="BG16" s="68" t="n">
        <f aca="false">BG14-BG15</f>
        <v>97200000</v>
      </c>
      <c r="BH16" s="68" t="n">
        <f aca="false">BH14-BH15</f>
        <v>96254999.9999999</v>
      </c>
      <c r="BI16" s="68" t="n">
        <f aca="false">BI14-BI15</f>
        <v>83700000</v>
      </c>
      <c r="BJ16" s="68" t="n">
        <f aca="false">BJ14-BJ15</f>
        <v>76950000</v>
      </c>
    </row>
    <row r="17" customFormat="false" ht="13.5" hidden="false" customHeight="true" outlineLevel="0" collapsed="false">
      <c r="A17" s="38" t="s">
        <v>237</v>
      </c>
      <c r="B17" s="60" t="n">
        <f aca="false">SUM(C17:AL17)</f>
        <v>0</v>
      </c>
      <c r="C17" s="60" t="n">
        <f aca="false">C14*0.15*0</f>
        <v>0</v>
      </c>
      <c r="D17" s="60" t="n">
        <f aca="false">D14*0.15*0</f>
        <v>0</v>
      </c>
      <c r="E17" s="60" t="n">
        <f aca="false">E14*0.15*0</f>
        <v>0</v>
      </c>
      <c r="F17" s="60" t="n">
        <f aca="false">F14*0.15*0</f>
        <v>0</v>
      </c>
      <c r="G17" s="60" t="n">
        <f aca="false">G14*0.15*0</f>
        <v>0</v>
      </c>
      <c r="H17" s="60" t="n">
        <f aca="false">H14*0.15*0</f>
        <v>0</v>
      </c>
      <c r="I17" s="60" t="n">
        <f aca="false">I14*0.15*0</f>
        <v>0</v>
      </c>
      <c r="J17" s="60" t="n">
        <f aca="false">J14*0.15*0</f>
        <v>0</v>
      </c>
      <c r="K17" s="60" t="n">
        <f aca="false">K14*0.15*0</f>
        <v>0</v>
      </c>
      <c r="L17" s="60" t="n">
        <f aca="false">L14*0.15*0</f>
        <v>0</v>
      </c>
      <c r="M17" s="60" t="n">
        <f aca="false">M14*0.15*0</f>
        <v>0</v>
      </c>
      <c r="N17" s="60" t="n">
        <f aca="false">N14*0.15*0</f>
        <v>0</v>
      </c>
      <c r="O17" s="60" t="n">
        <f aca="false">O14*0.15*0</f>
        <v>0</v>
      </c>
      <c r="P17" s="60" t="n">
        <f aca="false">P14*0.15*0</f>
        <v>0</v>
      </c>
      <c r="Q17" s="60" t="n">
        <f aca="false">Q14*0.15*0</f>
        <v>0</v>
      </c>
      <c r="R17" s="60" t="n">
        <f aca="false">R14*0.15*0</f>
        <v>0</v>
      </c>
      <c r="S17" s="60" t="n">
        <f aca="false">S14*0.15*0</f>
        <v>0</v>
      </c>
      <c r="T17" s="60" t="n">
        <f aca="false">T14*0.15*0</f>
        <v>0</v>
      </c>
      <c r="U17" s="60" t="n">
        <f aca="false">U14*0.15*0</f>
        <v>0</v>
      </c>
      <c r="V17" s="60" t="n">
        <f aca="false">V14*0.15*0</f>
        <v>0</v>
      </c>
      <c r="W17" s="60" t="n">
        <f aca="false">W14*0.15*0</f>
        <v>0</v>
      </c>
      <c r="X17" s="60" t="n">
        <f aca="false">X14*0.15*0</f>
        <v>0</v>
      </c>
      <c r="Y17" s="60" t="n">
        <f aca="false">Y14*0.15*0</f>
        <v>0</v>
      </c>
      <c r="Z17" s="60" t="n">
        <f aca="false">Z14*0.15*0</f>
        <v>0</v>
      </c>
      <c r="AA17" s="60" t="n">
        <f aca="false">AA14*0.15*0</f>
        <v>0</v>
      </c>
      <c r="AB17" s="60" t="n">
        <f aca="false">AB14*0.15*0</f>
        <v>0</v>
      </c>
      <c r="AC17" s="60" t="n">
        <f aca="false">AC14*0.15*0</f>
        <v>0</v>
      </c>
      <c r="AD17" s="60" t="n">
        <f aca="false">AD14*0.15*0</f>
        <v>0</v>
      </c>
      <c r="AE17" s="60" t="n">
        <f aca="false">AE14*0.15*0</f>
        <v>0</v>
      </c>
      <c r="AF17" s="60" t="n">
        <f aca="false">AF14*0.15*0</f>
        <v>0</v>
      </c>
      <c r="AG17" s="60" t="n">
        <f aca="false">AG14*0.15*0</f>
        <v>0</v>
      </c>
      <c r="AH17" s="60" t="n">
        <f aca="false">AH14*0.15*0</f>
        <v>0</v>
      </c>
      <c r="AI17" s="60" t="n">
        <f aca="false">AI14*0.15*0</f>
        <v>0</v>
      </c>
      <c r="AJ17" s="60" t="n">
        <f aca="false">AJ14*0.15*0</f>
        <v>0</v>
      </c>
      <c r="AK17" s="60" t="n">
        <f aca="false">AK14*0.15*0</f>
        <v>0</v>
      </c>
      <c r="AL17" s="60" t="n">
        <f aca="false">AL14*0.15*0</f>
        <v>0</v>
      </c>
      <c r="AM17" s="60" t="n">
        <f aca="false">AM14*0.15*0</f>
        <v>0</v>
      </c>
      <c r="AN17" s="60" t="n">
        <f aca="false">AN14*0.15*0</f>
        <v>0</v>
      </c>
      <c r="AO17" s="60" t="n">
        <f aca="false">AO14*0.15*0</f>
        <v>0</v>
      </c>
      <c r="AP17" s="60" t="n">
        <f aca="false">AP14*0.15*0</f>
        <v>0</v>
      </c>
      <c r="AQ17" s="60" t="n">
        <f aca="false">AQ14*0.15*0</f>
        <v>0</v>
      </c>
      <c r="AR17" s="60" t="n">
        <f aca="false">AR14*0.15*0</f>
        <v>0</v>
      </c>
      <c r="AS17" s="60" t="n">
        <f aca="false">AS14*0.15*0</f>
        <v>0</v>
      </c>
      <c r="AT17" s="60" t="n">
        <f aca="false">AT14*0.15*0</f>
        <v>0</v>
      </c>
      <c r="AU17" s="60" t="n">
        <f aca="false">AU14*0.15*0</f>
        <v>0</v>
      </c>
      <c r="AV17" s="60" t="n">
        <f aca="false">AV14*0.15*0</f>
        <v>0</v>
      </c>
      <c r="AW17" s="60" t="n">
        <f aca="false">AW14*0.15*0</f>
        <v>0</v>
      </c>
      <c r="AX17" s="60" t="n">
        <f aca="false">AX14*0.15*0</f>
        <v>0</v>
      </c>
      <c r="AY17" s="60" t="n">
        <f aca="false">AY14*0.15*0</f>
        <v>0</v>
      </c>
      <c r="AZ17" s="60" t="n">
        <f aca="false">AZ14*0.15*0</f>
        <v>0</v>
      </c>
      <c r="BA17" s="60" t="n">
        <f aca="false">BA14*0.15*0</f>
        <v>0</v>
      </c>
      <c r="BB17" s="60" t="n">
        <f aca="false">BB14*0.15*0</f>
        <v>0</v>
      </c>
      <c r="BC17" s="60" t="n">
        <f aca="false">BC14*0.15*0</f>
        <v>0</v>
      </c>
      <c r="BD17" s="60" t="n">
        <f aca="false">BD14*0.15*0</f>
        <v>0</v>
      </c>
      <c r="BE17" s="60" t="n">
        <f aca="false">BE14*0.15*0</f>
        <v>0</v>
      </c>
      <c r="BF17" s="60" t="n">
        <f aca="false">BF14*0.15*0</f>
        <v>0</v>
      </c>
      <c r="BG17" s="60" t="n">
        <f aca="false">BG14*0.15*0</f>
        <v>0</v>
      </c>
      <c r="BH17" s="60" t="n">
        <f aca="false">BH14*0.15*0</f>
        <v>0</v>
      </c>
      <c r="BI17" s="60" t="n">
        <f aca="false">BI14*0.15*0</f>
        <v>0</v>
      </c>
      <c r="BJ17" s="60" t="n">
        <f aca="false">BJ14*0.15*0</f>
        <v>0</v>
      </c>
    </row>
    <row r="18" customFormat="false" ht="13.5" hidden="false" customHeight="true" outlineLevel="0" collapsed="false">
      <c r="A18" s="37" t="s">
        <v>238</v>
      </c>
      <c r="B18" s="68" t="n">
        <f aca="false">SUM(C18:AL18)</f>
        <v>0</v>
      </c>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c r="BD18" s="64"/>
      <c r="BE18" s="64"/>
      <c r="BF18" s="64"/>
      <c r="BG18" s="64"/>
      <c r="BH18" s="64"/>
      <c r="BI18" s="64"/>
      <c r="BJ18" s="64"/>
    </row>
    <row r="19" customFormat="false" ht="13.5" hidden="false" customHeight="true" outlineLevel="0" collapsed="false">
      <c r="A19" s="69" t="s">
        <v>239</v>
      </c>
      <c r="B19" s="70" t="n">
        <f aca="false">SUM(C19:AL19)</f>
        <v>12547068750</v>
      </c>
      <c r="C19" s="70" t="n">
        <f aca="false">C14-C17-C18</f>
        <v>0</v>
      </c>
      <c r="D19" s="70" t="n">
        <f aca="false">D14-D17-D18</f>
        <v>0</v>
      </c>
      <c r="E19" s="70" t="n">
        <f aca="false">E14-E17-E18</f>
        <v>125550000</v>
      </c>
      <c r="F19" s="70" t="n">
        <f aca="false">F14-F17-F18</f>
        <v>125550000</v>
      </c>
      <c r="G19" s="70" t="n">
        <f aca="false">G14-G17-G18</f>
        <v>138656250</v>
      </c>
      <c r="H19" s="70" t="n">
        <f aca="false">H14-H17-H18</f>
        <v>165656250</v>
      </c>
      <c r="I19" s="70" t="n">
        <f aca="false">I14-I17-I18</f>
        <v>291093750</v>
      </c>
      <c r="J19" s="70" t="n">
        <f aca="false">J14-J17-J18</f>
        <v>274640625</v>
      </c>
      <c r="K19" s="70" t="n">
        <f aca="false">K14-K17-K18</f>
        <v>324000000</v>
      </c>
      <c r="L19" s="70" t="n">
        <f aca="false">L14-L17-L18</f>
        <v>360956250</v>
      </c>
      <c r="M19" s="70" t="n">
        <f aca="false">M14-M17-M18</f>
        <v>313875000</v>
      </c>
      <c r="N19" s="70" t="n">
        <f aca="false">N14-N17-N18</f>
        <v>304593750</v>
      </c>
      <c r="O19" s="70" t="n">
        <f aca="false">O14-O17-O18</f>
        <v>314746875</v>
      </c>
      <c r="P19" s="70" t="n">
        <f aca="false">P14-P17-P18</f>
        <v>354375000</v>
      </c>
      <c r="Q19" s="70" t="n">
        <f aca="false">Q14-Q17-Q18</f>
        <v>418500000</v>
      </c>
      <c r="R19" s="70" t="n">
        <f aca="false">R14-R17-R18</f>
        <v>418500000</v>
      </c>
      <c r="S19" s="70" t="n">
        <f aca="false">S14-S17-S18</f>
        <v>321300000</v>
      </c>
      <c r="T19" s="70" t="n">
        <f aca="false">T14-T17-T18</f>
        <v>397575000</v>
      </c>
      <c r="U19" s="70" t="n">
        <f aca="false">U14-U17-U18</f>
        <v>465750000</v>
      </c>
      <c r="V19" s="70" t="n">
        <f aca="false">V14-V17-V18</f>
        <v>439425000</v>
      </c>
      <c r="W19" s="70" t="n">
        <f aca="false">W14-W17-W18</f>
        <v>486000000</v>
      </c>
      <c r="X19" s="70" t="n">
        <f aca="false">X14-X17-X18</f>
        <v>481275000</v>
      </c>
      <c r="Y19" s="70" t="n">
        <f aca="false">Y14-Y17-Y18</f>
        <v>418500000</v>
      </c>
      <c r="Z19" s="70" t="n">
        <f aca="false">Z14-Z17-Z18</f>
        <v>384750000</v>
      </c>
      <c r="AA19" s="70" t="n">
        <f aca="false">AA14-AA17-AA18</f>
        <v>397575000</v>
      </c>
      <c r="AB19" s="70" t="n">
        <f aca="false">AB14-AB17-AB18</f>
        <v>425250000</v>
      </c>
      <c r="AC19" s="70" t="n">
        <f aca="false">AC14-AC17-AC18</f>
        <v>502200000</v>
      </c>
      <c r="AD19" s="70" t="n">
        <f aca="false">AD14-AD17-AD18</f>
        <v>502200000</v>
      </c>
      <c r="AE19" s="70" t="n">
        <f aca="false">AE14-AE17-AE18</f>
        <v>321300000</v>
      </c>
      <c r="AF19" s="70" t="n">
        <f aca="false">AF14-AF17-AF18</f>
        <v>397575000</v>
      </c>
      <c r="AG19" s="70" t="n">
        <f aca="false">AG14-AG17-AG18</f>
        <v>465750000</v>
      </c>
      <c r="AH19" s="70" t="n">
        <f aca="false">AH14-AH17-AH18</f>
        <v>439425000</v>
      </c>
      <c r="AI19" s="70" t="n">
        <f aca="false">AI14-AI17-AI18</f>
        <v>486000000</v>
      </c>
      <c r="AJ19" s="70" t="n">
        <f aca="false">AJ14-AJ17-AJ18</f>
        <v>481275000</v>
      </c>
      <c r="AK19" s="70" t="n">
        <f aca="false">AK14-AK17-AK18</f>
        <v>418500000</v>
      </c>
      <c r="AL19" s="70" t="n">
        <f aca="false">AL14-AL17-AL18</f>
        <v>384750000</v>
      </c>
      <c r="AM19" s="70" t="n">
        <f aca="false">AM14-AM17-AM18</f>
        <v>397575000</v>
      </c>
      <c r="AN19" s="70" t="n">
        <f aca="false">AN14-AN17-AN18</f>
        <v>425250000</v>
      </c>
      <c r="AO19" s="70" t="n">
        <f aca="false">AO14-AO17-AO18</f>
        <v>502200000</v>
      </c>
      <c r="AP19" s="70" t="n">
        <f aca="false">AP14-AP17-AP18</f>
        <v>502200000</v>
      </c>
      <c r="AQ19" s="70" t="n">
        <f aca="false">AQ14-AQ17-AQ18</f>
        <v>321300000</v>
      </c>
      <c r="AR19" s="70" t="n">
        <f aca="false">AR14-AR17-AR18</f>
        <v>397575000</v>
      </c>
      <c r="AS19" s="70" t="n">
        <f aca="false">AS14-AS17-AS18</f>
        <v>465750000</v>
      </c>
      <c r="AT19" s="70" t="n">
        <f aca="false">AT14-AT17-AT18</f>
        <v>439425000</v>
      </c>
      <c r="AU19" s="70" t="n">
        <f aca="false">AU14-AU17-AU18</f>
        <v>486000000</v>
      </c>
      <c r="AV19" s="70" t="n">
        <f aca="false">AV14-AV17-AV18</f>
        <v>481275000</v>
      </c>
      <c r="AW19" s="70" t="n">
        <f aca="false">AW14-AW17-AW18</f>
        <v>418500000</v>
      </c>
      <c r="AX19" s="70" t="n">
        <f aca="false">AX14-AX17-AX18</f>
        <v>384750000</v>
      </c>
      <c r="AY19" s="70" t="n">
        <f aca="false">AY14-AY17-AY18</f>
        <v>397575000</v>
      </c>
      <c r="AZ19" s="70" t="n">
        <f aca="false">AZ14-AZ17-AZ18</f>
        <v>425250000</v>
      </c>
      <c r="BA19" s="70" t="n">
        <f aca="false">BA14-BA17-BA18</f>
        <v>502200000</v>
      </c>
      <c r="BB19" s="70" t="n">
        <f aca="false">BB14-BB17-BB18</f>
        <v>502200000</v>
      </c>
      <c r="BC19" s="70" t="n">
        <f aca="false">BC14-BC17-BC18</f>
        <v>332775000</v>
      </c>
      <c r="BD19" s="70" t="n">
        <f aca="false">BD14-BD17-BD18</f>
        <v>397575000</v>
      </c>
      <c r="BE19" s="70" t="n">
        <f aca="false">BE14-BE17-BE18</f>
        <v>465750000</v>
      </c>
      <c r="BF19" s="70" t="n">
        <f aca="false">BF14-BF17-BF18</f>
        <v>439425000</v>
      </c>
      <c r="BG19" s="70" t="n">
        <f aca="false">BG14-BG17-BG18</f>
        <v>486000000</v>
      </c>
      <c r="BH19" s="70" t="n">
        <f aca="false">BH14-BH17-BH18</f>
        <v>481275000</v>
      </c>
      <c r="BI19" s="70" t="n">
        <f aca="false">BI14-BI17-BI18</f>
        <v>418500000</v>
      </c>
      <c r="BJ19" s="70" t="n">
        <f aca="false">BJ14-BJ17-BJ18</f>
        <v>384750000</v>
      </c>
    </row>
    <row r="20" customFormat="false" ht="13.5" hidden="true" customHeight="true" outlineLevel="0" collapsed="false">
      <c r="A20" s="59" t="s">
        <v>240</v>
      </c>
      <c r="B20" s="59"/>
      <c r="C20" s="59"/>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row>
    <row r="21" customFormat="false" ht="13.5" hidden="true" customHeight="true" outlineLevel="0" collapsed="false">
      <c r="A21" s="66" t="s">
        <v>241</v>
      </c>
      <c r="B21" s="67" t="n">
        <f aca="false">SUMIF($C$3:$BJ$3,1,$C$19:$BJ$19)</f>
        <v>125550000</v>
      </c>
    </row>
    <row r="22" customFormat="false" ht="13.5" hidden="true" customHeight="true" outlineLevel="0" collapsed="false">
      <c r="A22" s="66" t="s">
        <v>242</v>
      </c>
      <c r="B22" s="67" t="n">
        <f aca="false">SUMIF($C$3:$BJ$3,2,$C$19:$BJ$19)</f>
        <v>3386643750</v>
      </c>
    </row>
    <row r="23" customFormat="false" ht="13.5" hidden="true" customHeight="true" outlineLevel="0" collapsed="false">
      <c r="A23" s="66" t="s">
        <v>243</v>
      </c>
      <c r="B23" s="67" t="n">
        <f aca="false">SUMIF($C$3:$BJ$3,3,$C$19:$BJ$19)</f>
        <v>5138100000</v>
      </c>
    </row>
    <row r="24" customFormat="false" ht="13.5" hidden="true" customHeight="true" outlineLevel="0" collapsed="false">
      <c r="A24" s="66" t="s">
        <v>244</v>
      </c>
      <c r="B24" s="67" t="n">
        <f aca="false">SUMIF($C$3:$BJ$3,4,$C$19:$BJ$19)</f>
        <v>5221800000</v>
      </c>
    </row>
    <row r="25" customFormat="false" ht="13.5" hidden="true" customHeight="true" outlineLevel="0" collapsed="false">
      <c r="A25" s="66" t="s">
        <v>245</v>
      </c>
      <c r="B25" s="67" t="n">
        <f aca="false">SUMIF($C$3:$BJ$3,5,$C$19:$BJ$19)</f>
        <v>5221800000</v>
      </c>
    </row>
    <row r="26" customFormat="false" ht="13.5" hidden="true" customHeight="true" outlineLevel="0" collapsed="false">
      <c r="A26" s="59" t="s">
        <v>246</v>
      </c>
      <c r="B26" s="59"/>
      <c r="C26" s="59"/>
      <c r="D26" s="59"/>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row>
    <row r="27" customFormat="false" ht="13.5" hidden="true" customHeight="true" outlineLevel="0" collapsed="false">
      <c r="A27" s="38" t="s">
        <v>247</v>
      </c>
      <c r="B27" s="60" t="n">
        <f aca="false">SUM(C27:AL27)</f>
        <v>0</v>
      </c>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row>
    <row r="28" s="71" customFormat="true" ht="13.5" hidden="false" customHeight="true" outlineLevel="0" collapsed="false">
      <c r="A28" s="69" t="s">
        <v>248</v>
      </c>
      <c r="B28" s="70" t="n">
        <f aca="false">SUM(C28:AL28)</f>
        <v>12547068750</v>
      </c>
      <c r="C28" s="70" t="n">
        <f aca="false">C19+C27</f>
        <v>0</v>
      </c>
      <c r="D28" s="70" t="n">
        <f aca="false">D19+D27</f>
        <v>0</v>
      </c>
      <c r="E28" s="70" t="n">
        <f aca="false">E19+E27</f>
        <v>125550000</v>
      </c>
      <c r="F28" s="70" t="n">
        <f aca="false">F19+F27</f>
        <v>125550000</v>
      </c>
      <c r="G28" s="70" t="n">
        <f aca="false">G19+G27</f>
        <v>138656250</v>
      </c>
      <c r="H28" s="70" t="n">
        <f aca="false">H19+H27</f>
        <v>165656250</v>
      </c>
      <c r="I28" s="70" t="n">
        <f aca="false">I19+I27</f>
        <v>291093750</v>
      </c>
      <c r="J28" s="70" t="n">
        <f aca="false">J19+J27</f>
        <v>274640625</v>
      </c>
      <c r="K28" s="70" t="n">
        <f aca="false">K19+K27</f>
        <v>324000000</v>
      </c>
      <c r="L28" s="70" t="n">
        <f aca="false">L19+L27</f>
        <v>360956250</v>
      </c>
      <c r="M28" s="70" t="n">
        <f aca="false">M19+M27</f>
        <v>313875000</v>
      </c>
      <c r="N28" s="70" t="n">
        <f aca="false">N19+N27</f>
        <v>304593750</v>
      </c>
      <c r="O28" s="70" t="n">
        <f aca="false">O19+O27</f>
        <v>314746875</v>
      </c>
      <c r="P28" s="70" t="n">
        <f aca="false">P19+P27</f>
        <v>354375000</v>
      </c>
      <c r="Q28" s="70" t="n">
        <f aca="false">Q19+Q27</f>
        <v>418500000</v>
      </c>
      <c r="R28" s="70" t="n">
        <f aca="false">R19+R27</f>
        <v>418500000</v>
      </c>
      <c r="S28" s="70" t="n">
        <f aca="false">S19+S27</f>
        <v>321300000</v>
      </c>
      <c r="T28" s="70" t="n">
        <f aca="false">T19+T27</f>
        <v>397575000</v>
      </c>
      <c r="U28" s="70" t="n">
        <f aca="false">U19+U27</f>
        <v>465750000</v>
      </c>
      <c r="V28" s="70" t="n">
        <f aca="false">V19+V27</f>
        <v>439425000</v>
      </c>
      <c r="W28" s="70" t="n">
        <f aca="false">W19+W27</f>
        <v>486000000</v>
      </c>
      <c r="X28" s="70" t="n">
        <f aca="false">X19+X27</f>
        <v>481275000</v>
      </c>
      <c r="Y28" s="70" t="n">
        <f aca="false">Y19+Y27</f>
        <v>418500000</v>
      </c>
      <c r="Z28" s="70" t="n">
        <f aca="false">Z19+Z27</f>
        <v>384750000</v>
      </c>
      <c r="AA28" s="70" t="n">
        <f aca="false">AA19+AA27</f>
        <v>397575000</v>
      </c>
      <c r="AB28" s="70" t="n">
        <f aca="false">AB19+AB27</f>
        <v>425250000</v>
      </c>
      <c r="AC28" s="70" t="n">
        <f aca="false">AC19+AC27</f>
        <v>502200000</v>
      </c>
      <c r="AD28" s="70" t="n">
        <f aca="false">AD19+AD27</f>
        <v>502200000</v>
      </c>
      <c r="AE28" s="70" t="n">
        <f aca="false">AE19+AE27</f>
        <v>321300000</v>
      </c>
      <c r="AF28" s="70" t="n">
        <f aca="false">AF19+AF27</f>
        <v>397575000</v>
      </c>
      <c r="AG28" s="70" t="n">
        <f aca="false">AG19+AG27</f>
        <v>465750000</v>
      </c>
      <c r="AH28" s="70" t="n">
        <f aca="false">AH19+AH27</f>
        <v>439425000</v>
      </c>
      <c r="AI28" s="70" t="n">
        <f aca="false">AI19+AI27</f>
        <v>486000000</v>
      </c>
      <c r="AJ28" s="70" t="n">
        <f aca="false">AJ19+AJ27</f>
        <v>481275000</v>
      </c>
      <c r="AK28" s="70" t="n">
        <f aca="false">AK19+AK27</f>
        <v>418500000</v>
      </c>
      <c r="AL28" s="70" t="n">
        <f aca="false">AL19+AL27</f>
        <v>384750000</v>
      </c>
    </row>
    <row r="32" customFormat="false" ht="13.8" hidden="false" customHeight="false" outlineLevel="0" collapsed="false">
      <c r="C32" s="72"/>
    </row>
    <row r="33" customFormat="false" ht="13.8" hidden="false" customHeight="false" outlineLevel="0" collapsed="false">
      <c r="C33" s="73"/>
    </row>
  </sheetData>
  <mergeCells count="5">
    <mergeCell ref="A1:AM1"/>
    <mergeCell ref="A6:BJ6"/>
    <mergeCell ref="A12:BJ12"/>
    <mergeCell ref="A20:BJ20"/>
    <mergeCell ref="A26:AM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CAF7D"/>
    <pageSetUpPr fitToPage="false"/>
  </sheetPr>
  <dimension ref="A1:BJ34"/>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pane xSplit="2" ySplit="3" topLeftCell="C7" activePane="bottomRight" state="frozen"/>
      <selection pane="topLeft" activeCell="A1" activeCellId="0" sqref="A1"/>
      <selection pane="topRight" activeCell="C1" activeCellId="0" sqref="C1"/>
      <selection pane="bottomLeft" activeCell="A7" activeCellId="0" sqref="A7"/>
      <selection pane="bottomRight" activeCell="E18" activeCellId="0" sqref="E18"/>
    </sheetView>
  </sheetViews>
  <sheetFormatPr defaultColWidth="8.71484375" defaultRowHeight="12.8" customHeight="false" zeroHeight="false" outlineLevelRow="0" outlineLevelCol="0"/>
  <cols>
    <col collapsed="false" customWidth="true" hidden="false" outlineLevel="0" max="1" min="1" style="4" width="48.59"/>
    <col collapsed="false" customWidth="true" hidden="false" outlineLevel="0" max="2" min="2" style="4" width="37.8"/>
    <col collapsed="false" customWidth="true" hidden="false" outlineLevel="0" max="7" min="3" style="4" width="12.2"/>
    <col collapsed="false" customWidth="true" hidden="false" outlineLevel="0" max="12" min="8" style="4" width="13.15"/>
    <col collapsed="false" customWidth="true" hidden="false" outlineLevel="0" max="18" min="13" style="4" width="12.2"/>
    <col collapsed="false" customWidth="true" hidden="false" outlineLevel="0" max="24" min="19" style="4" width="13.15"/>
    <col collapsed="false" customWidth="true" hidden="false" outlineLevel="0" max="25" min="25" style="4" width="13.3"/>
    <col collapsed="false" customWidth="true" hidden="false" outlineLevel="0" max="38" min="26" style="4" width="13.15"/>
    <col collapsed="false" customWidth="true" hidden="false" outlineLevel="0" max="53" min="39" style="4" width="12.68"/>
    <col collapsed="false" customWidth="true" hidden="false" outlineLevel="0" max="62" min="54" style="4" width="13.3"/>
  </cols>
  <sheetData>
    <row r="1" s="71" customFormat="true" ht="30" hidden="false" customHeight="true" outlineLevel="0" collapsed="false">
      <c r="A1" s="54" t="s">
        <v>249</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row>
    <row r="2" s="71" customFormat="true" ht="15.75" hidden="true" customHeight="true" outlineLevel="0" collapsed="false">
      <c r="A2" s="74"/>
      <c r="B2" s="75" t="s">
        <v>250</v>
      </c>
      <c r="C2" s="76" t="s">
        <v>251</v>
      </c>
      <c r="D2" s="76"/>
      <c r="E2" s="76"/>
      <c r="F2" s="76"/>
      <c r="G2" s="76"/>
      <c r="H2" s="76"/>
      <c r="I2" s="76"/>
      <c r="J2" s="76"/>
      <c r="K2" s="76"/>
      <c r="L2" s="76"/>
      <c r="M2" s="76"/>
      <c r="N2" s="76"/>
      <c r="O2" s="76" t="s">
        <v>252</v>
      </c>
      <c r="P2" s="76"/>
      <c r="Q2" s="76"/>
      <c r="R2" s="76"/>
      <c r="S2" s="76"/>
      <c r="T2" s="76"/>
      <c r="U2" s="76"/>
      <c r="V2" s="76"/>
      <c r="W2" s="76"/>
      <c r="X2" s="76"/>
      <c r="Y2" s="76"/>
      <c r="Z2" s="76"/>
      <c r="AA2" s="76" t="s">
        <v>253</v>
      </c>
      <c r="AB2" s="76"/>
      <c r="AC2" s="76"/>
      <c r="AD2" s="76"/>
      <c r="AE2" s="76"/>
      <c r="AF2" s="76"/>
      <c r="AG2" s="76"/>
      <c r="AH2" s="76"/>
      <c r="AI2" s="76"/>
      <c r="AJ2" s="76"/>
      <c r="AK2" s="76"/>
      <c r="AL2" s="76"/>
    </row>
    <row r="3" s="71" customFormat="true" ht="21.75" hidden="false" customHeight="true" outlineLevel="0" collapsed="false">
      <c r="A3" s="77" t="s">
        <v>224</v>
      </c>
      <c r="B3" s="78" t="s">
        <v>254</v>
      </c>
      <c r="C3" s="79" t="n">
        <f aca="false">'⚙️ Assumptions'!B6</f>
        <v>46661</v>
      </c>
      <c r="D3" s="79" t="n">
        <f aca="false">EDATE($C$3,'💰 Revenue'!D2)</f>
        <v>46692</v>
      </c>
      <c r="E3" s="79" t="n">
        <f aca="false">EDATE($C$3,'💰 Revenue'!E2)</f>
        <v>46722</v>
      </c>
      <c r="F3" s="79" t="n">
        <f aca="false">EDATE($C$3,'💰 Revenue'!F2)</f>
        <v>46753</v>
      </c>
      <c r="G3" s="79" t="n">
        <f aca="false">EDATE($C$3,'💰 Revenue'!G2)</f>
        <v>46784</v>
      </c>
      <c r="H3" s="79" t="n">
        <f aca="false">EDATE($C$3,'💰 Revenue'!H2)</f>
        <v>46813</v>
      </c>
      <c r="I3" s="79" t="n">
        <f aca="false">EDATE($C$3,'💰 Revenue'!I2)</f>
        <v>46844</v>
      </c>
      <c r="J3" s="79" t="n">
        <f aca="false">EDATE($C$3,'💰 Revenue'!J2)</f>
        <v>46874</v>
      </c>
      <c r="K3" s="79" t="n">
        <f aca="false">EDATE($C$3,'💰 Revenue'!K2)</f>
        <v>46905</v>
      </c>
      <c r="L3" s="79" t="n">
        <f aca="false">EDATE($C$3,'💰 Revenue'!L2)</f>
        <v>46935</v>
      </c>
      <c r="M3" s="79" t="n">
        <f aca="false">EDATE($C$3,'💰 Revenue'!M2)</f>
        <v>46966</v>
      </c>
      <c r="N3" s="79" t="n">
        <f aca="false">EDATE($C$3,'💰 Revenue'!N2)</f>
        <v>46997</v>
      </c>
      <c r="O3" s="79" t="n">
        <f aca="false">EDATE($C$3,'💰 Revenue'!O2)</f>
        <v>47027</v>
      </c>
      <c r="P3" s="79" t="n">
        <f aca="false">EDATE($C$3,'💰 Revenue'!P2)</f>
        <v>47058</v>
      </c>
      <c r="Q3" s="79" t="n">
        <f aca="false">EDATE($C$3,'💰 Revenue'!Q2)</f>
        <v>47088</v>
      </c>
      <c r="R3" s="79" t="n">
        <f aca="false">EDATE($C$3,'💰 Revenue'!R2)</f>
        <v>47119</v>
      </c>
      <c r="S3" s="79" t="n">
        <f aca="false">EDATE($C$3,'💰 Revenue'!S2)</f>
        <v>47150</v>
      </c>
      <c r="T3" s="79" t="n">
        <f aca="false">EDATE($C$3,'💰 Revenue'!T2)</f>
        <v>47178</v>
      </c>
      <c r="U3" s="79" t="n">
        <f aca="false">EDATE($C$3,'💰 Revenue'!U2)</f>
        <v>47209</v>
      </c>
      <c r="V3" s="79" t="n">
        <f aca="false">EDATE($C$3,'💰 Revenue'!V2)</f>
        <v>47239</v>
      </c>
      <c r="W3" s="79" t="n">
        <f aca="false">EDATE($C$3,'💰 Revenue'!W2)</f>
        <v>47270</v>
      </c>
      <c r="X3" s="79" t="n">
        <f aca="false">EDATE($C$3,'💰 Revenue'!X2)</f>
        <v>47300</v>
      </c>
      <c r="Y3" s="79" t="n">
        <f aca="false">EDATE($C$3,'💰 Revenue'!Y2)</f>
        <v>47331</v>
      </c>
      <c r="Z3" s="79" t="n">
        <f aca="false">EDATE($C$3,'💰 Revenue'!Z2)</f>
        <v>47362</v>
      </c>
      <c r="AA3" s="79" t="n">
        <f aca="false">EDATE($C$3,'💰 Revenue'!AA2)</f>
        <v>47392</v>
      </c>
      <c r="AB3" s="79" t="n">
        <f aca="false">EDATE($C$3,'💰 Revenue'!AB2)</f>
        <v>47423</v>
      </c>
      <c r="AC3" s="79" t="n">
        <f aca="false">EDATE($C$3,'💰 Revenue'!AC2)</f>
        <v>47453</v>
      </c>
      <c r="AD3" s="79" t="n">
        <f aca="false">EDATE($C$3,'💰 Revenue'!AD2)</f>
        <v>47484</v>
      </c>
      <c r="AE3" s="79" t="n">
        <f aca="false">EDATE($C$3,'💰 Revenue'!AE2)</f>
        <v>47515</v>
      </c>
      <c r="AF3" s="79" t="n">
        <f aca="false">EDATE($C$3,'💰 Revenue'!AF2)</f>
        <v>47543</v>
      </c>
      <c r="AG3" s="79" t="n">
        <f aca="false">EDATE($C$3,'💰 Revenue'!AG2)</f>
        <v>47574</v>
      </c>
      <c r="AH3" s="79" t="n">
        <f aca="false">EDATE($C$3,'💰 Revenue'!AH2)</f>
        <v>47604</v>
      </c>
      <c r="AI3" s="79" t="n">
        <f aca="false">EDATE($C$3,'💰 Revenue'!AI2)</f>
        <v>47635</v>
      </c>
      <c r="AJ3" s="79" t="n">
        <f aca="false">EDATE($C$3,'💰 Revenue'!AJ2)</f>
        <v>47665</v>
      </c>
      <c r="AK3" s="79" t="n">
        <f aca="false">EDATE($C$3,'💰 Revenue'!AK2)</f>
        <v>47696</v>
      </c>
      <c r="AL3" s="79" t="n">
        <f aca="false">EDATE($C$3,'💰 Revenue'!AL2)</f>
        <v>47727</v>
      </c>
      <c r="AM3" s="79" t="n">
        <f aca="false">EDATE($C$3,'💰 Revenue'!AM2)</f>
        <v>47757</v>
      </c>
      <c r="AN3" s="79" t="n">
        <f aca="false">EDATE($C$3,'💰 Revenue'!AN2)</f>
        <v>47788</v>
      </c>
      <c r="AO3" s="79" t="n">
        <f aca="false">EDATE($C$3,'💰 Revenue'!AO2)</f>
        <v>47818</v>
      </c>
      <c r="AP3" s="79" t="n">
        <f aca="false">EDATE($C$3,'💰 Revenue'!AP2)</f>
        <v>47849</v>
      </c>
      <c r="AQ3" s="79" t="n">
        <f aca="false">EDATE($C$3,'💰 Revenue'!AQ2)</f>
        <v>47880</v>
      </c>
      <c r="AR3" s="79" t="n">
        <f aca="false">EDATE($C$3,'💰 Revenue'!AR2)</f>
        <v>47908</v>
      </c>
      <c r="AS3" s="79" t="n">
        <f aca="false">EDATE($C$3,'💰 Revenue'!AS2)</f>
        <v>47939</v>
      </c>
      <c r="AT3" s="79" t="n">
        <f aca="false">EDATE($C$3,'💰 Revenue'!AT2)</f>
        <v>47969</v>
      </c>
      <c r="AU3" s="79" t="n">
        <f aca="false">EDATE($C$3,'💰 Revenue'!AU2)</f>
        <v>48000</v>
      </c>
      <c r="AV3" s="79" t="n">
        <f aca="false">EDATE($C$3,'💰 Revenue'!AV2)</f>
        <v>48030</v>
      </c>
      <c r="AW3" s="79" t="n">
        <f aca="false">EDATE($C$3,'💰 Revenue'!AW2)</f>
        <v>48061</v>
      </c>
      <c r="AX3" s="79" t="n">
        <f aca="false">EDATE($C$3,'💰 Revenue'!AX2)</f>
        <v>48092</v>
      </c>
      <c r="AY3" s="79" t="n">
        <f aca="false">EDATE($C$3,'💰 Revenue'!AY2)</f>
        <v>48122</v>
      </c>
      <c r="AZ3" s="79" t="n">
        <f aca="false">EDATE($C$3,'💰 Revenue'!AZ2)</f>
        <v>48153</v>
      </c>
      <c r="BA3" s="79" t="n">
        <f aca="false">EDATE($C$3,'💰 Revenue'!BA2)</f>
        <v>48183</v>
      </c>
      <c r="BB3" s="79" t="n">
        <f aca="false">EDATE($C$3,'💰 Revenue'!BB2)</f>
        <v>48214</v>
      </c>
      <c r="BC3" s="79" t="n">
        <f aca="false">EDATE($C$3,'💰 Revenue'!BC2)</f>
        <v>48245</v>
      </c>
      <c r="BD3" s="79" t="n">
        <f aca="false">EDATE($C$3,'💰 Revenue'!BD2)</f>
        <v>48274</v>
      </c>
      <c r="BE3" s="79" t="n">
        <f aca="false">EDATE($C$3,'💰 Revenue'!BE2)</f>
        <v>48305</v>
      </c>
      <c r="BF3" s="79" t="n">
        <f aca="false">EDATE($C$3,'💰 Revenue'!BF2)</f>
        <v>48335</v>
      </c>
      <c r="BG3" s="79" t="n">
        <f aca="false">EDATE($C$3,'💰 Revenue'!BG2)</f>
        <v>48366</v>
      </c>
      <c r="BH3" s="79" t="n">
        <f aca="false">EDATE($C$3,'💰 Revenue'!BH2)</f>
        <v>48396</v>
      </c>
      <c r="BI3" s="79" t="n">
        <f aca="false">EDATE($C$3,'💰 Revenue'!BI2)</f>
        <v>48427</v>
      </c>
      <c r="BJ3" s="79" t="n">
        <f aca="false">EDATE($C$3,'💰 Revenue'!BJ2)</f>
        <v>48458</v>
      </c>
    </row>
    <row r="4" s="71" customFormat="true" ht="13.5" hidden="false" customHeight="true" outlineLevel="0" collapsed="false">
      <c r="A4" s="59" t="s">
        <v>255</v>
      </c>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row>
    <row r="5" customFormat="false" ht="13.5" hidden="false" customHeight="true" outlineLevel="0" collapsed="false">
      <c r="A5" s="38" t="s">
        <v>256</v>
      </c>
      <c r="B5" s="80" t="n">
        <f aca="false">AVERAGEA(C5:AL5)</f>
        <v>0.311666666666667</v>
      </c>
      <c r="C5" s="81" t="n">
        <f aca="true">_xlfn.IFNA(INDEX('⚙️ Assumptions'!$B$39:$F$39,MATCH(YEAR(C3),'⚙️ Assumptions'!$B$38:$F$38,0)),OFFSET(C5,,-1))</f>
        <v>0.35</v>
      </c>
      <c r="D5" s="81" t="n">
        <f aca="true">_xlfn.IFNA(INDEX('⚙️ Assumptions'!$B$39:$F$39,MATCH(YEAR(D3),'⚙️ Assumptions'!$B$38:$F$38,0)),OFFSET(D5,,-1))</f>
        <v>0.35</v>
      </c>
      <c r="E5" s="81" t="n">
        <f aca="true">_xlfn.IFNA(INDEX('⚙️ Assumptions'!$B$39:$F$39,MATCH(YEAR(E3),'⚙️ Assumptions'!$B$38:$F$38,0)),OFFSET(E5,,-1))</f>
        <v>0.35</v>
      </c>
      <c r="F5" s="81" t="n">
        <f aca="true">_xlfn.IFNA(INDEX('⚙️ Assumptions'!$B$39:$F$39,MATCH(YEAR(F3),'⚙️ Assumptions'!$B$38:$F$38,0)),OFFSET(F5,,-1))</f>
        <v>0.33</v>
      </c>
      <c r="G5" s="81" t="n">
        <f aca="true">_xlfn.IFNA(INDEX('⚙️ Assumptions'!$B$39:$F$39,MATCH(YEAR(G3),'⚙️ Assumptions'!$B$38:$F$38,0)),OFFSET(G5,,-1))</f>
        <v>0.33</v>
      </c>
      <c r="H5" s="81" t="n">
        <f aca="true">_xlfn.IFNA(INDEX('⚙️ Assumptions'!$B$39:$F$39,MATCH(YEAR(H3),'⚙️ Assumptions'!$B$38:$F$38,0)),OFFSET(H5,,-1))</f>
        <v>0.33</v>
      </c>
      <c r="I5" s="81" t="n">
        <f aca="true">_xlfn.IFNA(INDEX('⚙️ Assumptions'!$B$39:$F$39,MATCH(YEAR(I3),'⚙️ Assumptions'!$B$38:$F$38,0)),OFFSET(I5,,-1))</f>
        <v>0.33</v>
      </c>
      <c r="J5" s="81" t="n">
        <f aca="true">_xlfn.IFNA(INDEX('⚙️ Assumptions'!$B$39:$F$39,MATCH(YEAR(J3),'⚙️ Assumptions'!$B$38:$F$38,0)),OFFSET(J5,,-1))</f>
        <v>0.33</v>
      </c>
      <c r="K5" s="81" t="n">
        <f aca="true">_xlfn.IFNA(INDEX('⚙️ Assumptions'!$B$39:$F$39,MATCH(YEAR(K3),'⚙️ Assumptions'!$B$38:$F$38,0)),OFFSET(K5,,-1))</f>
        <v>0.33</v>
      </c>
      <c r="L5" s="81" t="n">
        <f aca="true">_xlfn.IFNA(INDEX('⚙️ Assumptions'!$B$39:$F$39,MATCH(YEAR(L3),'⚙️ Assumptions'!$B$38:$F$38,0)),OFFSET(L5,,-1))</f>
        <v>0.33</v>
      </c>
      <c r="M5" s="81" t="n">
        <f aca="true">_xlfn.IFNA(INDEX('⚙️ Assumptions'!$B$39:$F$39,MATCH(YEAR(M3),'⚙️ Assumptions'!$B$38:$F$38,0)),OFFSET(M5,,-1))</f>
        <v>0.33</v>
      </c>
      <c r="N5" s="81" t="n">
        <f aca="true">_xlfn.IFNA(INDEX('⚙️ Assumptions'!$B$39:$F$39,MATCH(YEAR(N3),'⚙️ Assumptions'!$B$38:$F$38,0)),OFFSET(N5,,-1))</f>
        <v>0.33</v>
      </c>
      <c r="O5" s="81" t="n">
        <f aca="true">_xlfn.IFNA(INDEX('⚙️ Assumptions'!$B$39:$F$39,MATCH(YEAR(O3),'⚙️ Assumptions'!$B$38:$F$38,0)),OFFSET(O5,,-1))</f>
        <v>0.33</v>
      </c>
      <c r="P5" s="81" t="n">
        <f aca="true">_xlfn.IFNA(INDEX('⚙️ Assumptions'!$B$39:$F$39,MATCH(YEAR(P3),'⚙️ Assumptions'!$B$38:$F$38,0)),OFFSET(P5,,-1))</f>
        <v>0.33</v>
      </c>
      <c r="Q5" s="81" t="n">
        <f aca="true">_xlfn.IFNA(INDEX('⚙️ Assumptions'!$B$39:$F$39,MATCH(YEAR(Q3),'⚙️ Assumptions'!$B$38:$F$38,0)),OFFSET(Q5,,-1))</f>
        <v>0.33</v>
      </c>
      <c r="R5" s="81" t="n">
        <f aca="true">_xlfn.IFNA(INDEX('⚙️ Assumptions'!$B$39:$F$39,MATCH(YEAR(R3),'⚙️ Assumptions'!$B$38:$F$38,0)),OFFSET(R5,,-1))</f>
        <v>0.3</v>
      </c>
      <c r="S5" s="81" t="n">
        <f aca="true">_xlfn.IFNA(INDEX('⚙️ Assumptions'!$B$39:$F$39,MATCH(YEAR(S3),'⚙️ Assumptions'!$B$38:$F$38,0)),OFFSET(S5,,-1))</f>
        <v>0.3</v>
      </c>
      <c r="T5" s="81" t="n">
        <f aca="true">_xlfn.IFNA(INDEX('⚙️ Assumptions'!$B$39:$F$39,MATCH(YEAR(T3),'⚙️ Assumptions'!$B$38:$F$38,0)),OFFSET(T5,,-1))</f>
        <v>0.3</v>
      </c>
      <c r="U5" s="81" t="n">
        <f aca="true">_xlfn.IFNA(INDEX('⚙️ Assumptions'!$B$39:$F$39,MATCH(YEAR(U3),'⚙️ Assumptions'!$B$38:$F$38,0)),OFFSET(U5,,-1))</f>
        <v>0.3</v>
      </c>
      <c r="V5" s="81" t="n">
        <f aca="true">_xlfn.IFNA(INDEX('⚙️ Assumptions'!$B$39:$F$39,MATCH(YEAR(V3),'⚙️ Assumptions'!$B$38:$F$38,0)),OFFSET(V5,,-1))</f>
        <v>0.3</v>
      </c>
      <c r="W5" s="81" t="n">
        <f aca="true">_xlfn.IFNA(INDEX('⚙️ Assumptions'!$B$39:$F$39,MATCH(YEAR(W3),'⚙️ Assumptions'!$B$38:$F$38,0)),OFFSET(W5,,-1))</f>
        <v>0.3</v>
      </c>
      <c r="X5" s="81" t="n">
        <f aca="true">_xlfn.IFNA(INDEX('⚙️ Assumptions'!$B$39:$F$39,MATCH(YEAR(X3),'⚙️ Assumptions'!$B$38:$F$38,0)),OFFSET(X5,,-1))</f>
        <v>0.3</v>
      </c>
      <c r="Y5" s="81" t="n">
        <f aca="true">_xlfn.IFNA(INDEX('⚙️ Assumptions'!$B$39:$F$39,MATCH(YEAR(Y3),'⚙️ Assumptions'!$B$38:$F$38,0)),OFFSET(Y5,,-1))</f>
        <v>0.3</v>
      </c>
      <c r="Z5" s="81" t="n">
        <f aca="true">_xlfn.IFNA(INDEX('⚙️ Assumptions'!$B$39:$F$39,MATCH(YEAR(Z3),'⚙️ Assumptions'!$B$38:$F$38,0)),OFFSET(Z5,,-1))</f>
        <v>0.3</v>
      </c>
      <c r="AA5" s="81" t="n">
        <f aca="true">_xlfn.IFNA(INDEX('⚙️ Assumptions'!$B$39:$F$39,MATCH(YEAR(AA3),'⚙️ Assumptions'!$B$38:$F$38,0)),OFFSET(AA5,,-1))</f>
        <v>0.3</v>
      </c>
      <c r="AB5" s="81" t="n">
        <f aca="true">_xlfn.IFNA(INDEX('⚙️ Assumptions'!$B$39:$F$39,MATCH(YEAR(AB3),'⚙️ Assumptions'!$B$38:$F$38,0)),OFFSET(AB5,,-1))</f>
        <v>0.3</v>
      </c>
      <c r="AC5" s="81" t="n">
        <f aca="true">_xlfn.IFNA(INDEX('⚙️ Assumptions'!$B$39:$F$39,MATCH(YEAR(AC3),'⚙️ Assumptions'!$B$38:$F$38,0)),OFFSET(AC5,,-1))</f>
        <v>0.3</v>
      </c>
      <c r="AD5" s="81" t="n">
        <f aca="true">_xlfn.IFNA(INDEX('⚙️ Assumptions'!$B$39:$F$39,MATCH(YEAR(AD3),'⚙️ Assumptions'!$B$38:$F$38,0)),OFFSET(AD5,,-1))</f>
        <v>0.29</v>
      </c>
      <c r="AE5" s="81" t="n">
        <f aca="true">_xlfn.IFNA(INDEX('⚙️ Assumptions'!$B$39:$F$39,MATCH(YEAR(AE3),'⚙️ Assumptions'!$B$38:$F$38,0)),OFFSET(AE5,,-1))</f>
        <v>0.29</v>
      </c>
      <c r="AF5" s="81" t="n">
        <f aca="true">_xlfn.IFNA(INDEX('⚙️ Assumptions'!$B$39:$F$39,MATCH(YEAR(AF3),'⚙️ Assumptions'!$B$38:$F$38,0)),OFFSET(AF5,,-1))</f>
        <v>0.29</v>
      </c>
      <c r="AG5" s="81" t="n">
        <f aca="true">_xlfn.IFNA(INDEX('⚙️ Assumptions'!$B$39:$F$39,MATCH(YEAR(AG3),'⚙️ Assumptions'!$B$38:$F$38,0)),OFFSET(AG5,,-1))</f>
        <v>0.29</v>
      </c>
      <c r="AH5" s="81" t="n">
        <f aca="true">_xlfn.IFNA(INDEX('⚙️ Assumptions'!$B$39:$F$39,MATCH(YEAR(AH3),'⚙️ Assumptions'!$B$38:$F$38,0)),OFFSET(AH5,,-1))</f>
        <v>0.29</v>
      </c>
      <c r="AI5" s="81" t="n">
        <f aca="true">_xlfn.IFNA(INDEX('⚙️ Assumptions'!$B$39:$F$39,MATCH(YEAR(AI3),'⚙️ Assumptions'!$B$38:$F$38,0)),OFFSET(AI5,,-1))</f>
        <v>0.29</v>
      </c>
      <c r="AJ5" s="81" t="n">
        <f aca="true">_xlfn.IFNA(INDEX('⚙️ Assumptions'!$B$39:$F$39,MATCH(YEAR(AJ3),'⚙️ Assumptions'!$B$38:$F$38,0)),OFFSET(AJ5,,-1))</f>
        <v>0.29</v>
      </c>
      <c r="AK5" s="81" t="n">
        <f aca="true">_xlfn.IFNA(INDEX('⚙️ Assumptions'!$B$39:$F$39,MATCH(YEAR(AK3),'⚙️ Assumptions'!$B$38:$F$38,0)),OFFSET(AK5,,-1))</f>
        <v>0.29</v>
      </c>
      <c r="AL5" s="81" t="n">
        <f aca="true">_xlfn.IFNA(INDEX('⚙️ Assumptions'!$B$39:$F$39,MATCH(YEAR(AL3),'⚙️ Assumptions'!$B$38:$F$38,0)),OFFSET(AL5,,-1))</f>
        <v>0.29</v>
      </c>
      <c r="AM5" s="81" t="n">
        <f aca="true">_xlfn.IFNA(INDEX('⚙️ Assumptions'!$B$39:$F$39,MATCH(YEAR(AM3),'⚙️ Assumptions'!$B$38:$F$38,0)),OFFSET(AM5,,-1))</f>
        <v>0.29</v>
      </c>
      <c r="AN5" s="81" t="n">
        <f aca="true">_xlfn.IFNA(INDEX('⚙️ Assumptions'!$B$39:$F$39,MATCH(YEAR(AN3),'⚙️ Assumptions'!$B$38:$F$38,0)),OFFSET(AN5,,-1))</f>
        <v>0.29</v>
      </c>
      <c r="AO5" s="81" t="n">
        <f aca="true">_xlfn.IFNA(INDEX('⚙️ Assumptions'!$B$39:$F$39,MATCH(YEAR(AO3),'⚙️ Assumptions'!$B$38:$F$38,0)),OFFSET(AO5,,-1))</f>
        <v>0.29</v>
      </c>
      <c r="AP5" s="81" t="n">
        <f aca="true">_xlfn.IFNA(INDEX('⚙️ Assumptions'!$B$39:$F$39,MATCH(YEAR(AP3),'⚙️ Assumptions'!$B$38:$F$38,0)),OFFSET(AP5,,-1))</f>
        <v>0.29</v>
      </c>
      <c r="AQ5" s="81" t="n">
        <f aca="true">_xlfn.IFNA(INDEX('⚙️ Assumptions'!$B$39:$F$39,MATCH(YEAR(AQ3),'⚙️ Assumptions'!$B$38:$F$38,0)),OFFSET(AQ5,,-1))</f>
        <v>0.29</v>
      </c>
      <c r="AR5" s="81" t="n">
        <f aca="true">_xlfn.IFNA(INDEX('⚙️ Assumptions'!$B$39:$F$39,MATCH(YEAR(AR3),'⚙️ Assumptions'!$B$38:$F$38,0)),OFFSET(AR5,,-1))</f>
        <v>0.29</v>
      </c>
      <c r="AS5" s="81" t="n">
        <f aca="true">_xlfn.IFNA(INDEX('⚙️ Assumptions'!$B$39:$F$39,MATCH(YEAR(AS3),'⚙️ Assumptions'!$B$38:$F$38,0)),OFFSET(AS5,,-1))</f>
        <v>0.29</v>
      </c>
      <c r="AT5" s="81" t="n">
        <f aca="true">_xlfn.IFNA(INDEX('⚙️ Assumptions'!$B$39:$F$39,MATCH(YEAR(AT3),'⚙️ Assumptions'!$B$38:$F$38,0)),OFFSET(AT5,,-1))</f>
        <v>0.29</v>
      </c>
      <c r="AU5" s="81" t="n">
        <f aca="true">_xlfn.IFNA(INDEX('⚙️ Assumptions'!$B$39:$F$39,MATCH(YEAR(AU3),'⚙️ Assumptions'!$B$38:$F$38,0)),OFFSET(AU5,,-1))</f>
        <v>0.29</v>
      </c>
      <c r="AV5" s="81" t="n">
        <f aca="true">_xlfn.IFNA(INDEX('⚙️ Assumptions'!$B$39:$F$39,MATCH(YEAR(AV3),'⚙️ Assumptions'!$B$38:$F$38,0)),OFFSET(AV5,,-1))</f>
        <v>0.29</v>
      </c>
      <c r="AW5" s="81" t="n">
        <f aca="true">_xlfn.IFNA(INDEX('⚙️ Assumptions'!$B$39:$F$39,MATCH(YEAR(AW3),'⚙️ Assumptions'!$B$38:$F$38,0)),OFFSET(AW5,,-1))</f>
        <v>0.29</v>
      </c>
      <c r="AX5" s="81" t="n">
        <f aca="true">_xlfn.IFNA(INDEX('⚙️ Assumptions'!$B$39:$F$39,MATCH(YEAR(AX3),'⚙️ Assumptions'!$B$38:$F$38,0)),OFFSET(AX5,,-1))</f>
        <v>0.29</v>
      </c>
      <c r="AY5" s="81" t="n">
        <f aca="true">_xlfn.IFNA(INDEX('⚙️ Assumptions'!$B$39:$F$39,MATCH(YEAR(AY3),'⚙️ Assumptions'!$B$38:$F$38,0)),OFFSET(AY5,,-1))</f>
        <v>0.29</v>
      </c>
      <c r="AZ5" s="81" t="n">
        <f aca="true">_xlfn.IFNA(INDEX('⚙️ Assumptions'!$B$39:$F$39,MATCH(YEAR(AZ3),'⚙️ Assumptions'!$B$38:$F$38,0)),OFFSET(AZ5,,-1))</f>
        <v>0.29</v>
      </c>
      <c r="BA5" s="81" t="n">
        <f aca="true">_xlfn.IFNA(INDEX('⚙️ Assumptions'!$B$39:$F$39,MATCH(YEAR(BA3),'⚙️ Assumptions'!$B$38:$F$38,0)),OFFSET(BA5,,-1))</f>
        <v>0.29</v>
      </c>
      <c r="BB5" s="81" t="n">
        <f aca="true">_xlfn.IFNA(INDEX('⚙️ Assumptions'!$B$39:$F$39,MATCH(YEAR(BB3),'⚙️ Assumptions'!$B$38:$F$38,0)),OFFSET(BB5,,-1))</f>
        <v>0.29</v>
      </c>
      <c r="BC5" s="81" t="n">
        <f aca="true">_xlfn.IFNA(INDEX('⚙️ Assumptions'!$B$39:$F$39,MATCH(YEAR(BC3),'⚙️ Assumptions'!$B$38:$F$38,0)),OFFSET(BC5,,-1))</f>
        <v>0.29</v>
      </c>
      <c r="BD5" s="81" t="n">
        <f aca="true">_xlfn.IFNA(INDEX('⚙️ Assumptions'!$B$39:$F$39,MATCH(YEAR(BD3),'⚙️ Assumptions'!$B$38:$F$38,0)),OFFSET(BD5,,-1))</f>
        <v>0.29</v>
      </c>
      <c r="BE5" s="81" t="n">
        <f aca="true">_xlfn.IFNA(INDEX('⚙️ Assumptions'!$B$39:$F$39,MATCH(YEAR(BE3),'⚙️ Assumptions'!$B$38:$F$38,0)),OFFSET(BE5,,-1))</f>
        <v>0.29</v>
      </c>
      <c r="BF5" s="81" t="n">
        <f aca="true">_xlfn.IFNA(INDEX('⚙️ Assumptions'!$B$39:$F$39,MATCH(YEAR(BF3),'⚙️ Assumptions'!$B$38:$F$38,0)),OFFSET(BF5,,-1))</f>
        <v>0.29</v>
      </c>
      <c r="BG5" s="81" t="n">
        <f aca="true">_xlfn.IFNA(INDEX('⚙️ Assumptions'!$B$39:$F$39,MATCH(YEAR(BG3),'⚙️ Assumptions'!$B$38:$F$38,0)),OFFSET(BG5,,-1))</f>
        <v>0.29</v>
      </c>
      <c r="BH5" s="81" t="n">
        <f aca="true">_xlfn.IFNA(INDEX('⚙️ Assumptions'!$B$39:$F$39,MATCH(YEAR(BH3),'⚙️ Assumptions'!$B$38:$F$38,0)),OFFSET(BH5,,-1))</f>
        <v>0.29</v>
      </c>
      <c r="BI5" s="81" t="n">
        <f aca="true">_xlfn.IFNA(INDEX('⚙️ Assumptions'!$B$39:$F$39,MATCH(YEAR(BI3),'⚙️ Assumptions'!$B$38:$F$38,0)),OFFSET(BI5,,-1))</f>
        <v>0.29</v>
      </c>
      <c r="BJ5" s="81" t="n">
        <f aca="true">_xlfn.IFNA(INDEX('⚙️ Assumptions'!$B$39:$F$39,MATCH(YEAR(BJ3),'⚙️ Assumptions'!$B$38:$F$38,0)),OFFSET(BJ5,,-1))</f>
        <v>0.29</v>
      </c>
    </row>
    <row r="6" customFormat="false" ht="13.5" hidden="false" customHeight="true" outlineLevel="0" collapsed="false">
      <c r="A6" s="37" t="s">
        <v>257</v>
      </c>
      <c r="B6" s="68" t="n">
        <f aca="false">SUM(C6:AL6)</f>
        <v>3066423750</v>
      </c>
      <c r="C6" s="68" t="n">
        <f aca="false">'💰 Revenue'!C15*C5</f>
        <v>0</v>
      </c>
      <c r="D6" s="68" t="n">
        <f aca="false">'💰 Revenue'!D15*D5</f>
        <v>0</v>
      </c>
      <c r="E6" s="68" t="n">
        <f aca="false">'💰 Revenue'!E15*E5</f>
        <v>35154000</v>
      </c>
      <c r="F6" s="68" t="n">
        <f aca="false">'💰 Revenue'!F15*F5</f>
        <v>33145200</v>
      </c>
      <c r="G6" s="68" t="n">
        <f aca="false">'💰 Revenue'!G15*G5</f>
        <v>36605250</v>
      </c>
      <c r="H6" s="68" t="n">
        <f aca="false">'💰 Revenue'!H15*H5</f>
        <v>43733250</v>
      </c>
      <c r="I6" s="68" t="n">
        <f aca="false">'💰 Revenue'!I15*I5</f>
        <v>76848750</v>
      </c>
      <c r="J6" s="68" t="n">
        <f aca="false">'💰 Revenue'!J15*J5</f>
        <v>72505125</v>
      </c>
      <c r="K6" s="68" t="n">
        <f aca="false">'💰 Revenue'!K15*K5</f>
        <v>85536000</v>
      </c>
      <c r="L6" s="68" t="n">
        <f aca="false">'💰 Revenue'!L15*L5</f>
        <v>95292450</v>
      </c>
      <c r="M6" s="68" t="n">
        <f aca="false">'💰 Revenue'!M15*M5</f>
        <v>82863000</v>
      </c>
      <c r="N6" s="68" t="n">
        <f aca="false">'💰 Revenue'!N15*N5</f>
        <v>80412750</v>
      </c>
      <c r="O6" s="68" t="n">
        <f aca="false">'💰 Revenue'!O15*O5</f>
        <v>83093175</v>
      </c>
      <c r="P6" s="68" t="n">
        <f aca="false">'💰 Revenue'!P15*P5</f>
        <v>93555000</v>
      </c>
      <c r="Q6" s="68" t="n">
        <f aca="false">'💰 Revenue'!Q15*Q5</f>
        <v>110484000</v>
      </c>
      <c r="R6" s="68" t="n">
        <f aca="false">'💰 Revenue'!R15*R5</f>
        <v>100440000</v>
      </c>
      <c r="S6" s="68" t="n">
        <f aca="false">'💰 Revenue'!S15*S5</f>
        <v>77112000</v>
      </c>
      <c r="T6" s="68" t="n">
        <f aca="false">'💰 Revenue'!T15*T5</f>
        <v>95418000</v>
      </c>
      <c r="U6" s="68" t="n">
        <f aca="false">'💰 Revenue'!U15*U5</f>
        <v>111780000</v>
      </c>
      <c r="V6" s="68" t="n">
        <f aca="false">'💰 Revenue'!V15*V5</f>
        <v>105462000</v>
      </c>
      <c r="W6" s="68" t="n">
        <f aca="false">'💰 Revenue'!W15*W5</f>
        <v>116640000</v>
      </c>
      <c r="X6" s="68" t="n">
        <f aca="false">'💰 Revenue'!X15*X5</f>
        <v>115506000</v>
      </c>
      <c r="Y6" s="68" t="n">
        <f aca="false">'💰 Revenue'!Y15*Y5</f>
        <v>100440000</v>
      </c>
      <c r="Z6" s="68" t="n">
        <f aca="false">'💰 Revenue'!Z15*Z5</f>
        <v>92340000</v>
      </c>
      <c r="AA6" s="68" t="n">
        <f aca="false">'💰 Revenue'!AA15*AA5</f>
        <v>95418000</v>
      </c>
      <c r="AB6" s="68" t="n">
        <f aca="false">'💰 Revenue'!AB15*AB5</f>
        <v>102060000</v>
      </c>
      <c r="AC6" s="68" t="n">
        <f aca="false">'💰 Revenue'!AC15*AC5</f>
        <v>120528000</v>
      </c>
      <c r="AD6" s="68" t="n">
        <f aca="false">'💰 Revenue'!AD15*AD5</f>
        <v>116510400</v>
      </c>
      <c r="AE6" s="68" t="n">
        <f aca="false">'💰 Revenue'!AE15*AE5</f>
        <v>74541600</v>
      </c>
      <c r="AF6" s="68" t="n">
        <f aca="false">'💰 Revenue'!AF15*AF5</f>
        <v>92237400</v>
      </c>
      <c r="AG6" s="68" t="n">
        <f aca="false">'💰 Revenue'!AG15*AG5</f>
        <v>108054000</v>
      </c>
      <c r="AH6" s="68" t="n">
        <f aca="false">'💰 Revenue'!AH15*AH5</f>
        <v>101946600</v>
      </c>
      <c r="AI6" s="68" t="n">
        <f aca="false">'💰 Revenue'!AI15*AI5</f>
        <v>112752000</v>
      </c>
      <c r="AJ6" s="68" t="n">
        <f aca="false">'💰 Revenue'!AJ15*AJ5</f>
        <v>111655800</v>
      </c>
      <c r="AK6" s="68" t="n">
        <f aca="false">'💰 Revenue'!AK15*AK5</f>
        <v>97092000</v>
      </c>
      <c r="AL6" s="68" t="n">
        <f aca="false">'💰 Revenue'!AL15*AL5</f>
        <v>89262000</v>
      </c>
      <c r="AM6" s="68" t="n">
        <f aca="false">'💰 Revenue'!AM15*AM5</f>
        <v>92237400</v>
      </c>
      <c r="AN6" s="68" t="n">
        <f aca="false">'💰 Revenue'!AN15*AN5</f>
        <v>98658000</v>
      </c>
      <c r="AO6" s="68" t="n">
        <f aca="false">'💰 Revenue'!AO15*AO5</f>
        <v>116510400</v>
      </c>
      <c r="AP6" s="68" t="n">
        <f aca="false">'💰 Revenue'!AP15*AP5</f>
        <v>116510400</v>
      </c>
      <c r="AQ6" s="68" t="n">
        <f aca="false">'💰 Revenue'!AQ15*AQ5</f>
        <v>74541600</v>
      </c>
      <c r="AR6" s="68" t="n">
        <f aca="false">'💰 Revenue'!AR15*AR5</f>
        <v>92237400</v>
      </c>
      <c r="AS6" s="68" t="n">
        <f aca="false">'💰 Revenue'!AS15*AS5</f>
        <v>108054000</v>
      </c>
      <c r="AT6" s="68" t="n">
        <f aca="false">'💰 Revenue'!AT15*AT5</f>
        <v>101946600</v>
      </c>
      <c r="AU6" s="68" t="n">
        <f aca="false">'💰 Revenue'!AU15*AU5</f>
        <v>112752000</v>
      </c>
      <c r="AV6" s="68" t="n">
        <f aca="false">'💰 Revenue'!AV15*AV5</f>
        <v>111655800</v>
      </c>
      <c r="AW6" s="68" t="n">
        <f aca="false">'💰 Revenue'!AW15*AW5</f>
        <v>97092000</v>
      </c>
      <c r="AX6" s="68" t="n">
        <f aca="false">'💰 Revenue'!AX15*AX5</f>
        <v>89262000</v>
      </c>
      <c r="AY6" s="68" t="n">
        <f aca="false">'💰 Revenue'!AY15*AY5</f>
        <v>92237400</v>
      </c>
      <c r="AZ6" s="68" t="n">
        <f aca="false">'💰 Revenue'!AZ15*AZ5</f>
        <v>98658000</v>
      </c>
      <c r="BA6" s="68" t="n">
        <f aca="false">'💰 Revenue'!BA15*BA5</f>
        <v>116510400</v>
      </c>
      <c r="BB6" s="68" t="n">
        <f aca="false">'💰 Revenue'!BB15*BB5</f>
        <v>116510400</v>
      </c>
      <c r="BC6" s="68" t="n">
        <f aca="false">'💰 Revenue'!BC15*BC5</f>
        <v>77203800</v>
      </c>
      <c r="BD6" s="68" t="n">
        <f aca="false">'💰 Revenue'!BD15*BD5</f>
        <v>92237400</v>
      </c>
      <c r="BE6" s="68" t="n">
        <f aca="false">'💰 Revenue'!BE15*BE5</f>
        <v>108054000</v>
      </c>
      <c r="BF6" s="68" t="n">
        <f aca="false">'💰 Revenue'!BF15*BF5</f>
        <v>101946600</v>
      </c>
      <c r="BG6" s="68" t="n">
        <f aca="false">'💰 Revenue'!BG15*BG5</f>
        <v>112752000</v>
      </c>
      <c r="BH6" s="68" t="n">
        <f aca="false">'💰 Revenue'!BH15*BH5</f>
        <v>111655800</v>
      </c>
      <c r="BI6" s="68" t="n">
        <f aca="false">'💰 Revenue'!BI15*BI5</f>
        <v>97092000</v>
      </c>
      <c r="BJ6" s="68" t="n">
        <f aca="false">'💰 Revenue'!BJ15*BJ5</f>
        <v>89262000</v>
      </c>
    </row>
    <row r="7" s="71" customFormat="true" ht="13.5" hidden="false" customHeight="true" outlineLevel="0" collapsed="false">
      <c r="A7" s="66" t="s">
        <v>258</v>
      </c>
      <c r="B7" s="67" t="n">
        <f aca="false">SUM(C7:AL7)</f>
        <v>3066423750</v>
      </c>
      <c r="C7" s="67" t="n">
        <f aca="false">C6</f>
        <v>0</v>
      </c>
      <c r="D7" s="67" t="n">
        <f aca="false">D6</f>
        <v>0</v>
      </c>
      <c r="E7" s="67" t="n">
        <f aca="false">E6</f>
        <v>35154000</v>
      </c>
      <c r="F7" s="67" t="n">
        <f aca="false">F6</f>
        <v>33145200</v>
      </c>
      <c r="G7" s="67" t="n">
        <f aca="false">G6</f>
        <v>36605250</v>
      </c>
      <c r="H7" s="67" t="n">
        <f aca="false">H6</f>
        <v>43733250</v>
      </c>
      <c r="I7" s="67" t="n">
        <f aca="false">I6</f>
        <v>76848750</v>
      </c>
      <c r="J7" s="67" t="n">
        <f aca="false">J6</f>
        <v>72505125</v>
      </c>
      <c r="K7" s="67" t="n">
        <f aca="false">K6</f>
        <v>85536000</v>
      </c>
      <c r="L7" s="67" t="n">
        <f aca="false">L6</f>
        <v>95292450</v>
      </c>
      <c r="M7" s="67" t="n">
        <f aca="false">M6</f>
        <v>82863000</v>
      </c>
      <c r="N7" s="67" t="n">
        <f aca="false">N6</f>
        <v>80412750</v>
      </c>
      <c r="O7" s="67" t="n">
        <f aca="false">O6</f>
        <v>83093175</v>
      </c>
      <c r="P7" s="67" t="n">
        <f aca="false">P6</f>
        <v>93555000</v>
      </c>
      <c r="Q7" s="67" t="n">
        <f aca="false">Q6</f>
        <v>110484000</v>
      </c>
      <c r="R7" s="67" t="n">
        <f aca="false">R6</f>
        <v>100440000</v>
      </c>
      <c r="S7" s="67" t="n">
        <f aca="false">S6</f>
        <v>77112000</v>
      </c>
      <c r="T7" s="67" t="n">
        <f aca="false">T6</f>
        <v>95418000</v>
      </c>
      <c r="U7" s="67" t="n">
        <f aca="false">U6</f>
        <v>111780000</v>
      </c>
      <c r="V7" s="67" t="n">
        <f aca="false">V6</f>
        <v>105462000</v>
      </c>
      <c r="W7" s="67" t="n">
        <f aca="false">W6</f>
        <v>116640000</v>
      </c>
      <c r="X7" s="67" t="n">
        <f aca="false">X6</f>
        <v>115506000</v>
      </c>
      <c r="Y7" s="67" t="n">
        <f aca="false">Y6</f>
        <v>100440000</v>
      </c>
      <c r="Z7" s="67" t="n">
        <f aca="false">Z6</f>
        <v>92340000</v>
      </c>
      <c r="AA7" s="67" t="n">
        <f aca="false">AA6</f>
        <v>95418000</v>
      </c>
      <c r="AB7" s="67" t="n">
        <f aca="false">AB6</f>
        <v>102060000</v>
      </c>
      <c r="AC7" s="67" t="n">
        <f aca="false">AC6</f>
        <v>120528000</v>
      </c>
      <c r="AD7" s="67" t="n">
        <f aca="false">AD6</f>
        <v>116510400</v>
      </c>
      <c r="AE7" s="67" t="n">
        <f aca="false">AE6</f>
        <v>74541600</v>
      </c>
      <c r="AF7" s="67" t="n">
        <f aca="false">AF6</f>
        <v>92237400</v>
      </c>
      <c r="AG7" s="67" t="n">
        <f aca="false">AG6</f>
        <v>108054000</v>
      </c>
      <c r="AH7" s="67" t="n">
        <f aca="false">AH6</f>
        <v>101946600</v>
      </c>
      <c r="AI7" s="67" t="n">
        <f aca="false">AI6</f>
        <v>112752000</v>
      </c>
      <c r="AJ7" s="67" t="n">
        <f aca="false">AJ6</f>
        <v>111655800</v>
      </c>
      <c r="AK7" s="67" t="n">
        <f aca="false">AK6</f>
        <v>97092000</v>
      </c>
      <c r="AL7" s="67" t="n">
        <f aca="false">AL6</f>
        <v>89262000</v>
      </c>
      <c r="AM7" s="67" t="n">
        <f aca="false">AM6</f>
        <v>92237400</v>
      </c>
      <c r="AN7" s="67" t="n">
        <f aca="false">AN6</f>
        <v>98658000</v>
      </c>
      <c r="AO7" s="67" t="n">
        <f aca="false">AO6</f>
        <v>116510400</v>
      </c>
      <c r="AP7" s="67" t="n">
        <f aca="false">AP6</f>
        <v>116510400</v>
      </c>
      <c r="AQ7" s="67" t="n">
        <f aca="false">AQ6</f>
        <v>74541600</v>
      </c>
      <c r="AR7" s="67" t="n">
        <f aca="false">AR6</f>
        <v>92237400</v>
      </c>
      <c r="AS7" s="67" t="n">
        <f aca="false">AS6</f>
        <v>108054000</v>
      </c>
      <c r="AT7" s="67" t="n">
        <f aca="false">AT6</f>
        <v>101946600</v>
      </c>
      <c r="AU7" s="67" t="n">
        <f aca="false">AU6</f>
        <v>112752000</v>
      </c>
      <c r="AV7" s="67" t="n">
        <f aca="false">AV6</f>
        <v>111655800</v>
      </c>
      <c r="AW7" s="67" t="n">
        <f aca="false">AW6</f>
        <v>97092000</v>
      </c>
      <c r="AX7" s="67" t="n">
        <f aca="false">AX6</f>
        <v>89262000</v>
      </c>
      <c r="AY7" s="67" t="n">
        <f aca="false">AY6</f>
        <v>92237400</v>
      </c>
      <c r="AZ7" s="67" t="n">
        <f aca="false">AZ6</f>
        <v>98658000</v>
      </c>
      <c r="BA7" s="67" t="n">
        <f aca="false">BA6</f>
        <v>116510400</v>
      </c>
      <c r="BB7" s="67" t="n">
        <f aca="false">BB6</f>
        <v>116510400</v>
      </c>
      <c r="BC7" s="67" t="n">
        <f aca="false">BC6</f>
        <v>77203800</v>
      </c>
      <c r="BD7" s="67" t="n">
        <f aca="false">BD6</f>
        <v>92237400</v>
      </c>
      <c r="BE7" s="67" t="n">
        <f aca="false">BE6</f>
        <v>108054000</v>
      </c>
      <c r="BF7" s="67" t="n">
        <f aca="false">BF6</f>
        <v>101946600</v>
      </c>
      <c r="BG7" s="67" t="n">
        <f aca="false">BG6</f>
        <v>112752000</v>
      </c>
      <c r="BH7" s="67" t="n">
        <f aca="false">BH6</f>
        <v>111655800</v>
      </c>
      <c r="BI7" s="67" t="n">
        <f aca="false">BI6</f>
        <v>97092000</v>
      </c>
      <c r="BJ7" s="67" t="n">
        <f aca="false">BJ6</f>
        <v>89262000</v>
      </c>
    </row>
    <row r="8" customFormat="false" ht="13.5" hidden="false" customHeight="true" outlineLevel="0" collapsed="false">
      <c r="A8" s="59" t="s">
        <v>259</v>
      </c>
      <c r="B8" s="59"/>
      <c r="C8" s="59"/>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71"/>
      <c r="AO8" s="71"/>
      <c r="AP8" s="71"/>
      <c r="AQ8" s="71"/>
      <c r="AR8" s="71"/>
      <c r="AS8" s="71"/>
      <c r="AT8" s="71"/>
      <c r="AU8" s="71"/>
      <c r="AV8" s="71"/>
      <c r="AW8" s="71"/>
      <c r="AX8" s="71"/>
      <c r="AY8" s="71"/>
      <c r="AZ8" s="71"/>
      <c r="BA8" s="71"/>
      <c r="BB8" s="71"/>
      <c r="BC8" s="71"/>
      <c r="BD8" s="71"/>
      <c r="BE8" s="71"/>
      <c r="BF8" s="71"/>
      <c r="BG8" s="71"/>
      <c r="BH8" s="71"/>
      <c r="BI8" s="71"/>
      <c r="BJ8" s="71"/>
    </row>
    <row r="9" customFormat="false" ht="13.5" hidden="false" customHeight="true" outlineLevel="0" collapsed="false">
      <c r="A9" s="37" t="s">
        <v>260</v>
      </c>
      <c r="B9" s="68" t="n">
        <f aca="false">SUM(C9:AL9)</f>
        <v>2070000000</v>
      </c>
      <c r="C9" s="64" t="n">
        <f aca="false">'⚙️ Assumptions'!$B$10</f>
        <v>57500000</v>
      </c>
      <c r="D9" s="64" t="n">
        <f aca="false">'⚙️ Assumptions'!$B$10</f>
        <v>57500000</v>
      </c>
      <c r="E9" s="64" t="n">
        <f aca="false">'⚙️ Assumptions'!$B$10</f>
        <v>57500000</v>
      </c>
      <c r="F9" s="64" t="n">
        <f aca="false">'⚙️ Assumptions'!$B$10</f>
        <v>57500000</v>
      </c>
      <c r="G9" s="64" t="n">
        <f aca="false">'⚙️ Assumptions'!$B$10</f>
        <v>57500000</v>
      </c>
      <c r="H9" s="64" t="n">
        <f aca="false">'⚙️ Assumptions'!$B$10</f>
        <v>57500000</v>
      </c>
      <c r="I9" s="64" t="n">
        <f aca="false">'⚙️ Assumptions'!$B$10</f>
        <v>57500000</v>
      </c>
      <c r="J9" s="64" t="n">
        <f aca="false">'⚙️ Assumptions'!$B$10</f>
        <v>57500000</v>
      </c>
      <c r="K9" s="64" t="n">
        <f aca="false">'⚙️ Assumptions'!$B$10</f>
        <v>57500000</v>
      </c>
      <c r="L9" s="64" t="n">
        <f aca="false">'⚙️ Assumptions'!$B$10</f>
        <v>57500000</v>
      </c>
      <c r="M9" s="64" t="n">
        <f aca="false">'⚙️ Assumptions'!$B$10</f>
        <v>57500000</v>
      </c>
      <c r="N9" s="64" t="n">
        <f aca="false">'⚙️ Assumptions'!$B$10</f>
        <v>57500000</v>
      </c>
      <c r="O9" s="64" t="n">
        <f aca="false">'⚙️ Assumptions'!$B$10</f>
        <v>57500000</v>
      </c>
      <c r="P9" s="64" t="n">
        <f aca="false">'⚙️ Assumptions'!$B$10</f>
        <v>57500000</v>
      </c>
      <c r="Q9" s="64" t="n">
        <f aca="false">'⚙️ Assumptions'!$B$10</f>
        <v>57500000</v>
      </c>
      <c r="R9" s="64" t="n">
        <f aca="false">'⚙️ Assumptions'!$B$10</f>
        <v>57500000</v>
      </c>
      <c r="S9" s="64" t="n">
        <f aca="false">'⚙️ Assumptions'!$B$10</f>
        <v>57500000</v>
      </c>
      <c r="T9" s="64" t="n">
        <f aca="false">'⚙️ Assumptions'!$B$10</f>
        <v>57500000</v>
      </c>
      <c r="U9" s="64" t="n">
        <f aca="false">'⚙️ Assumptions'!$B$10</f>
        <v>57500000</v>
      </c>
      <c r="V9" s="64" t="n">
        <f aca="false">'⚙️ Assumptions'!$B$10</f>
        <v>57500000</v>
      </c>
      <c r="W9" s="64" t="n">
        <f aca="false">'⚙️ Assumptions'!$B$10</f>
        <v>57500000</v>
      </c>
      <c r="X9" s="64" t="n">
        <f aca="false">'⚙️ Assumptions'!$B$10</f>
        <v>57500000</v>
      </c>
      <c r="Y9" s="64" t="n">
        <f aca="false">'⚙️ Assumptions'!$B$10</f>
        <v>57500000</v>
      </c>
      <c r="Z9" s="64" t="n">
        <f aca="false">'⚙️ Assumptions'!$B$10</f>
        <v>57500000</v>
      </c>
      <c r="AA9" s="64" t="n">
        <f aca="false">'⚙️ Assumptions'!$B$10</f>
        <v>57500000</v>
      </c>
      <c r="AB9" s="64" t="n">
        <f aca="false">'⚙️ Assumptions'!$B$10</f>
        <v>57500000</v>
      </c>
      <c r="AC9" s="64" t="n">
        <f aca="false">'⚙️ Assumptions'!$B$10</f>
        <v>57500000</v>
      </c>
      <c r="AD9" s="64" t="n">
        <f aca="false">'⚙️ Assumptions'!$B$10</f>
        <v>57500000</v>
      </c>
      <c r="AE9" s="64" t="n">
        <f aca="false">'⚙️ Assumptions'!$B$10</f>
        <v>57500000</v>
      </c>
      <c r="AF9" s="64" t="n">
        <f aca="false">'⚙️ Assumptions'!$B$10</f>
        <v>57500000</v>
      </c>
      <c r="AG9" s="64" t="n">
        <f aca="false">'⚙️ Assumptions'!$B$10</f>
        <v>57500000</v>
      </c>
      <c r="AH9" s="64" t="n">
        <f aca="false">'⚙️ Assumptions'!$B$10</f>
        <v>57500000</v>
      </c>
      <c r="AI9" s="64" t="n">
        <f aca="false">'⚙️ Assumptions'!$B$10</f>
        <v>57500000</v>
      </c>
      <c r="AJ9" s="64" t="n">
        <f aca="false">'⚙️ Assumptions'!$B$10</f>
        <v>57500000</v>
      </c>
      <c r="AK9" s="64" t="n">
        <f aca="false">'⚙️ Assumptions'!$B$10</f>
        <v>57500000</v>
      </c>
      <c r="AL9" s="64" t="n">
        <f aca="false">'⚙️ Assumptions'!$B$10</f>
        <v>57500000</v>
      </c>
      <c r="AM9" s="64" t="n">
        <f aca="false">'⚙️ Assumptions'!$B$10</f>
        <v>57500000</v>
      </c>
      <c r="AN9" s="64" t="n">
        <f aca="false">'⚙️ Assumptions'!$B$10</f>
        <v>57500000</v>
      </c>
      <c r="AO9" s="64" t="n">
        <f aca="false">'⚙️ Assumptions'!$B$10</f>
        <v>57500000</v>
      </c>
      <c r="AP9" s="64" t="n">
        <f aca="false">'⚙️ Assumptions'!$B$10</f>
        <v>57500000</v>
      </c>
      <c r="AQ9" s="64" t="n">
        <f aca="false">'⚙️ Assumptions'!$B$10</f>
        <v>57500000</v>
      </c>
      <c r="AR9" s="64" t="n">
        <f aca="false">'⚙️ Assumptions'!$B$10</f>
        <v>57500000</v>
      </c>
      <c r="AS9" s="64" t="n">
        <f aca="false">'⚙️ Assumptions'!$B$10</f>
        <v>57500000</v>
      </c>
      <c r="AT9" s="64" t="n">
        <f aca="false">'⚙️ Assumptions'!$B$10</f>
        <v>57500000</v>
      </c>
      <c r="AU9" s="64" t="n">
        <f aca="false">'⚙️ Assumptions'!$B$10</f>
        <v>57500000</v>
      </c>
      <c r="AV9" s="64" t="n">
        <f aca="false">'⚙️ Assumptions'!$B$10</f>
        <v>57500000</v>
      </c>
      <c r="AW9" s="64" t="n">
        <f aca="false">'⚙️ Assumptions'!$B$10</f>
        <v>57500000</v>
      </c>
      <c r="AX9" s="64" t="n">
        <f aca="false">'⚙️ Assumptions'!$B$10</f>
        <v>57500000</v>
      </c>
      <c r="AY9" s="64" t="n">
        <f aca="false">'⚙️ Assumptions'!$B$10</f>
        <v>57500000</v>
      </c>
      <c r="AZ9" s="64" t="n">
        <f aca="false">'⚙️ Assumptions'!$B$10</f>
        <v>57500000</v>
      </c>
      <c r="BA9" s="64" t="n">
        <f aca="false">'⚙️ Assumptions'!$B$10</f>
        <v>57500000</v>
      </c>
      <c r="BB9" s="64" t="n">
        <f aca="false">'⚙️ Assumptions'!$B$10</f>
        <v>57500000</v>
      </c>
      <c r="BC9" s="64" t="n">
        <f aca="false">'⚙️ Assumptions'!$B$10</f>
        <v>57500000</v>
      </c>
      <c r="BD9" s="64" t="n">
        <f aca="false">'⚙️ Assumptions'!$B$10</f>
        <v>57500000</v>
      </c>
      <c r="BE9" s="64" t="n">
        <f aca="false">'⚙️ Assumptions'!$B$10</f>
        <v>57500000</v>
      </c>
      <c r="BF9" s="64" t="n">
        <f aca="false">'⚙️ Assumptions'!$B$10</f>
        <v>57500000</v>
      </c>
      <c r="BG9" s="64" t="n">
        <f aca="false">'⚙️ Assumptions'!$B$10</f>
        <v>57500000</v>
      </c>
      <c r="BH9" s="64" t="n">
        <f aca="false">'⚙️ Assumptions'!$B$10</f>
        <v>57500000</v>
      </c>
      <c r="BI9" s="64" t="n">
        <f aca="false">'⚙️ Assumptions'!$B$10</f>
        <v>57500000</v>
      </c>
      <c r="BJ9" s="64" t="n">
        <f aca="false">'⚙️ Assumptions'!$B$10</f>
        <v>57500000</v>
      </c>
    </row>
    <row r="10" customFormat="false" ht="13.5" hidden="false" customHeight="true" outlineLevel="0" collapsed="false">
      <c r="A10" s="38" t="s">
        <v>261</v>
      </c>
      <c r="B10" s="60" t="n">
        <f aca="false">SUM(C10:AL10)</f>
        <v>789736218.75</v>
      </c>
      <c r="C10" s="64" t="n">
        <f aca="false">_xlfn.LET(
_xlpm.Electric, C11,
_xlpm.Water, C13,
_xlpm.Electric + _xlpm.Water)</f>
        <v>0</v>
      </c>
      <c r="D10" s="64" t="n">
        <f aca="false">_xlfn.LET(
_xlpm.Electric, D11,
_xlpm.Water, D13,
_xlpm.Electric + _xlpm.Water)</f>
        <v>0</v>
      </c>
      <c r="E10" s="61" t="n">
        <f aca="false">_xlfn.LET(
_xlpm.Electric, E11,
_xlpm.Water, E13,
_xlpm.Electric + _xlpm.Water)</f>
        <v>6403050</v>
      </c>
      <c r="F10" s="61" t="n">
        <f aca="false">_xlfn.LET(
_xlpm.Electric, F11,
_xlpm.Water, F13,
_xlpm.Electric + _xlpm.Water)</f>
        <v>6403050</v>
      </c>
      <c r="G10" s="61" t="n">
        <f aca="false">_xlfn.LET(
_xlpm.Electric, G11,
_xlpm.Water, G13,
_xlpm.Electric + _xlpm.Water)</f>
        <v>7626093.75</v>
      </c>
      <c r="H10" s="61" t="n">
        <f aca="false">_xlfn.LET(
_xlpm.Electric, H11,
_xlpm.Water, H13,
_xlpm.Electric + _xlpm.Water)</f>
        <v>9111093.75</v>
      </c>
      <c r="I10" s="61" t="n">
        <f aca="false">_xlfn.LET(
_xlpm.Electric, I11,
_xlpm.Water, I13,
_xlpm.Electric + _xlpm.Water)</f>
        <v>16010156.25</v>
      </c>
      <c r="J10" s="61" t="n">
        <f aca="false">_xlfn.LET(
_xlpm.Electric, J11,
_xlpm.Water, J13,
_xlpm.Electric + _xlpm.Water)</f>
        <v>15105234.375</v>
      </c>
      <c r="K10" s="61" t="n">
        <f aca="false">_xlfn.LET(
_xlpm.Electric, K11,
_xlpm.Water, K13,
_xlpm.Electric + _xlpm.Water)</f>
        <v>24300000</v>
      </c>
      <c r="L10" s="61" t="n">
        <f aca="false">_xlfn.LET(
_xlpm.Electric, L11,
_xlpm.Water, L13,
_xlpm.Electric + _xlpm.Water)</f>
        <v>27071718.75</v>
      </c>
      <c r="M10" s="61" t="n">
        <f aca="false">_xlfn.LET(
_xlpm.Electric, M11,
_xlpm.Water, M13,
_xlpm.Electric + _xlpm.Water)</f>
        <v>23540625</v>
      </c>
      <c r="N10" s="61" t="n">
        <f aca="false">_xlfn.LET(
_xlpm.Electric, N11,
_xlpm.Water, N13,
_xlpm.Electric + _xlpm.Water)</f>
        <v>22844531.25</v>
      </c>
      <c r="O10" s="61" t="n">
        <f aca="false">_xlfn.LET(
_xlpm.Electric, O11,
_xlpm.Water, O13,
_xlpm.Electric + _xlpm.Water)</f>
        <v>23606015.625</v>
      </c>
      <c r="P10" s="61" t="n">
        <f aca="false">_xlfn.LET(
_xlpm.Electric, P11,
_xlpm.Water, P13,
_xlpm.Electric + _xlpm.Water)</f>
        <v>18073125</v>
      </c>
      <c r="Q10" s="61" t="n">
        <f aca="false">_xlfn.LET(
_xlpm.Electric, Q11,
_xlpm.Water, Q13,
_xlpm.Electric + _xlpm.Water)</f>
        <v>21343500</v>
      </c>
      <c r="R10" s="61" t="n">
        <f aca="false">_xlfn.LET(
_xlpm.Electric, R11,
_xlpm.Water, R13,
_xlpm.Electric + _xlpm.Water)</f>
        <v>21343500</v>
      </c>
      <c r="S10" s="61" t="n">
        <f aca="false">_xlfn.LET(
_xlpm.Electric, S11,
_xlpm.Water, S13,
_xlpm.Electric + _xlpm.Water)</f>
        <v>17671500</v>
      </c>
      <c r="T10" s="61" t="n">
        <f aca="false">_xlfn.LET(
_xlpm.Electric, T11,
_xlpm.Water, T13,
_xlpm.Electric + _xlpm.Water)</f>
        <v>21866625</v>
      </c>
      <c r="U10" s="61" t="n">
        <f aca="false">_xlfn.LET(
_xlpm.Electric, U11,
_xlpm.Water, U13,
_xlpm.Electric + _xlpm.Water)</f>
        <v>25616250</v>
      </c>
      <c r="V10" s="61" t="n">
        <f aca="false">_xlfn.LET(
_xlpm.Electric, V11,
_xlpm.Water, V13,
_xlpm.Electric + _xlpm.Water)</f>
        <v>24168375</v>
      </c>
      <c r="W10" s="61" t="n">
        <f aca="false">_xlfn.LET(
_xlpm.Electric, W11,
_xlpm.Water, W13,
_xlpm.Electric + _xlpm.Water)</f>
        <v>36450000</v>
      </c>
      <c r="X10" s="61" t="n">
        <f aca="false">_xlfn.LET(
_xlpm.Electric, X11,
_xlpm.Water, X13,
_xlpm.Electric + _xlpm.Water)</f>
        <v>36095625</v>
      </c>
      <c r="Y10" s="61" t="n">
        <f aca="false">_xlfn.LET(
_xlpm.Electric, Y11,
_xlpm.Water, Y13,
_xlpm.Electric + _xlpm.Water)</f>
        <v>31387500</v>
      </c>
      <c r="Z10" s="61" t="n">
        <f aca="false">_xlfn.LET(
_xlpm.Electric, Z11,
_xlpm.Water, Z13,
_xlpm.Electric + _xlpm.Water)</f>
        <v>28856250</v>
      </c>
      <c r="AA10" s="61" t="n">
        <f aca="false">_xlfn.LET(
_xlpm.Electric, AA11,
_xlpm.Water, AA13,
_xlpm.Electric + _xlpm.Water)</f>
        <v>29818125</v>
      </c>
      <c r="AB10" s="61" t="n">
        <f aca="false">_xlfn.LET(
_xlpm.Electric, AB11,
_xlpm.Water, AB13,
_xlpm.Electric + _xlpm.Water)</f>
        <v>21687750</v>
      </c>
      <c r="AC10" s="61" t="n">
        <f aca="false">_xlfn.LET(
_xlpm.Electric, AC11,
_xlpm.Water, AC13,
_xlpm.Electric + _xlpm.Water)</f>
        <v>25612200</v>
      </c>
      <c r="AD10" s="61" t="n">
        <f aca="false">_xlfn.LET(
_xlpm.Electric, AD11,
_xlpm.Water, AD13,
_xlpm.Electric + _xlpm.Water)</f>
        <v>25612200</v>
      </c>
      <c r="AE10" s="61" t="n">
        <f aca="false">_xlfn.LET(
_xlpm.Electric, AE11,
_xlpm.Water, AE13,
_xlpm.Electric + _xlpm.Water)</f>
        <v>17671500</v>
      </c>
      <c r="AF10" s="61" t="n">
        <f aca="false">_xlfn.LET(
_xlpm.Electric, AF11,
_xlpm.Water, AF13,
_xlpm.Electric + _xlpm.Water)</f>
        <v>21866625</v>
      </c>
      <c r="AG10" s="61" t="n">
        <f aca="false">_xlfn.LET(
_xlpm.Electric, AG11,
_xlpm.Water, AG13,
_xlpm.Electric + _xlpm.Water)</f>
        <v>25616250</v>
      </c>
      <c r="AH10" s="61" t="n">
        <f aca="false">_xlfn.LET(
_xlpm.Electric, AH11,
_xlpm.Water, AH13,
_xlpm.Electric + _xlpm.Water)</f>
        <v>24168375</v>
      </c>
      <c r="AI10" s="61" t="n">
        <f aca="false">_xlfn.LET(
_xlpm.Electric, AI11,
_xlpm.Water, AI13,
_xlpm.Electric + _xlpm.Water)</f>
        <v>36450000</v>
      </c>
      <c r="AJ10" s="61" t="n">
        <f aca="false">_xlfn.LET(
_xlpm.Electric, AJ11,
_xlpm.Water, AJ13,
_xlpm.Electric + _xlpm.Water)</f>
        <v>36095625</v>
      </c>
      <c r="AK10" s="61" t="n">
        <f aca="false">_xlfn.LET(
_xlpm.Electric, AK11,
_xlpm.Water, AK13,
_xlpm.Electric + _xlpm.Water)</f>
        <v>31387500</v>
      </c>
      <c r="AL10" s="61" t="n">
        <f aca="false">_xlfn.LET(
_xlpm.Electric, AL11,
_xlpm.Water, AL13,
_xlpm.Electric + _xlpm.Water)</f>
        <v>28856250</v>
      </c>
      <c r="AM10" s="61" t="n">
        <f aca="false">_xlfn.LET(
_xlpm.Electric, AM11,
_xlpm.Water, AM13,
_xlpm.Electric + _xlpm.Water)</f>
        <v>29818125</v>
      </c>
      <c r="AN10" s="61" t="n">
        <f aca="false">_xlfn.LET(
_xlpm.Electric, AN11,
_xlpm.Water, AN13,
_xlpm.Electric + _xlpm.Water)</f>
        <v>21687750</v>
      </c>
      <c r="AO10" s="61" t="n">
        <f aca="false">_xlfn.LET(
_xlpm.Electric, AO11,
_xlpm.Water, AO13,
_xlpm.Electric + _xlpm.Water)</f>
        <v>25612200</v>
      </c>
      <c r="AP10" s="61" t="n">
        <f aca="false">_xlfn.LET(
_xlpm.Electric, AP11,
_xlpm.Water, AP13,
_xlpm.Electric + _xlpm.Water)</f>
        <v>25612200</v>
      </c>
      <c r="AQ10" s="61" t="n">
        <f aca="false">_xlfn.LET(
_xlpm.Electric, AQ11,
_xlpm.Water, AQ13,
_xlpm.Electric + _xlpm.Water)</f>
        <v>17671500</v>
      </c>
      <c r="AR10" s="61" t="n">
        <f aca="false">_xlfn.LET(
_xlpm.Electric, AR11,
_xlpm.Water, AR13,
_xlpm.Electric + _xlpm.Water)</f>
        <v>21866625</v>
      </c>
      <c r="AS10" s="61" t="n">
        <f aca="false">_xlfn.LET(
_xlpm.Electric, AS11,
_xlpm.Water, AS13,
_xlpm.Electric + _xlpm.Water)</f>
        <v>25616250</v>
      </c>
      <c r="AT10" s="61" t="n">
        <f aca="false">_xlfn.LET(
_xlpm.Electric, AT11,
_xlpm.Water, AT13,
_xlpm.Electric + _xlpm.Water)</f>
        <v>24168375</v>
      </c>
      <c r="AU10" s="61" t="n">
        <f aca="false">_xlfn.LET(
_xlpm.Electric, AU11,
_xlpm.Water, AU13,
_xlpm.Electric + _xlpm.Water)</f>
        <v>36450000</v>
      </c>
      <c r="AV10" s="61" t="n">
        <f aca="false">_xlfn.LET(
_xlpm.Electric, AV11,
_xlpm.Water, AV13,
_xlpm.Electric + _xlpm.Water)</f>
        <v>36095625</v>
      </c>
      <c r="AW10" s="61" t="n">
        <f aca="false">_xlfn.LET(
_xlpm.Electric, AW11,
_xlpm.Water, AW13,
_xlpm.Electric + _xlpm.Water)</f>
        <v>31387500</v>
      </c>
      <c r="AX10" s="61" t="n">
        <f aca="false">_xlfn.LET(
_xlpm.Electric, AX11,
_xlpm.Water, AX13,
_xlpm.Electric + _xlpm.Water)</f>
        <v>28856250</v>
      </c>
      <c r="AY10" s="61" t="n">
        <f aca="false">_xlfn.LET(
_xlpm.Electric, AY11,
_xlpm.Water, AY13,
_xlpm.Electric + _xlpm.Water)</f>
        <v>29818125</v>
      </c>
      <c r="AZ10" s="61" t="n">
        <f aca="false">_xlfn.LET(
_xlpm.Electric, AZ11,
_xlpm.Water, AZ13,
_xlpm.Electric + _xlpm.Water)</f>
        <v>21687750</v>
      </c>
      <c r="BA10" s="61" t="n">
        <f aca="false">_xlfn.LET(
_xlpm.Electric, BA11,
_xlpm.Water, BA13,
_xlpm.Electric + _xlpm.Water)</f>
        <v>25612200</v>
      </c>
      <c r="BB10" s="61" t="n">
        <f aca="false">_xlfn.LET(
_xlpm.Electric, BB11,
_xlpm.Water, BB13,
_xlpm.Electric + _xlpm.Water)</f>
        <v>23804280</v>
      </c>
      <c r="BC10" s="61" t="n">
        <f aca="false">_xlfn.LET(
_xlpm.Electric, BC11,
_xlpm.Water, BC13,
_xlpm.Electric + _xlpm.Water)</f>
        <v>16971525</v>
      </c>
      <c r="BD10" s="61" t="n">
        <f aca="false">_xlfn.LET(
_xlpm.Electric, BD11,
_xlpm.Water, BD13,
_xlpm.Electric + _xlpm.Water)</f>
        <v>20276325</v>
      </c>
      <c r="BE10" s="61" t="n">
        <f aca="false">_xlfn.LET(
_xlpm.Electric, BE11,
_xlpm.Water, BE13,
_xlpm.Electric + _xlpm.Water)</f>
        <v>23753250</v>
      </c>
      <c r="BF10" s="61" t="n">
        <f aca="false">_xlfn.LET(
_xlpm.Electric, BF11,
_xlpm.Water, BF13,
_xlpm.Electric + _xlpm.Water)</f>
        <v>22410675</v>
      </c>
      <c r="BG10" s="61" t="n">
        <f aca="false">_xlfn.LET(
_xlpm.Electric, BG11,
_xlpm.Water, BG13,
_xlpm.Electric + _xlpm.Water)</f>
        <v>33534000</v>
      </c>
      <c r="BH10" s="61" t="n">
        <f aca="false">_xlfn.LET(
_xlpm.Electric, BH11,
_xlpm.Water, BH13,
_xlpm.Electric + _xlpm.Water)</f>
        <v>33207975</v>
      </c>
      <c r="BI10" s="61" t="n">
        <f aca="false">_xlfn.LET(
_xlpm.Electric, BI11,
_xlpm.Water, BI13,
_xlpm.Electric + _xlpm.Water)</f>
        <v>28876500</v>
      </c>
      <c r="BJ10" s="61" t="n">
        <f aca="false">_xlfn.LET(
_xlpm.Electric, BJ11,
_xlpm.Water, BJ13,
_xlpm.Electric + _xlpm.Water)</f>
        <v>26547750</v>
      </c>
    </row>
    <row r="11" customFormat="false" ht="13.5" hidden="false" customHeight="true" outlineLevel="0" collapsed="false">
      <c r="A11" s="38" t="s">
        <v>262</v>
      </c>
      <c r="B11" s="60" t="n">
        <f aca="false">SUM(C11:AL11)</f>
        <v>601530187.5</v>
      </c>
      <c r="C11" s="64" t="n">
        <f aca="false">_xlfn.LET(
_xlpm.Electric_percent, _xlfn.IFNA(INDEX('⚙️ Assumptions'!$B$40:$F$40,MATCH(YEAR(C3),'⚙️ Assumptions'!$B$38:$F$38,0)),C12),
_xlpm.Rev, INDEX('💰 Revenue'!$C$14:$BJ14,MATCH(C3,'💰 Revenue'!$C$5:$BJ$5,0)),
_xlpm.Adj_ratio, INDEX('⚙️ Other Assumptions'!$B$15:$M$15,MATCH(MONTH(C3),'⚙️ Other Assumptions'!$B$14:$M$14)),
_xlpm.Electric_percent * _xlpm.Rev * _xlpm.Adj_ratio)</f>
        <v>0</v>
      </c>
      <c r="D11" s="64" t="n">
        <f aca="false">_xlfn.LET(
_xlpm.Electric_percent, _xlfn.IFNA(INDEX('⚙️ Assumptions'!$B$40:$F$40,MATCH(YEAR(D3),'⚙️ Assumptions'!$B$38:$F$38,0)),D12),
_xlpm.Rev, INDEX('💰 Revenue'!$C$14:$BJ14,MATCH(D3,'💰 Revenue'!$C$5:$BJ$5,0)),
_xlpm.Adj_ratio, INDEX('⚙️ Other Assumptions'!$B$15:$M$15,MATCH(MONTH(D3),'⚙️ Other Assumptions'!$B$14:$M$14)),
_xlpm.Electric_percent * _xlpm.Rev * _xlpm.Adj_ratio)</f>
        <v>0</v>
      </c>
      <c r="E11" s="61" t="n">
        <f aca="false">_xlfn.LET(
_xlpm.Electric_percent, _xlfn.IFNA(INDEX('⚙️ Assumptions'!$B$40:$F$40,MATCH(YEAR(E3),'⚙️ Assumptions'!$B$38:$F$38,0)),E12),
_xlpm.Rev, INDEX('💰 Revenue'!$C$14:$BJ14,MATCH(E3,'💰 Revenue'!$C$5:$BJ$5,0)),
_xlpm.Adj_ratio, INDEX('⚙️ Other Assumptions'!$B$15:$M$15,MATCH(MONTH(E3),'⚙️ Other Assumptions'!$B$14:$M$14)),
_xlpm.Electric_percent * _xlpm.Rev * _xlpm.Adj_ratio)</f>
        <v>4519800</v>
      </c>
      <c r="F11" s="61" t="n">
        <f aca="false">_xlfn.LET(
_xlpm.Electric_percent, _xlfn.IFNA(INDEX('⚙️ Assumptions'!$B$40:$F$40,MATCH(YEAR(F3),'⚙️ Assumptions'!$B$38:$F$38,0)),F12),
_xlpm.Rev, INDEX('💰 Revenue'!$C$14:$BJ14,MATCH(F3,'💰 Revenue'!$C$5:$BJ$5,0)),
_xlpm.Adj_ratio, INDEX('⚙️ Other Assumptions'!$B$15:$M$15,MATCH(MONTH(F3),'⚙️ Other Assumptions'!$B$14:$M$14)),
_xlpm.Electric_percent * _xlpm.Rev * _xlpm.Adj_ratio)</f>
        <v>4519800</v>
      </c>
      <c r="G11" s="61" t="n">
        <f aca="false">_xlfn.LET(
_xlpm.Electric_percent, _xlfn.IFNA(INDEX('⚙️ Assumptions'!$B$40:$F$40,MATCH(YEAR(G3),'⚙️ Assumptions'!$B$38:$F$38,0)),G12),
_xlpm.Rev, INDEX('💰 Revenue'!$C$14:$BJ14,MATCH(G3,'💰 Revenue'!$C$5:$BJ$5,0)),
_xlpm.Adj_ratio, INDEX('⚙️ Other Assumptions'!$B$15:$M$15,MATCH(MONTH(G3),'⚙️ Other Assumptions'!$B$14:$M$14)),
_xlpm.Electric_percent * _xlpm.Rev * _xlpm.Adj_ratio)</f>
        <v>5546250</v>
      </c>
      <c r="H11" s="61" t="n">
        <f aca="false">_xlfn.LET(
_xlpm.Electric_percent, _xlfn.IFNA(INDEX('⚙️ Assumptions'!$B$40:$F$40,MATCH(YEAR(H3),'⚙️ Assumptions'!$B$38:$F$38,0)),H12),
_xlpm.Rev, INDEX('💰 Revenue'!$C$14:$BJ14,MATCH(H3,'💰 Revenue'!$C$5:$BJ$5,0)),
_xlpm.Adj_ratio, INDEX('⚙️ Other Assumptions'!$B$15:$M$15,MATCH(MONTH(H3),'⚙️ Other Assumptions'!$B$14:$M$14)),
_xlpm.Electric_percent * _xlpm.Rev * _xlpm.Adj_ratio)</f>
        <v>6626250</v>
      </c>
      <c r="I11" s="61" t="n">
        <f aca="false">_xlfn.LET(
_xlpm.Electric_percent, _xlfn.IFNA(INDEX('⚙️ Assumptions'!$B$40:$F$40,MATCH(YEAR(I3),'⚙️ Assumptions'!$B$38:$F$38,0)),I12),
_xlpm.Rev, INDEX('💰 Revenue'!$C$14:$BJ14,MATCH(I3,'💰 Revenue'!$C$5:$BJ$5,0)),
_xlpm.Adj_ratio, INDEX('⚙️ Other Assumptions'!$B$15:$M$15,MATCH(MONTH(I3),'⚙️ Other Assumptions'!$B$14:$M$14)),
_xlpm.Electric_percent * _xlpm.Rev * _xlpm.Adj_ratio)</f>
        <v>11643750</v>
      </c>
      <c r="J11" s="61" t="n">
        <f aca="false">_xlfn.LET(
_xlpm.Electric_percent, _xlfn.IFNA(INDEX('⚙️ Assumptions'!$B$40:$F$40,MATCH(YEAR(J3),'⚙️ Assumptions'!$B$38:$F$38,0)),J12),
_xlpm.Rev, INDEX('💰 Revenue'!$C$14:$BJ14,MATCH(J3,'💰 Revenue'!$C$5:$BJ$5,0)),
_xlpm.Adj_ratio, INDEX('⚙️ Other Assumptions'!$B$15:$M$15,MATCH(MONTH(J3),'⚙️ Other Assumptions'!$B$14:$M$14)),
_xlpm.Electric_percent * _xlpm.Rev * _xlpm.Adj_ratio)</f>
        <v>10985625</v>
      </c>
      <c r="K11" s="61" t="n">
        <f aca="false">_xlfn.LET(
_xlpm.Electric_percent, _xlfn.IFNA(INDEX('⚙️ Assumptions'!$B$40:$F$40,MATCH(YEAR(K3),'⚙️ Assumptions'!$B$38:$F$38,0)),K12),
_xlpm.Rev, INDEX('💰 Revenue'!$C$14:$BJ14,MATCH(K3,'💰 Revenue'!$C$5:$BJ$5,0)),
_xlpm.Adj_ratio, INDEX('⚙️ Other Assumptions'!$B$15:$M$15,MATCH(MONTH(K3),'⚙️ Other Assumptions'!$B$14:$M$14)),
_xlpm.Electric_percent * _xlpm.Rev * _xlpm.Adj_ratio)</f>
        <v>19440000</v>
      </c>
      <c r="L11" s="61" t="n">
        <f aca="false">_xlfn.LET(
_xlpm.Electric_percent, _xlfn.IFNA(INDEX('⚙️ Assumptions'!$B$40:$F$40,MATCH(YEAR(L3),'⚙️ Assumptions'!$B$38:$F$38,0)),L12),
_xlpm.Rev, INDEX('💰 Revenue'!$C$14:$BJ14,MATCH(L3,'💰 Revenue'!$C$5:$BJ$5,0)),
_xlpm.Adj_ratio, INDEX('⚙️ Other Assumptions'!$B$15:$M$15,MATCH(MONTH(L3),'⚙️ Other Assumptions'!$B$14:$M$14)),
_xlpm.Electric_percent * _xlpm.Rev * _xlpm.Adj_ratio)</f>
        <v>21657375</v>
      </c>
      <c r="M11" s="61" t="n">
        <f aca="false">_xlfn.LET(
_xlpm.Electric_percent, _xlfn.IFNA(INDEX('⚙️ Assumptions'!$B$40:$F$40,MATCH(YEAR(M3),'⚙️ Assumptions'!$B$38:$F$38,0)),M12),
_xlpm.Rev, INDEX('💰 Revenue'!$C$14:$BJ14,MATCH(M3,'💰 Revenue'!$C$5:$BJ$5,0)),
_xlpm.Adj_ratio, INDEX('⚙️ Other Assumptions'!$B$15:$M$15,MATCH(MONTH(M3),'⚙️ Other Assumptions'!$B$14:$M$14)),
_xlpm.Electric_percent * _xlpm.Rev * _xlpm.Adj_ratio)</f>
        <v>18832500</v>
      </c>
      <c r="N11" s="61" t="n">
        <f aca="false">_xlfn.LET(
_xlpm.Electric_percent, _xlfn.IFNA(INDEX('⚙️ Assumptions'!$B$40:$F$40,MATCH(YEAR(N3),'⚙️ Assumptions'!$B$38:$F$38,0)),N12),
_xlpm.Rev, INDEX('💰 Revenue'!$C$14:$BJ14,MATCH(N3,'💰 Revenue'!$C$5:$BJ$5,0)),
_xlpm.Adj_ratio, INDEX('⚙️ Other Assumptions'!$B$15:$M$15,MATCH(MONTH(N3),'⚙️ Other Assumptions'!$B$14:$M$14)),
_xlpm.Electric_percent * _xlpm.Rev * _xlpm.Adj_ratio)</f>
        <v>18275625</v>
      </c>
      <c r="O11" s="61" t="n">
        <f aca="false">_xlfn.LET(
_xlpm.Electric_percent, _xlfn.IFNA(INDEX('⚙️ Assumptions'!$B$40:$F$40,MATCH(YEAR(O3),'⚙️ Assumptions'!$B$38:$F$38,0)),O12),
_xlpm.Rev, INDEX('💰 Revenue'!$C$14:$BJ14,MATCH(O3,'💰 Revenue'!$C$5:$BJ$5,0)),
_xlpm.Adj_ratio, INDEX('⚙️ Other Assumptions'!$B$15:$M$15,MATCH(MONTH(O3),'⚙️ Other Assumptions'!$B$14:$M$14)),
_xlpm.Electric_percent * _xlpm.Rev * _xlpm.Adj_ratio)</f>
        <v>18884812.5</v>
      </c>
      <c r="P11" s="61" t="n">
        <f aca="false">_xlfn.LET(
_xlpm.Electric_percent, _xlfn.IFNA(INDEX('⚙️ Assumptions'!$B$40:$F$40,MATCH(YEAR(P3),'⚙️ Assumptions'!$B$38:$F$38,0)),P12),
_xlpm.Rev, INDEX('💰 Revenue'!$C$14:$BJ14,MATCH(P3,'💰 Revenue'!$C$5:$BJ$5,0)),
_xlpm.Adj_ratio, INDEX('⚙️ Other Assumptions'!$B$15:$M$15,MATCH(MONTH(P3),'⚙️ Other Assumptions'!$B$14:$M$14)),
_xlpm.Electric_percent * _xlpm.Rev * _xlpm.Adj_ratio)</f>
        <v>12757500</v>
      </c>
      <c r="Q11" s="61" t="n">
        <f aca="false">_xlfn.LET(
_xlpm.Electric_percent, _xlfn.IFNA(INDEX('⚙️ Assumptions'!$B$40:$F$40,MATCH(YEAR(Q3),'⚙️ Assumptions'!$B$38:$F$38,0)),Q12),
_xlpm.Rev, INDEX('💰 Revenue'!$C$14:$BJ14,MATCH(Q3,'💰 Revenue'!$C$5:$BJ$5,0)),
_xlpm.Adj_ratio, INDEX('⚙️ Other Assumptions'!$B$15:$M$15,MATCH(MONTH(Q3),'⚙️ Other Assumptions'!$B$14:$M$14)),
_xlpm.Electric_percent * _xlpm.Rev * _xlpm.Adj_ratio)</f>
        <v>15066000</v>
      </c>
      <c r="R11" s="61" t="n">
        <f aca="false">_xlfn.LET(
_xlpm.Electric_percent, _xlfn.IFNA(INDEX('⚙️ Assumptions'!$B$40:$F$40,MATCH(YEAR(R3),'⚙️ Assumptions'!$B$38:$F$38,0)),R12),
_xlpm.Rev, INDEX('💰 Revenue'!$C$14:$BJ14,MATCH(R3,'💰 Revenue'!$C$5:$BJ$5,0)),
_xlpm.Adj_ratio, INDEX('⚙️ Other Assumptions'!$B$15:$M$15,MATCH(MONTH(R3),'⚙️ Other Assumptions'!$B$14:$M$14)),
_xlpm.Electric_percent * _xlpm.Rev * _xlpm.Adj_ratio)</f>
        <v>15066000</v>
      </c>
      <c r="S11" s="61" t="n">
        <f aca="false">_xlfn.LET(
_xlpm.Electric_percent, _xlfn.IFNA(INDEX('⚙️ Assumptions'!$B$40:$F$40,MATCH(YEAR(S3),'⚙️ Assumptions'!$B$38:$F$38,0)),S12),
_xlpm.Rev, INDEX('💰 Revenue'!$C$14:$BJ14,MATCH(S3,'💰 Revenue'!$C$5:$BJ$5,0)),
_xlpm.Adj_ratio, INDEX('⚙️ Other Assumptions'!$B$15:$M$15,MATCH(MONTH(S3),'⚙️ Other Assumptions'!$B$14:$M$14)),
_xlpm.Electric_percent * _xlpm.Rev * _xlpm.Adj_ratio)</f>
        <v>12852000</v>
      </c>
      <c r="T11" s="61" t="n">
        <f aca="false">_xlfn.LET(
_xlpm.Electric_percent, _xlfn.IFNA(INDEX('⚙️ Assumptions'!$B$40:$F$40,MATCH(YEAR(T3),'⚙️ Assumptions'!$B$38:$F$38,0)),T12),
_xlpm.Rev, INDEX('💰 Revenue'!$C$14:$BJ14,MATCH(T3,'💰 Revenue'!$C$5:$BJ$5,0)),
_xlpm.Adj_ratio, INDEX('⚙️ Other Assumptions'!$B$15:$M$15,MATCH(MONTH(T3),'⚙️ Other Assumptions'!$B$14:$M$14)),
_xlpm.Electric_percent * _xlpm.Rev * _xlpm.Adj_ratio)</f>
        <v>15903000</v>
      </c>
      <c r="U11" s="61" t="n">
        <f aca="false">_xlfn.LET(
_xlpm.Electric_percent, _xlfn.IFNA(INDEX('⚙️ Assumptions'!$B$40:$F$40,MATCH(YEAR(U3),'⚙️ Assumptions'!$B$38:$F$38,0)),U12),
_xlpm.Rev, INDEX('💰 Revenue'!$C$14:$BJ14,MATCH(U3,'💰 Revenue'!$C$5:$BJ$5,0)),
_xlpm.Adj_ratio, INDEX('⚙️ Other Assumptions'!$B$15:$M$15,MATCH(MONTH(U3),'⚙️ Other Assumptions'!$B$14:$M$14)),
_xlpm.Electric_percent * _xlpm.Rev * _xlpm.Adj_ratio)</f>
        <v>18630000</v>
      </c>
      <c r="V11" s="61" t="n">
        <f aca="false">_xlfn.LET(
_xlpm.Electric_percent, _xlfn.IFNA(INDEX('⚙️ Assumptions'!$B$40:$F$40,MATCH(YEAR(V3),'⚙️ Assumptions'!$B$38:$F$38,0)),V12),
_xlpm.Rev, INDEX('💰 Revenue'!$C$14:$BJ14,MATCH(V3,'💰 Revenue'!$C$5:$BJ$5,0)),
_xlpm.Adj_ratio, INDEX('⚙️ Other Assumptions'!$B$15:$M$15,MATCH(MONTH(V3),'⚙️ Other Assumptions'!$B$14:$M$14)),
_xlpm.Electric_percent * _xlpm.Rev * _xlpm.Adj_ratio)</f>
        <v>17577000</v>
      </c>
      <c r="W11" s="61" t="n">
        <f aca="false">_xlfn.LET(
_xlpm.Electric_percent, _xlfn.IFNA(INDEX('⚙️ Assumptions'!$B$40:$F$40,MATCH(YEAR(W3),'⚙️ Assumptions'!$B$38:$F$38,0)),W12),
_xlpm.Rev, INDEX('💰 Revenue'!$C$14:$BJ14,MATCH(W3,'💰 Revenue'!$C$5:$BJ$5,0)),
_xlpm.Adj_ratio, INDEX('⚙️ Other Assumptions'!$B$15:$M$15,MATCH(MONTH(W3),'⚙️ Other Assumptions'!$B$14:$M$14)),
_xlpm.Electric_percent * _xlpm.Rev * _xlpm.Adj_ratio)</f>
        <v>29160000</v>
      </c>
      <c r="X11" s="61" t="n">
        <f aca="false">_xlfn.LET(
_xlpm.Electric_percent, _xlfn.IFNA(INDEX('⚙️ Assumptions'!$B$40:$F$40,MATCH(YEAR(X3),'⚙️ Assumptions'!$B$38:$F$38,0)),X12),
_xlpm.Rev, INDEX('💰 Revenue'!$C$14:$BJ14,MATCH(X3,'💰 Revenue'!$C$5:$BJ$5,0)),
_xlpm.Adj_ratio, INDEX('⚙️ Other Assumptions'!$B$15:$M$15,MATCH(MONTH(X3),'⚙️ Other Assumptions'!$B$14:$M$14)),
_xlpm.Electric_percent * _xlpm.Rev * _xlpm.Adj_ratio)</f>
        <v>28876500</v>
      </c>
      <c r="Y11" s="61" t="n">
        <f aca="false">_xlfn.LET(
_xlpm.Electric_percent, _xlfn.IFNA(INDEX('⚙️ Assumptions'!$B$40:$F$40,MATCH(YEAR(Y3),'⚙️ Assumptions'!$B$38:$F$38,0)),Y12),
_xlpm.Rev, INDEX('💰 Revenue'!$C$14:$BJ14,MATCH(Y3,'💰 Revenue'!$C$5:$BJ$5,0)),
_xlpm.Adj_ratio, INDEX('⚙️ Other Assumptions'!$B$15:$M$15,MATCH(MONTH(Y3),'⚙️ Other Assumptions'!$B$14:$M$14)),
_xlpm.Electric_percent * _xlpm.Rev * _xlpm.Adj_ratio)</f>
        <v>25110000</v>
      </c>
      <c r="Z11" s="61" t="n">
        <f aca="false">_xlfn.LET(
_xlpm.Electric_percent, _xlfn.IFNA(INDEX('⚙️ Assumptions'!$B$40:$F$40,MATCH(YEAR(Z3),'⚙️ Assumptions'!$B$38:$F$38,0)),Z12),
_xlpm.Rev, INDEX('💰 Revenue'!$C$14:$BJ14,MATCH(Z3,'💰 Revenue'!$C$5:$BJ$5,0)),
_xlpm.Adj_ratio, INDEX('⚙️ Other Assumptions'!$B$15:$M$15,MATCH(MONTH(Z3),'⚙️ Other Assumptions'!$B$14:$M$14)),
_xlpm.Electric_percent * _xlpm.Rev * _xlpm.Adj_ratio)</f>
        <v>23085000</v>
      </c>
      <c r="AA11" s="61" t="n">
        <f aca="false">_xlfn.LET(
_xlpm.Electric_percent, _xlfn.IFNA(INDEX('⚙️ Assumptions'!$B$40:$F$40,MATCH(YEAR(AA3),'⚙️ Assumptions'!$B$38:$F$38,0)),AA12),
_xlpm.Rev, INDEX('💰 Revenue'!$C$14:$BJ14,MATCH(AA3,'💰 Revenue'!$C$5:$BJ$5,0)),
_xlpm.Adj_ratio, INDEX('⚙️ Other Assumptions'!$B$15:$M$15,MATCH(MONTH(AA3),'⚙️ Other Assumptions'!$B$14:$M$14)),
_xlpm.Electric_percent * _xlpm.Rev * _xlpm.Adj_ratio)</f>
        <v>23854500</v>
      </c>
      <c r="AB11" s="61" t="n">
        <f aca="false">_xlfn.LET(
_xlpm.Electric_percent, _xlfn.IFNA(INDEX('⚙️ Assumptions'!$B$40:$F$40,MATCH(YEAR(AB3),'⚙️ Assumptions'!$B$38:$F$38,0)),AB12),
_xlpm.Rev, INDEX('💰 Revenue'!$C$14:$BJ14,MATCH(AB3,'💰 Revenue'!$C$5:$BJ$5,0)),
_xlpm.Adj_ratio, INDEX('⚙️ Other Assumptions'!$B$15:$M$15,MATCH(MONTH(AB3),'⚙️ Other Assumptions'!$B$14:$M$14)),
_xlpm.Electric_percent * _xlpm.Rev * _xlpm.Adj_ratio)</f>
        <v>15309000</v>
      </c>
      <c r="AC11" s="61" t="n">
        <f aca="false">_xlfn.LET(
_xlpm.Electric_percent, _xlfn.IFNA(INDEX('⚙️ Assumptions'!$B$40:$F$40,MATCH(YEAR(AC3),'⚙️ Assumptions'!$B$38:$F$38,0)),AC12),
_xlpm.Rev, INDEX('💰 Revenue'!$C$14:$BJ14,MATCH(AC3,'💰 Revenue'!$C$5:$BJ$5,0)),
_xlpm.Adj_ratio, INDEX('⚙️ Other Assumptions'!$B$15:$M$15,MATCH(MONTH(AC3),'⚙️ Other Assumptions'!$B$14:$M$14)),
_xlpm.Electric_percent * _xlpm.Rev * _xlpm.Adj_ratio)</f>
        <v>18079200</v>
      </c>
      <c r="AD11" s="61" t="n">
        <f aca="false">_xlfn.LET(
_xlpm.Electric_percent, _xlfn.IFNA(INDEX('⚙️ Assumptions'!$B$40:$F$40,MATCH(YEAR(AD3),'⚙️ Assumptions'!$B$38:$F$38,0)),AD12),
_xlpm.Rev, INDEX('💰 Revenue'!$C$14:$BJ14,MATCH(AD3,'💰 Revenue'!$C$5:$BJ$5,0)),
_xlpm.Adj_ratio, INDEX('⚙️ Other Assumptions'!$B$15:$M$15,MATCH(MONTH(AD3),'⚙️ Other Assumptions'!$B$14:$M$14)),
_xlpm.Electric_percent * _xlpm.Rev * _xlpm.Adj_ratio)</f>
        <v>18079200</v>
      </c>
      <c r="AE11" s="61" t="n">
        <f aca="false">_xlfn.LET(
_xlpm.Electric_percent, _xlfn.IFNA(INDEX('⚙️ Assumptions'!$B$40:$F$40,MATCH(YEAR(AE3),'⚙️ Assumptions'!$B$38:$F$38,0)),AE12),
_xlpm.Rev, INDEX('💰 Revenue'!$C$14:$BJ14,MATCH(AE3,'💰 Revenue'!$C$5:$BJ$5,0)),
_xlpm.Adj_ratio, INDEX('⚙️ Other Assumptions'!$B$15:$M$15,MATCH(MONTH(AE3),'⚙️ Other Assumptions'!$B$14:$M$14)),
_xlpm.Electric_percent * _xlpm.Rev * _xlpm.Adj_ratio)</f>
        <v>12852000</v>
      </c>
      <c r="AF11" s="61" t="n">
        <f aca="false">_xlfn.LET(
_xlpm.Electric_percent, _xlfn.IFNA(INDEX('⚙️ Assumptions'!$B$40:$F$40,MATCH(YEAR(AF3),'⚙️ Assumptions'!$B$38:$F$38,0)),AF12),
_xlpm.Rev, INDEX('💰 Revenue'!$C$14:$BJ14,MATCH(AF3,'💰 Revenue'!$C$5:$BJ$5,0)),
_xlpm.Adj_ratio, INDEX('⚙️ Other Assumptions'!$B$15:$M$15,MATCH(MONTH(AF3),'⚙️ Other Assumptions'!$B$14:$M$14)),
_xlpm.Electric_percent * _xlpm.Rev * _xlpm.Adj_ratio)</f>
        <v>15903000</v>
      </c>
      <c r="AG11" s="61" t="n">
        <f aca="false">_xlfn.LET(
_xlpm.Electric_percent, _xlfn.IFNA(INDEX('⚙️ Assumptions'!$B$40:$F$40,MATCH(YEAR(AG3),'⚙️ Assumptions'!$B$38:$F$38,0)),AG12),
_xlpm.Rev, INDEX('💰 Revenue'!$C$14:$BJ14,MATCH(AG3,'💰 Revenue'!$C$5:$BJ$5,0)),
_xlpm.Adj_ratio, INDEX('⚙️ Other Assumptions'!$B$15:$M$15,MATCH(MONTH(AG3),'⚙️ Other Assumptions'!$B$14:$M$14)),
_xlpm.Electric_percent * _xlpm.Rev * _xlpm.Adj_ratio)</f>
        <v>18630000</v>
      </c>
      <c r="AH11" s="61" t="n">
        <f aca="false">_xlfn.LET(
_xlpm.Electric_percent, _xlfn.IFNA(INDEX('⚙️ Assumptions'!$B$40:$F$40,MATCH(YEAR(AH3),'⚙️ Assumptions'!$B$38:$F$38,0)),AH12),
_xlpm.Rev, INDEX('💰 Revenue'!$C$14:$BJ14,MATCH(AH3,'💰 Revenue'!$C$5:$BJ$5,0)),
_xlpm.Adj_ratio, INDEX('⚙️ Other Assumptions'!$B$15:$M$15,MATCH(MONTH(AH3),'⚙️ Other Assumptions'!$B$14:$M$14)),
_xlpm.Electric_percent * _xlpm.Rev * _xlpm.Adj_ratio)</f>
        <v>17577000</v>
      </c>
      <c r="AI11" s="61" t="n">
        <f aca="false">_xlfn.LET(
_xlpm.Electric_percent, _xlfn.IFNA(INDEX('⚙️ Assumptions'!$B$40:$F$40,MATCH(YEAR(AI3),'⚙️ Assumptions'!$B$38:$F$38,0)),AI12),
_xlpm.Rev, INDEX('💰 Revenue'!$C$14:$BJ14,MATCH(AI3,'💰 Revenue'!$C$5:$BJ$5,0)),
_xlpm.Adj_ratio, INDEX('⚙️ Other Assumptions'!$B$15:$M$15,MATCH(MONTH(AI3),'⚙️ Other Assumptions'!$B$14:$M$14)),
_xlpm.Electric_percent * _xlpm.Rev * _xlpm.Adj_ratio)</f>
        <v>29160000</v>
      </c>
      <c r="AJ11" s="61" t="n">
        <f aca="false">_xlfn.LET(
_xlpm.Electric_percent, _xlfn.IFNA(INDEX('⚙️ Assumptions'!$B$40:$F$40,MATCH(YEAR(AJ3),'⚙️ Assumptions'!$B$38:$F$38,0)),AJ12),
_xlpm.Rev, INDEX('💰 Revenue'!$C$14:$BJ14,MATCH(AJ3,'💰 Revenue'!$C$5:$BJ$5,0)),
_xlpm.Adj_ratio, INDEX('⚙️ Other Assumptions'!$B$15:$M$15,MATCH(MONTH(AJ3),'⚙️ Other Assumptions'!$B$14:$M$14)),
_xlpm.Electric_percent * _xlpm.Rev * _xlpm.Adj_ratio)</f>
        <v>28876500</v>
      </c>
      <c r="AK11" s="61" t="n">
        <f aca="false">_xlfn.LET(
_xlpm.Electric_percent, _xlfn.IFNA(INDEX('⚙️ Assumptions'!$B$40:$F$40,MATCH(YEAR(AK3),'⚙️ Assumptions'!$B$38:$F$38,0)),AK12),
_xlpm.Rev, INDEX('💰 Revenue'!$C$14:$BJ14,MATCH(AK3,'💰 Revenue'!$C$5:$BJ$5,0)),
_xlpm.Adj_ratio, INDEX('⚙️ Other Assumptions'!$B$15:$M$15,MATCH(MONTH(AK3),'⚙️ Other Assumptions'!$B$14:$M$14)),
_xlpm.Electric_percent * _xlpm.Rev * _xlpm.Adj_ratio)</f>
        <v>25110000</v>
      </c>
      <c r="AL11" s="61" t="n">
        <f aca="false">_xlfn.LET(
_xlpm.Electric_percent, _xlfn.IFNA(INDEX('⚙️ Assumptions'!$B$40:$F$40,MATCH(YEAR(AL3),'⚙️ Assumptions'!$B$38:$F$38,0)),AL12),
_xlpm.Rev, INDEX('💰 Revenue'!$C$14:$BJ14,MATCH(AL3,'💰 Revenue'!$C$5:$BJ$5,0)),
_xlpm.Adj_ratio, INDEX('⚙️ Other Assumptions'!$B$15:$M$15,MATCH(MONTH(AL3),'⚙️ Other Assumptions'!$B$14:$M$14)),
_xlpm.Electric_percent * _xlpm.Rev * _xlpm.Adj_ratio)</f>
        <v>23085000</v>
      </c>
      <c r="AM11" s="61" t="n">
        <f aca="false">_xlfn.LET(
_xlpm.Electric_percent, _xlfn.IFNA(INDEX('⚙️ Assumptions'!$B$40:$F$40,MATCH(YEAR(AM3),'⚙️ Assumptions'!$B$38:$F$38,0)),AM12),
_xlpm.Rev, INDEX('💰 Revenue'!$C$14:$BJ14,MATCH(AM3,'💰 Revenue'!$C$5:$BJ$5,0)),
_xlpm.Adj_ratio, INDEX('⚙️ Other Assumptions'!$B$15:$M$15,MATCH(MONTH(AM3),'⚙️ Other Assumptions'!$B$14:$M$14)),
_xlpm.Electric_percent * _xlpm.Rev * _xlpm.Adj_ratio)</f>
        <v>23854500</v>
      </c>
      <c r="AN11" s="61" t="n">
        <f aca="false">_xlfn.LET(
_xlpm.Electric_percent, _xlfn.IFNA(INDEX('⚙️ Assumptions'!$B$40:$F$40,MATCH(YEAR(AN3),'⚙️ Assumptions'!$B$38:$F$38,0)),AN12),
_xlpm.Rev, INDEX('💰 Revenue'!$C$14:$BJ14,MATCH(AN3,'💰 Revenue'!$C$5:$BJ$5,0)),
_xlpm.Adj_ratio, INDEX('⚙️ Other Assumptions'!$B$15:$M$15,MATCH(MONTH(AN3),'⚙️ Other Assumptions'!$B$14:$M$14)),
_xlpm.Electric_percent * _xlpm.Rev * _xlpm.Adj_ratio)</f>
        <v>15309000</v>
      </c>
      <c r="AO11" s="61" t="n">
        <f aca="false">_xlfn.LET(
_xlpm.Electric_percent, _xlfn.IFNA(INDEX('⚙️ Assumptions'!$B$40:$F$40,MATCH(YEAR(AO3),'⚙️ Assumptions'!$B$38:$F$38,0)),AO12),
_xlpm.Rev, INDEX('💰 Revenue'!$C$14:$BJ14,MATCH(AO3,'💰 Revenue'!$C$5:$BJ$5,0)),
_xlpm.Adj_ratio, INDEX('⚙️ Other Assumptions'!$B$15:$M$15,MATCH(MONTH(AO3),'⚙️ Other Assumptions'!$B$14:$M$14)),
_xlpm.Electric_percent * _xlpm.Rev * _xlpm.Adj_ratio)</f>
        <v>18079200</v>
      </c>
      <c r="AP11" s="61" t="n">
        <f aca="false">_xlfn.LET(
_xlpm.Electric_percent, _xlfn.IFNA(INDEX('⚙️ Assumptions'!$B$40:$F$40,MATCH(YEAR(AP3),'⚙️ Assumptions'!$B$38:$F$38,0)),AP12),
_xlpm.Rev, INDEX('💰 Revenue'!$C$14:$BJ14,MATCH(AP3,'💰 Revenue'!$C$5:$BJ$5,0)),
_xlpm.Adj_ratio, INDEX('⚙️ Other Assumptions'!$B$15:$M$15,MATCH(MONTH(AP3),'⚙️ Other Assumptions'!$B$14:$M$14)),
_xlpm.Electric_percent * _xlpm.Rev * _xlpm.Adj_ratio)</f>
        <v>18079200</v>
      </c>
      <c r="AQ11" s="61" t="n">
        <f aca="false">_xlfn.LET(
_xlpm.Electric_percent, _xlfn.IFNA(INDEX('⚙️ Assumptions'!$B$40:$F$40,MATCH(YEAR(AQ3),'⚙️ Assumptions'!$B$38:$F$38,0)),AQ12),
_xlpm.Rev, INDEX('💰 Revenue'!$C$14:$BJ14,MATCH(AQ3,'💰 Revenue'!$C$5:$BJ$5,0)),
_xlpm.Adj_ratio, INDEX('⚙️ Other Assumptions'!$B$15:$M$15,MATCH(MONTH(AQ3),'⚙️ Other Assumptions'!$B$14:$M$14)),
_xlpm.Electric_percent * _xlpm.Rev * _xlpm.Adj_ratio)</f>
        <v>12852000</v>
      </c>
      <c r="AR11" s="61" t="n">
        <f aca="false">_xlfn.LET(
_xlpm.Electric_percent, _xlfn.IFNA(INDEX('⚙️ Assumptions'!$B$40:$F$40,MATCH(YEAR(AR3),'⚙️ Assumptions'!$B$38:$F$38,0)),AR12),
_xlpm.Rev, INDEX('💰 Revenue'!$C$14:$BJ14,MATCH(AR3,'💰 Revenue'!$C$5:$BJ$5,0)),
_xlpm.Adj_ratio, INDEX('⚙️ Other Assumptions'!$B$15:$M$15,MATCH(MONTH(AR3),'⚙️ Other Assumptions'!$B$14:$M$14)),
_xlpm.Electric_percent * _xlpm.Rev * _xlpm.Adj_ratio)</f>
        <v>15903000</v>
      </c>
      <c r="AS11" s="61" t="n">
        <f aca="false">_xlfn.LET(
_xlpm.Electric_percent, _xlfn.IFNA(INDEX('⚙️ Assumptions'!$B$40:$F$40,MATCH(YEAR(AS3),'⚙️ Assumptions'!$B$38:$F$38,0)),AS12),
_xlpm.Rev, INDEX('💰 Revenue'!$C$14:$BJ14,MATCH(AS3,'💰 Revenue'!$C$5:$BJ$5,0)),
_xlpm.Adj_ratio, INDEX('⚙️ Other Assumptions'!$B$15:$M$15,MATCH(MONTH(AS3),'⚙️ Other Assumptions'!$B$14:$M$14)),
_xlpm.Electric_percent * _xlpm.Rev * _xlpm.Adj_ratio)</f>
        <v>18630000</v>
      </c>
      <c r="AT11" s="61" t="n">
        <f aca="false">_xlfn.LET(
_xlpm.Electric_percent, _xlfn.IFNA(INDEX('⚙️ Assumptions'!$B$40:$F$40,MATCH(YEAR(AT3),'⚙️ Assumptions'!$B$38:$F$38,0)),AT12),
_xlpm.Rev, INDEX('💰 Revenue'!$C$14:$BJ14,MATCH(AT3,'💰 Revenue'!$C$5:$BJ$5,0)),
_xlpm.Adj_ratio, INDEX('⚙️ Other Assumptions'!$B$15:$M$15,MATCH(MONTH(AT3),'⚙️ Other Assumptions'!$B$14:$M$14)),
_xlpm.Electric_percent * _xlpm.Rev * _xlpm.Adj_ratio)</f>
        <v>17577000</v>
      </c>
      <c r="AU11" s="61" t="n">
        <f aca="false">_xlfn.LET(
_xlpm.Electric_percent, _xlfn.IFNA(INDEX('⚙️ Assumptions'!$B$40:$F$40,MATCH(YEAR(AU3),'⚙️ Assumptions'!$B$38:$F$38,0)),AU12),
_xlpm.Rev, INDEX('💰 Revenue'!$C$14:$BJ14,MATCH(AU3,'💰 Revenue'!$C$5:$BJ$5,0)),
_xlpm.Adj_ratio, INDEX('⚙️ Other Assumptions'!$B$15:$M$15,MATCH(MONTH(AU3),'⚙️ Other Assumptions'!$B$14:$M$14)),
_xlpm.Electric_percent * _xlpm.Rev * _xlpm.Adj_ratio)</f>
        <v>29160000</v>
      </c>
      <c r="AV11" s="61" t="n">
        <f aca="false">_xlfn.LET(
_xlpm.Electric_percent, _xlfn.IFNA(INDEX('⚙️ Assumptions'!$B$40:$F$40,MATCH(YEAR(AV3),'⚙️ Assumptions'!$B$38:$F$38,0)),AV12),
_xlpm.Rev, INDEX('💰 Revenue'!$C$14:$BJ14,MATCH(AV3,'💰 Revenue'!$C$5:$BJ$5,0)),
_xlpm.Adj_ratio, INDEX('⚙️ Other Assumptions'!$B$15:$M$15,MATCH(MONTH(AV3),'⚙️ Other Assumptions'!$B$14:$M$14)),
_xlpm.Electric_percent * _xlpm.Rev * _xlpm.Adj_ratio)</f>
        <v>28876500</v>
      </c>
      <c r="AW11" s="61" t="n">
        <f aca="false">_xlfn.LET(
_xlpm.Electric_percent, _xlfn.IFNA(INDEX('⚙️ Assumptions'!$B$40:$F$40,MATCH(YEAR(AW3),'⚙️ Assumptions'!$B$38:$F$38,0)),AW12),
_xlpm.Rev, INDEX('💰 Revenue'!$C$14:$BJ14,MATCH(AW3,'💰 Revenue'!$C$5:$BJ$5,0)),
_xlpm.Adj_ratio, INDEX('⚙️ Other Assumptions'!$B$15:$M$15,MATCH(MONTH(AW3),'⚙️ Other Assumptions'!$B$14:$M$14)),
_xlpm.Electric_percent * _xlpm.Rev * _xlpm.Adj_ratio)</f>
        <v>25110000</v>
      </c>
      <c r="AX11" s="61" t="n">
        <f aca="false">_xlfn.LET(
_xlpm.Electric_percent, _xlfn.IFNA(INDEX('⚙️ Assumptions'!$B$40:$F$40,MATCH(YEAR(AX3),'⚙️ Assumptions'!$B$38:$F$38,0)),AX12),
_xlpm.Rev, INDEX('💰 Revenue'!$C$14:$BJ14,MATCH(AX3,'💰 Revenue'!$C$5:$BJ$5,0)),
_xlpm.Adj_ratio, INDEX('⚙️ Other Assumptions'!$B$15:$M$15,MATCH(MONTH(AX3),'⚙️ Other Assumptions'!$B$14:$M$14)),
_xlpm.Electric_percent * _xlpm.Rev * _xlpm.Adj_ratio)</f>
        <v>23085000</v>
      </c>
      <c r="AY11" s="61" t="n">
        <f aca="false">_xlfn.LET(
_xlpm.Electric_percent, _xlfn.IFNA(INDEX('⚙️ Assumptions'!$B$40:$F$40,MATCH(YEAR(AY3),'⚙️ Assumptions'!$B$38:$F$38,0)),AY12),
_xlpm.Rev, INDEX('💰 Revenue'!$C$14:$BJ14,MATCH(AY3,'💰 Revenue'!$C$5:$BJ$5,0)),
_xlpm.Adj_ratio, INDEX('⚙️ Other Assumptions'!$B$15:$M$15,MATCH(MONTH(AY3),'⚙️ Other Assumptions'!$B$14:$M$14)),
_xlpm.Electric_percent * _xlpm.Rev * _xlpm.Adj_ratio)</f>
        <v>23854500</v>
      </c>
      <c r="AZ11" s="61" t="n">
        <f aca="false">_xlfn.LET(
_xlpm.Electric_percent, _xlfn.IFNA(INDEX('⚙️ Assumptions'!$B$40:$F$40,MATCH(YEAR(AZ3),'⚙️ Assumptions'!$B$38:$F$38,0)),AZ12),
_xlpm.Rev, INDEX('💰 Revenue'!$C$14:$BJ14,MATCH(AZ3,'💰 Revenue'!$C$5:$BJ$5,0)),
_xlpm.Adj_ratio, INDEX('⚙️ Other Assumptions'!$B$15:$M$15,MATCH(MONTH(AZ3),'⚙️ Other Assumptions'!$B$14:$M$14)),
_xlpm.Electric_percent * _xlpm.Rev * _xlpm.Adj_ratio)</f>
        <v>15309000</v>
      </c>
      <c r="BA11" s="61" t="n">
        <f aca="false">_xlfn.LET(
_xlpm.Electric_percent, _xlfn.IFNA(INDEX('⚙️ Assumptions'!$B$40:$F$40,MATCH(YEAR(BA3),'⚙️ Assumptions'!$B$38:$F$38,0)),BA12),
_xlpm.Rev, INDEX('💰 Revenue'!$C$14:$BJ14,MATCH(BA3,'💰 Revenue'!$C$5:$BJ$5,0)),
_xlpm.Adj_ratio, INDEX('⚙️ Other Assumptions'!$B$15:$M$15,MATCH(MONTH(BA3),'⚙️ Other Assumptions'!$B$14:$M$14)),
_xlpm.Electric_percent * _xlpm.Rev * _xlpm.Adj_ratio)</f>
        <v>18079200</v>
      </c>
      <c r="BB11" s="61" t="n">
        <f aca="false">_xlfn.LET(
_xlpm.Electric_percent, _xlfn.IFNA(INDEX('⚙️ Assumptions'!$B$40:$F$40,MATCH(YEAR(BB3),'⚙️ Assumptions'!$B$38:$F$38,0)),BB12),
_xlpm.Rev, INDEX('💰 Revenue'!$C$14:$BJ14,MATCH(BB3,'💰 Revenue'!$C$5:$BJ$5,0)),
_xlpm.Adj_ratio, INDEX('⚙️ Other Assumptions'!$B$15:$M$15,MATCH(MONTH(BB3),'⚙️ Other Assumptions'!$B$14:$M$14)),
_xlpm.Electric_percent * _xlpm.Rev * _xlpm.Adj_ratio)</f>
        <v>16271280</v>
      </c>
      <c r="BC11" s="61" t="n">
        <f aca="false">_xlfn.LET(
_xlpm.Electric_percent, _xlfn.IFNA(INDEX('⚙️ Assumptions'!$B$40:$F$40,MATCH(YEAR(BC3),'⚙️ Assumptions'!$B$38:$F$38,0)),BC12),
_xlpm.Rev, INDEX('💰 Revenue'!$C$14:$BJ14,MATCH(BC3,'💰 Revenue'!$C$5:$BJ$5,0)),
_xlpm.Adj_ratio, INDEX('⚙️ Other Assumptions'!$B$15:$M$15,MATCH(MONTH(BC3),'⚙️ Other Assumptions'!$B$14:$M$14)),
_xlpm.Electric_percent * _xlpm.Rev * _xlpm.Adj_ratio)</f>
        <v>11979900</v>
      </c>
      <c r="BD11" s="61" t="n">
        <f aca="false">_xlfn.LET(
_xlpm.Electric_percent, _xlfn.IFNA(INDEX('⚙️ Assumptions'!$B$40:$F$40,MATCH(YEAR(BD3),'⚙️ Assumptions'!$B$38:$F$38,0)),BD12),
_xlpm.Rev, INDEX('💰 Revenue'!$C$14:$BJ14,MATCH(BD3,'💰 Revenue'!$C$5:$BJ$5,0)),
_xlpm.Adj_ratio, INDEX('⚙️ Other Assumptions'!$B$15:$M$15,MATCH(MONTH(BD3),'⚙️ Other Assumptions'!$B$14:$M$14)),
_xlpm.Electric_percent * _xlpm.Rev * _xlpm.Adj_ratio)</f>
        <v>14312700</v>
      </c>
      <c r="BE11" s="61" t="n">
        <f aca="false">_xlfn.LET(
_xlpm.Electric_percent, _xlfn.IFNA(INDEX('⚙️ Assumptions'!$B$40:$F$40,MATCH(YEAR(BE3),'⚙️ Assumptions'!$B$38:$F$38,0)),BE12),
_xlpm.Rev, INDEX('💰 Revenue'!$C$14:$BJ14,MATCH(BE3,'💰 Revenue'!$C$5:$BJ$5,0)),
_xlpm.Adj_ratio, INDEX('⚙️ Other Assumptions'!$B$15:$M$15,MATCH(MONTH(BE3),'⚙️ Other Assumptions'!$B$14:$M$14)),
_xlpm.Electric_percent * _xlpm.Rev * _xlpm.Adj_ratio)</f>
        <v>16767000</v>
      </c>
      <c r="BF11" s="61" t="n">
        <f aca="false">_xlfn.LET(
_xlpm.Electric_percent, _xlfn.IFNA(INDEX('⚙️ Assumptions'!$B$40:$F$40,MATCH(YEAR(BF3),'⚙️ Assumptions'!$B$38:$F$38,0)),BF12),
_xlpm.Rev, INDEX('💰 Revenue'!$C$14:$BJ14,MATCH(BF3,'💰 Revenue'!$C$5:$BJ$5,0)),
_xlpm.Adj_ratio, INDEX('⚙️ Other Assumptions'!$B$15:$M$15,MATCH(MONTH(BF3),'⚙️ Other Assumptions'!$B$14:$M$14)),
_xlpm.Electric_percent * _xlpm.Rev * _xlpm.Adj_ratio)</f>
        <v>15819300</v>
      </c>
      <c r="BG11" s="61" t="n">
        <f aca="false">_xlfn.LET(
_xlpm.Electric_percent, _xlfn.IFNA(INDEX('⚙️ Assumptions'!$B$40:$F$40,MATCH(YEAR(BG3),'⚙️ Assumptions'!$B$38:$F$38,0)),BG12),
_xlpm.Rev, INDEX('💰 Revenue'!$C$14:$BJ14,MATCH(BG3,'💰 Revenue'!$C$5:$BJ$5,0)),
_xlpm.Adj_ratio, INDEX('⚙️ Other Assumptions'!$B$15:$M$15,MATCH(MONTH(BG3),'⚙️ Other Assumptions'!$B$14:$M$14)),
_xlpm.Electric_percent * _xlpm.Rev * _xlpm.Adj_ratio)</f>
        <v>26244000</v>
      </c>
      <c r="BH11" s="61" t="n">
        <f aca="false">_xlfn.LET(
_xlpm.Electric_percent, _xlfn.IFNA(INDEX('⚙️ Assumptions'!$B$40:$F$40,MATCH(YEAR(BH3),'⚙️ Assumptions'!$B$38:$F$38,0)),BH12),
_xlpm.Rev, INDEX('💰 Revenue'!$C$14:$BJ14,MATCH(BH3,'💰 Revenue'!$C$5:$BJ$5,0)),
_xlpm.Adj_ratio, INDEX('⚙️ Other Assumptions'!$B$15:$M$15,MATCH(MONTH(BH3),'⚙️ Other Assumptions'!$B$14:$M$14)),
_xlpm.Electric_percent * _xlpm.Rev * _xlpm.Adj_ratio)</f>
        <v>25988850</v>
      </c>
      <c r="BI11" s="61" t="n">
        <f aca="false">_xlfn.LET(
_xlpm.Electric_percent, _xlfn.IFNA(INDEX('⚙️ Assumptions'!$B$40:$F$40,MATCH(YEAR(BI3),'⚙️ Assumptions'!$B$38:$F$38,0)),BI12),
_xlpm.Rev, INDEX('💰 Revenue'!$C$14:$BJ14,MATCH(BI3,'💰 Revenue'!$C$5:$BJ$5,0)),
_xlpm.Adj_ratio, INDEX('⚙️ Other Assumptions'!$B$15:$M$15,MATCH(MONTH(BI3),'⚙️ Other Assumptions'!$B$14:$M$14)),
_xlpm.Electric_percent * _xlpm.Rev * _xlpm.Adj_ratio)</f>
        <v>22599000</v>
      </c>
      <c r="BJ11" s="61" t="n">
        <f aca="false">_xlfn.LET(
_xlpm.Electric_percent, _xlfn.IFNA(INDEX('⚙️ Assumptions'!$B$40:$F$40,MATCH(YEAR(BJ3),'⚙️ Assumptions'!$B$38:$F$38,0)),BJ12),
_xlpm.Rev, INDEX('💰 Revenue'!$C$14:$BJ14,MATCH(BJ3,'💰 Revenue'!$C$5:$BJ$5,0)),
_xlpm.Adj_ratio, INDEX('⚙️ Other Assumptions'!$B$15:$M$15,MATCH(MONTH(BJ3),'⚙️ Other Assumptions'!$B$14:$M$14)),
_xlpm.Electric_percent * _xlpm.Rev * _xlpm.Adj_ratio)</f>
        <v>20776500</v>
      </c>
    </row>
    <row r="12" customFormat="false" ht="13.5" hidden="true" customHeight="true" outlineLevel="0" collapsed="false">
      <c r="A12" s="38" t="s">
        <v>263</v>
      </c>
      <c r="B12" s="60"/>
      <c r="C12" s="64" t="e">
        <f aca="true">IF(_xlfn.IFNA(INDEX('⚙️ Assumptions'!$B$40:$F$40,MATCH(YEAR(C3),'⚙️ Assumptions'!$B$38:$F$38,0)),1)&lt;&gt;1,C11/INDEX('💰 Revenue'!$C$14:$BJ14,MATCH(C3,'💰 Revenue'!$C$5:$BJ$5,0)),OFFSET(C12,,-1))</f>
        <v>#DIV/0!</v>
      </c>
      <c r="D12" s="64" t="e">
        <f aca="true">IF(_xlfn.IFNA(INDEX('⚙️ Assumptions'!$B$40:$F$40,MATCH(YEAR(D3),'⚙️ Assumptions'!$B$38:$F$38,0)),1)&lt;&gt;1,D11/INDEX('💰 Revenue'!$C$14:$BJ14,MATCH(D3,'💰 Revenue'!$C$5:$BJ$5,0)),OFFSET(D12,,-1))</f>
        <v>#DIV/0!</v>
      </c>
      <c r="E12" s="61" t="n">
        <f aca="true">IF(_xlfn.IFNA(INDEX('⚙️ Assumptions'!$B$40:$F$40,MATCH(YEAR(E3),'⚙️ Assumptions'!$B$38:$F$38,0)),1)&lt;&gt;1,E11/INDEX('💰 Revenue'!$C$14:$BJ14,MATCH(E3,'💰 Revenue'!$C$5:$BJ$5,0)),OFFSET(E12,,-1))</f>
        <v>0.036</v>
      </c>
      <c r="F12" s="61" t="n">
        <f aca="true">IF(_xlfn.IFNA(INDEX('⚙️ Assumptions'!$B$40:$F$40,MATCH(YEAR(F3),'⚙️ Assumptions'!$B$38:$F$38,0)),1)&lt;&gt;1,F11/INDEX('💰 Revenue'!$C$14:$BJ14,MATCH(F3,'💰 Revenue'!$C$5:$BJ$5,0)),OFFSET(F12,,-1))</f>
        <v>0.036</v>
      </c>
      <c r="G12" s="61" t="n">
        <f aca="true">IF(_xlfn.IFNA(INDEX('⚙️ Assumptions'!$B$40:$F$40,MATCH(YEAR(G3),'⚙️ Assumptions'!$B$38:$F$38,0)),1)&lt;&gt;1,G11/INDEX('💰 Revenue'!$C$14:$BJ14,MATCH(G3,'💰 Revenue'!$C$5:$BJ$5,0)),OFFSET(G12,,-1))</f>
        <v>0.04</v>
      </c>
      <c r="H12" s="61" t="n">
        <f aca="true">IF(_xlfn.IFNA(INDEX('⚙️ Assumptions'!$B$40:$F$40,MATCH(YEAR(H3),'⚙️ Assumptions'!$B$38:$F$38,0)),1)&lt;&gt;1,H11/INDEX('💰 Revenue'!$C$14:$BJ14,MATCH(H3,'💰 Revenue'!$C$5:$BJ$5,0)),OFFSET(H12,,-1))</f>
        <v>0.04</v>
      </c>
      <c r="I12" s="61" t="n">
        <f aca="true">IF(_xlfn.IFNA(INDEX('⚙️ Assumptions'!$B$40:$F$40,MATCH(YEAR(I3),'⚙️ Assumptions'!$B$38:$F$38,0)),1)&lt;&gt;1,I11/INDEX('💰 Revenue'!$C$14:$BJ14,MATCH(I3,'💰 Revenue'!$C$5:$BJ$5,0)),OFFSET(I12,,-1))</f>
        <v>0.04</v>
      </c>
      <c r="J12" s="61" t="n">
        <f aca="true">IF(_xlfn.IFNA(INDEX('⚙️ Assumptions'!$B$40:$F$40,MATCH(YEAR(J3),'⚙️ Assumptions'!$B$38:$F$38,0)),1)&lt;&gt;1,J11/INDEX('💰 Revenue'!$C$14:$BJ14,MATCH(J3,'💰 Revenue'!$C$5:$BJ$5,0)),OFFSET(J12,,-1))</f>
        <v>0.04</v>
      </c>
      <c r="K12" s="61" t="n">
        <f aca="true">IF(_xlfn.IFNA(INDEX('⚙️ Assumptions'!$B$40:$F$40,MATCH(YEAR(K3),'⚙️ Assumptions'!$B$38:$F$38,0)),1)&lt;&gt;1,K11/INDEX('💰 Revenue'!$C$14:$BJ14,MATCH(K3,'💰 Revenue'!$C$5:$BJ$5,0)),OFFSET(K12,,-1))</f>
        <v>0.06</v>
      </c>
      <c r="L12" s="61" t="n">
        <f aca="true">IF(_xlfn.IFNA(INDEX('⚙️ Assumptions'!$B$40:$F$40,MATCH(YEAR(L3),'⚙️ Assumptions'!$B$38:$F$38,0)),1)&lt;&gt;1,L11/INDEX('💰 Revenue'!$C$14:$BJ14,MATCH(L3,'💰 Revenue'!$C$5:$BJ$5,0)),OFFSET(L12,,-1))</f>
        <v>0.06</v>
      </c>
      <c r="M12" s="61" t="n">
        <f aca="true">IF(_xlfn.IFNA(INDEX('⚙️ Assumptions'!$B$40:$F$40,MATCH(YEAR(M3),'⚙️ Assumptions'!$B$38:$F$38,0)),1)&lt;&gt;1,M11/INDEX('💰 Revenue'!$C$14:$BJ14,MATCH(M3,'💰 Revenue'!$C$5:$BJ$5,0)),OFFSET(M12,,-1))</f>
        <v>0.06</v>
      </c>
      <c r="N12" s="61" t="n">
        <f aca="true">IF(_xlfn.IFNA(INDEX('⚙️ Assumptions'!$B$40:$F$40,MATCH(YEAR(N3),'⚙️ Assumptions'!$B$38:$F$38,0)),1)&lt;&gt;1,N11/INDEX('💰 Revenue'!$C$14:$BJ14,MATCH(N3,'💰 Revenue'!$C$5:$BJ$5,0)),OFFSET(N12,,-1))</f>
        <v>0.06</v>
      </c>
      <c r="O12" s="61" t="n">
        <f aca="true">IF(_xlfn.IFNA(INDEX('⚙️ Assumptions'!$B$40:$F$40,MATCH(YEAR(O3),'⚙️ Assumptions'!$B$38:$F$38,0)),1)&lt;&gt;1,O11/INDEX('💰 Revenue'!$C$14:$BJ14,MATCH(O3,'💰 Revenue'!$C$5:$BJ$5,0)),OFFSET(O12,,-1))</f>
        <v>0.06</v>
      </c>
      <c r="P12" s="61" t="n">
        <f aca="true">IF(_xlfn.IFNA(INDEX('⚙️ Assumptions'!$B$40:$F$40,MATCH(YEAR(P3),'⚙️ Assumptions'!$B$38:$F$38,0)),1)&lt;&gt;1,P11/INDEX('💰 Revenue'!$C$14:$BJ14,MATCH(P3,'💰 Revenue'!$C$5:$BJ$5,0)),OFFSET(P12,,-1))</f>
        <v>0.036</v>
      </c>
      <c r="Q12" s="61" t="n">
        <f aca="true">IF(_xlfn.IFNA(INDEX('⚙️ Assumptions'!$B$40:$F$40,MATCH(YEAR(Q3),'⚙️ Assumptions'!$B$38:$F$38,0)),1)&lt;&gt;1,Q11/INDEX('💰 Revenue'!$C$14:$BJ14,MATCH(Q3,'💰 Revenue'!$C$5:$BJ$5,0)),OFFSET(Q12,,-1))</f>
        <v>0.036</v>
      </c>
      <c r="R12" s="61" t="n">
        <f aca="true">IF(_xlfn.IFNA(INDEX('⚙️ Assumptions'!$B$40:$F$40,MATCH(YEAR(R3),'⚙️ Assumptions'!$B$38:$F$38,0)),1)&lt;&gt;1,R11/INDEX('💰 Revenue'!$C$14:$BJ14,MATCH(R3,'💰 Revenue'!$C$5:$BJ$5,0)),OFFSET(R12,,-1))</f>
        <v>0.036</v>
      </c>
      <c r="S12" s="61" t="n">
        <f aca="true">IF(_xlfn.IFNA(INDEX('⚙️ Assumptions'!$B$40:$F$40,MATCH(YEAR(S3),'⚙️ Assumptions'!$B$38:$F$38,0)),1)&lt;&gt;1,S11/INDEX('💰 Revenue'!$C$14:$BJ14,MATCH(S3,'💰 Revenue'!$C$5:$BJ$5,0)),OFFSET(S12,,-1))</f>
        <v>0.04</v>
      </c>
      <c r="T12" s="61" t="n">
        <f aca="true">IF(_xlfn.IFNA(INDEX('⚙️ Assumptions'!$B$40:$F$40,MATCH(YEAR(T3),'⚙️ Assumptions'!$B$38:$F$38,0)),1)&lt;&gt;1,T11/INDEX('💰 Revenue'!$C$14:$BJ14,MATCH(T3,'💰 Revenue'!$C$5:$BJ$5,0)),OFFSET(T12,,-1))</f>
        <v>0.04</v>
      </c>
      <c r="U12" s="61" t="n">
        <f aca="true">IF(_xlfn.IFNA(INDEX('⚙️ Assumptions'!$B$40:$F$40,MATCH(YEAR(U3),'⚙️ Assumptions'!$B$38:$F$38,0)),1)&lt;&gt;1,U11/INDEX('💰 Revenue'!$C$14:$BJ14,MATCH(U3,'💰 Revenue'!$C$5:$BJ$5,0)),OFFSET(U12,,-1))</f>
        <v>0.04</v>
      </c>
      <c r="V12" s="61" t="n">
        <f aca="true">IF(_xlfn.IFNA(INDEX('⚙️ Assumptions'!$B$40:$F$40,MATCH(YEAR(V3),'⚙️ Assumptions'!$B$38:$F$38,0)),1)&lt;&gt;1,V11/INDEX('💰 Revenue'!$C$14:$BJ14,MATCH(V3,'💰 Revenue'!$C$5:$BJ$5,0)),OFFSET(V12,,-1))</f>
        <v>0.04</v>
      </c>
      <c r="W12" s="61" t="n">
        <f aca="true">IF(_xlfn.IFNA(INDEX('⚙️ Assumptions'!$B$40:$F$40,MATCH(YEAR(W3),'⚙️ Assumptions'!$B$38:$F$38,0)),1)&lt;&gt;1,W11/INDEX('💰 Revenue'!$C$14:$BJ14,MATCH(W3,'💰 Revenue'!$C$5:$BJ$5,0)),OFFSET(W12,,-1))</f>
        <v>0.06</v>
      </c>
      <c r="X12" s="61" t="n">
        <f aca="true">IF(_xlfn.IFNA(INDEX('⚙️ Assumptions'!$B$40:$F$40,MATCH(YEAR(X3),'⚙️ Assumptions'!$B$38:$F$38,0)),1)&lt;&gt;1,X11/INDEX('💰 Revenue'!$C$14:$BJ14,MATCH(X3,'💰 Revenue'!$C$5:$BJ$5,0)),OFFSET(X12,,-1))</f>
        <v>0.06</v>
      </c>
      <c r="Y12" s="61" t="n">
        <f aca="true">IF(_xlfn.IFNA(INDEX('⚙️ Assumptions'!$B$40:$F$40,MATCH(YEAR(Y3),'⚙️ Assumptions'!$B$38:$F$38,0)),1)&lt;&gt;1,Y11/INDEX('💰 Revenue'!$C$14:$BJ14,MATCH(Y3,'💰 Revenue'!$C$5:$BJ$5,0)),OFFSET(Y12,,-1))</f>
        <v>0.06</v>
      </c>
      <c r="Z12" s="61" t="n">
        <f aca="true">IF(_xlfn.IFNA(INDEX('⚙️ Assumptions'!$B$40:$F$40,MATCH(YEAR(Z3),'⚙️ Assumptions'!$B$38:$F$38,0)),1)&lt;&gt;1,Z11/INDEX('💰 Revenue'!$C$14:$BJ14,MATCH(Z3,'💰 Revenue'!$C$5:$BJ$5,0)),OFFSET(Z12,,-1))</f>
        <v>0.06</v>
      </c>
      <c r="AA12" s="61" t="n">
        <f aca="true">IF(_xlfn.IFNA(INDEX('⚙️ Assumptions'!$B$40:$F$40,MATCH(YEAR(AA3),'⚙️ Assumptions'!$B$38:$F$38,0)),1)&lt;&gt;1,AA11/INDEX('💰 Revenue'!$C$14:$BJ14,MATCH(AA3,'💰 Revenue'!$C$5:$BJ$5,0)),OFFSET(AA12,,-1))</f>
        <v>0.06</v>
      </c>
      <c r="AB12" s="61" t="n">
        <f aca="true">IF(_xlfn.IFNA(INDEX('⚙️ Assumptions'!$B$40:$F$40,MATCH(YEAR(AB3),'⚙️ Assumptions'!$B$38:$F$38,0)),1)&lt;&gt;1,AB11/INDEX('💰 Revenue'!$C$14:$BJ14,MATCH(AB3,'💰 Revenue'!$C$5:$BJ$5,0)),OFFSET(AB12,,-1))</f>
        <v>0.036</v>
      </c>
      <c r="AC12" s="61" t="n">
        <f aca="true">IF(_xlfn.IFNA(INDEX('⚙️ Assumptions'!$B$40:$F$40,MATCH(YEAR(AC3),'⚙️ Assumptions'!$B$38:$F$38,0)),1)&lt;&gt;1,AC11/INDEX('💰 Revenue'!$C$14:$BJ14,MATCH(AC3,'💰 Revenue'!$C$5:$BJ$5,0)),OFFSET(AC12,,-1))</f>
        <v>0.036</v>
      </c>
      <c r="AD12" s="61" t="n">
        <f aca="true">IF(_xlfn.IFNA(INDEX('⚙️ Assumptions'!$B$40:$F$40,MATCH(YEAR(AD3),'⚙️ Assumptions'!$B$38:$F$38,0)),1)&lt;&gt;1,AD11/INDEX('💰 Revenue'!$C$14:$BJ14,MATCH(AD3,'💰 Revenue'!$C$5:$BJ$5,0)),OFFSET(AD12,,-1))</f>
        <v>0.036</v>
      </c>
      <c r="AE12" s="61" t="n">
        <f aca="true">IF(_xlfn.IFNA(INDEX('⚙️ Assumptions'!$B$40:$F$40,MATCH(YEAR(AE3),'⚙️ Assumptions'!$B$38:$F$38,0)),1)&lt;&gt;1,AE11/INDEX('💰 Revenue'!$C$14:$BJ14,MATCH(AE3,'💰 Revenue'!$C$5:$BJ$5,0)),OFFSET(AE12,,-1))</f>
        <v>0.04</v>
      </c>
      <c r="AF12" s="61" t="n">
        <f aca="true">IF(_xlfn.IFNA(INDEX('⚙️ Assumptions'!$B$40:$F$40,MATCH(YEAR(AF3),'⚙️ Assumptions'!$B$38:$F$38,0)),1)&lt;&gt;1,AF11/INDEX('💰 Revenue'!$C$14:$BJ14,MATCH(AF3,'💰 Revenue'!$C$5:$BJ$5,0)),OFFSET(AF12,,-1))</f>
        <v>0.04</v>
      </c>
      <c r="AG12" s="61" t="n">
        <f aca="true">IF(_xlfn.IFNA(INDEX('⚙️ Assumptions'!$B$40:$F$40,MATCH(YEAR(AG3),'⚙️ Assumptions'!$B$38:$F$38,0)),1)&lt;&gt;1,AG11/INDEX('💰 Revenue'!$C$14:$BJ14,MATCH(AG3,'💰 Revenue'!$C$5:$BJ$5,0)),OFFSET(AG12,,-1))</f>
        <v>0.04</v>
      </c>
      <c r="AH12" s="61" t="n">
        <f aca="true">IF(_xlfn.IFNA(INDEX('⚙️ Assumptions'!$B$40:$F$40,MATCH(YEAR(AH3),'⚙️ Assumptions'!$B$38:$F$38,0)),1)&lt;&gt;1,AH11/INDEX('💰 Revenue'!$C$14:$BJ14,MATCH(AH3,'💰 Revenue'!$C$5:$BJ$5,0)),OFFSET(AH12,,-1))</f>
        <v>0.04</v>
      </c>
      <c r="AI12" s="61" t="n">
        <f aca="true">IF(_xlfn.IFNA(INDEX('⚙️ Assumptions'!$B$40:$F$40,MATCH(YEAR(AI3),'⚙️ Assumptions'!$B$38:$F$38,0)),1)&lt;&gt;1,AI11/INDEX('💰 Revenue'!$C$14:$BJ14,MATCH(AI3,'💰 Revenue'!$C$5:$BJ$5,0)),OFFSET(AI12,,-1))</f>
        <v>0.06</v>
      </c>
      <c r="AJ12" s="61" t="n">
        <f aca="true">IF(_xlfn.IFNA(INDEX('⚙️ Assumptions'!$B$40:$F$40,MATCH(YEAR(AJ3),'⚙️ Assumptions'!$B$38:$F$38,0)),1)&lt;&gt;1,AJ11/INDEX('💰 Revenue'!$C$14:$BJ14,MATCH(AJ3,'💰 Revenue'!$C$5:$BJ$5,0)),OFFSET(AJ12,,-1))</f>
        <v>0.06</v>
      </c>
      <c r="AK12" s="61" t="n">
        <f aca="true">IF(_xlfn.IFNA(INDEX('⚙️ Assumptions'!$B$40:$F$40,MATCH(YEAR(AK3),'⚙️ Assumptions'!$B$38:$F$38,0)),1)&lt;&gt;1,AK11/INDEX('💰 Revenue'!$C$14:$BJ14,MATCH(AK3,'💰 Revenue'!$C$5:$BJ$5,0)),OFFSET(AK12,,-1))</f>
        <v>0.06</v>
      </c>
      <c r="AL12" s="61" t="n">
        <f aca="true">IF(_xlfn.IFNA(INDEX('⚙️ Assumptions'!$B$40:$F$40,MATCH(YEAR(AL3),'⚙️ Assumptions'!$B$38:$F$38,0)),1)&lt;&gt;1,AL11/INDEX('💰 Revenue'!$C$14:$BJ14,MATCH(AL3,'💰 Revenue'!$C$5:$BJ$5,0)),OFFSET(AL12,,-1))</f>
        <v>0.06</v>
      </c>
      <c r="AM12" s="61" t="n">
        <f aca="true">IF(_xlfn.IFNA(INDEX('⚙️ Assumptions'!$B$40:$F$40,MATCH(YEAR(AM3),'⚙️ Assumptions'!$B$38:$F$38,0)),1)&lt;&gt;1,AM11/INDEX('💰 Revenue'!$C$14:$BJ14,MATCH(AM3,'💰 Revenue'!$C$5:$BJ$5,0)),OFFSET(AM12,,-1))</f>
        <v>0.06</v>
      </c>
      <c r="AN12" s="61" t="n">
        <f aca="true">IF(_xlfn.IFNA(INDEX('⚙️ Assumptions'!$B$40:$F$40,MATCH(YEAR(AN3),'⚙️ Assumptions'!$B$38:$F$38,0)),1)&lt;&gt;1,AN11/INDEX('💰 Revenue'!$C$14:$BJ14,MATCH(AN3,'💰 Revenue'!$C$5:$BJ$5,0)),OFFSET(AN12,,-1))</f>
        <v>0.036</v>
      </c>
      <c r="AO12" s="61" t="n">
        <f aca="true">IF(_xlfn.IFNA(INDEX('⚙️ Assumptions'!$B$40:$F$40,MATCH(YEAR(AO3),'⚙️ Assumptions'!$B$38:$F$38,0)),1)&lt;&gt;1,AO11/INDEX('💰 Revenue'!$C$14:$BJ14,MATCH(AO3,'💰 Revenue'!$C$5:$BJ$5,0)),OFFSET(AO12,,-1))</f>
        <v>0.036</v>
      </c>
      <c r="AP12" s="61" t="n">
        <f aca="true">IF(_xlfn.IFNA(INDEX('⚙️ Assumptions'!$B$40:$F$40,MATCH(YEAR(AP3),'⚙️ Assumptions'!$B$38:$F$38,0)),1)&lt;&gt;1,AP11/INDEX('💰 Revenue'!$C$14:$BJ14,MATCH(AP3,'💰 Revenue'!$C$5:$BJ$5,0)),OFFSET(AP12,,-1))</f>
        <v>0.036</v>
      </c>
      <c r="AQ12" s="61" t="n">
        <f aca="true">IF(_xlfn.IFNA(INDEX('⚙️ Assumptions'!$B$40:$F$40,MATCH(YEAR(AQ3),'⚙️ Assumptions'!$B$38:$F$38,0)),1)&lt;&gt;1,AQ11/INDEX('💰 Revenue'!$C$14:$BJ14,MATCH(AQ3,'💰 Revenue'!$C$5:$BJ$5,0)),OFFSET(AQ12,,-1))</f>
        <v>0.04</v>
      </c>
      <c r="AR12" s="61" t="n">
        <f aca="true">IF(_xlfn.IFNA(INDEX('⚙️ Assumptions'!$B$40:$F$40,MATCH(YEAR(AR3),'⚙️ Assumptions'!$B$38:$F$38,0)),1)&lt;&gt;1,AR11/INDEX('💰 Revenue'!$C$14:$BJ14,MATCH(AR3,'💰 Revenue'!$C$5:$BJ$5,0)),OFFSET(AR12,,-1))</f>
        <v>0.04</v>
      </c>
      <c r="AS12" s="61" t="n">
        <f aca="true">IF(_xlfn.IFNA(INDEX('⚙️ Assumptions'!$B$40:$F$40,MATCH(YEAR(AS3),'⚙️ Assumptions'!$B$38:$F$38,0)),1)&lt;&gt;1,AS11/INDEX('💰 Revenue'!$C$14:$BJ14,MATCH(AS3,'💰 Revenue'!$C$5:$BJ$5,0)),OFFSET(AS12,,-1))</f>
        <v>0.04</v>
      </c>
      <c r="AT12" s="61" t="n">
        <f aca="true">IF(_xlfn.IFNA(INDEX('⚙️ Assumptions'!$B$40:$F$40,MATCH(YEAR(AT3),'⚙️ Assumptions'!$B$38:$F$38,0)),1)&lt;&gt;1,AT11/INDEX('💰 Revenue'!$C$14:$BJ14,MATCH(AT3,'💰 Revenue'!$C$5:$BJ$5,0)),OFFSET(AT12,,-1))</f>
        <v>0.04</v>
      </c>
      <c r="AU12" s="61" t="n">
        <f aca="true">IF(_xlfn.IFNA(INDEX('⚙️ Assumptions'!$B$40:$F$40,MATCH(YEAR(AU3),'⚙️ Assumptions'!$B$38:$F$38,0)),1)&lt;&gt;1,AU11/INDEX('💰 Revenue'!$C$14:$BJ14,MATCH(AU3,'💰 Revenue'!$C$5:$BJ$5,0)),OFFSET(AU12,,-1))</f>
        <v>0.06</v>
      </c>
      <c r="AV12" s="61" t="n">
        <f aca="true">IF(_xlfn.IFNA(INDEX('⚙️ Assumptions'!$B$40:$F$40,MATCH(YEAR(AV3),'⚙️ Assumptions'!$B$38:$F$38,0)),1)&lt;&gt;1,AV11/INDEX('💰 Revenue'!$C$14:$BJ14,MATCH(AV3,'💰 Revenue'!$C$5:$BJ$5,0)),OFFSET(AV12,,-1))</f>
        <v>0.06</v>
      </c>
      <c r="AW12" s="61" t="n">
        <f aca="true">IF(_xlfn.IFNA(INDEX('⚙️ Assumptions'!$B$40:$F$40,MATCH(YEAR(AW3),'⚙️ Assumptions'!$B$38:$F$38,0)),1)&lt;&gt;1,AW11/INDEX('💰 Revenue'!$C$14:$BJ14,MATCH(AW3,'💰 Revenue'!$C$5:$BJ$5,0)),OFFSET(AW12,,-1))</f>
        <v>0.06</v>
      </c>
      <c r="AX12" s="61" t="n">
        <f aca="true">IF(_xlfn.IFNA(INDEX('⚙️ Assumptions'!$B$40:$F$40,MATCH(YEAR(AX3),'⚙️ Assumptions'!$B$38:$F$38,0)),1)&lt;&gt;1,AX11/INDEX('💰 Revenue'!$C$14:$BJ14,MATCH(AX3,'💰 Revenue'!$C$5:$BJ$5,0)),OFFSET(AX12,,-1))</f>
        <v>0.06</v>
      </c>
      <c r="AY12" s="61" t="n">
        <f aca="true">IF(_xlfn.IFNA(INDEX('⚙️ Assumptions'!$B$40:$F$40,MATCH(YEAR(AY3),'⚙️ Assumptions'!$B$38:$F$38,0)),1)&lt;&gt;1,AY11/INDEX('💰 Revenue'!$C$14:$BJ14,MATCH(AY3,'💰 Revenue'!$C$5:$BJ$5,0)),OFFSET(AY12,,-1))</f>
        <v>0.06</v>
      </c>
      <c r="AZ12" s="61" t="n">
        <f aca="true">IF(_xlfn.IFNA(INDEX('⚙️ Assumptions'!$B$40:$F$40,MATCH(YEAR(AZ3),'⚙️ Assumptions'!$B$38:$F$38,0)),1)&lt;&gt;1,AZ11/INDEX('💰 Revenue'!$C$14:$BJ14,MATCH(AZ3,'💰 Revenue'!$C$5:$BJ$5,0)),OFFSET(AZ12,,-1))</f>
        <v>0.036</v>
      </c>
      <c r="BA12" s="61" t="n">
        <f aca="true">IF(_xlfn.IFNA(INDEX('⚙️ Assumptions'!$B$40:$F$40,MATCH(YEAR(BA3),'⚙️ Assumptions'!$B$38:$F$38,0)),1)&lt;&gt;1,BA11/INDEX('💰 Revenue'!$C$14:$BJ14,MATCH(BA3,'💰 Revenue'!$C$5:$BJ$5,0)),OFFSET(BA12,,-1))</f>
        <v>0.036</v>
      </c>
      <c r="BB12" s="61" t="n">
        <f aca="true">IF(_xlfn.IFNA(INDEX('⚙️ Assumptions'!$B$40:$F$40,MATCH(YEAR(BB3),'⚙️ Assumptions'!$B$38:$F$38,0)),1)&lt;&gt;1,BB11/INDEX('💰 Revenue'!$C$14:$BJ14,MATCH(BB3,'💰 Revenue'!$C$5:$BJ$5,0)),OFFSET(BB12,,-1))</f>
        <v>0.036</v>
      </c>
      <c r="BC12" s="61" t="n">
        <f aca="true">IF(_xlfn.IFNA(INDEX('⚙️ Assumptions'!$B$40:$F$40,MATCH(YEAR(BC3),'⚙️ Assumptions'!$B$38:$F$38,0)),1)&lt;&gt;1,BC11/INDEX('💰 Revenue'!$C$14:$BJ14,MATCH(BC3,'💰 Revenue'!$C$5:$BJ$5,0)),OFFSET(BC12,,-1))</f>
        <v>0.036</v>
      </c>
      <c r="BD12" s="61" t="n">
        <f aca="true">IF(_xlfn.IFNA(INDEX('⚙️ Assumptions'!$B$40:$F$40,MATCH(YEAR(BD3),'⚙️ Assumptions'!$B$38:$F$38,0)),1)&lt;&gt;1,BD11/INDEX('💰 Revenue'!$C$14:$BJ14,MATCH(BD3,'💰 Revenue'!$C$5:$BJ$5,0)),OFFSET(BD12,,-1))</f>
        <v>0.036</v>
      </c>
      <c r="BE12" s="61" t="n">
        <f aca="true">IF(_xlfn.IFNA(INDEX('⚙️ Assumptions'!$B$40:$F$40,MATCH(YEAR(BE3),'⚙️ Assumptions'!$B$38:$F$38,0)),1)&lt;&gt;1,BE11/INDEX('💰 Revenue'!$C$14:$BJ14,MATCH(BE3,'💰 Revenue'!$C$5:$BJ$5,0)),OFFSET(BE12,,-1))</f>
        <v>0.036</v>
      </c>
      <c r="BF12" s="61" t="n">
        <f aca="true">IF(_xlfn.IFNA(INDEX('⚙️ Assumptions'!$B$40:$F$40,MATCH(YEAR(BF3),'⚙️ Assumptions'!$B$38:$F$38,0)),1)&lt;&gt;1,BF11/INDEX('💰 Revenue'!$C$14:$BJ14,MATCH(BF3,'💰 Revenue'!$C$5:$BJ$5,0)),OFFSET(BF12,,-1))</f>
        <v>0.036</v>
      </c>
      <c r="BG12" s="61" t="n">
        <f aca="true">IF(_xlfn.IFNA(INDEX('⚙️ Assumptions'!$B$40:$F$40,MATCH(YEAR(BG3),'⚙️ Assumptions'!$B$38:$F$38,0)),1)&lt;&gt;1,BG11/INDEX('💰 Revenue'!$C$14:$BJ14,MATCH(BG3,'💰 Revenue'!$C$5:$BJ$5,0)),OFFSET(BG12,,-1))</f>
        <v>0.036</v>
      </c>
      <c r="BH12" s="61" t="n">
        <f aca="true">IF(_xlfn.IFNA(INDEX('⚙️ Assumptions'!$B$40:$F$40,MATCH(YEAR(BH3),'⚙️ Assumptions'!$B$38:$F$38,0)),1)&lt;&gt;1,BH11/INDEX('💰 Revenue'!$C$14:$BJ14,MATCH(BH3,'💰 Revenue'!$C$5:$BJ$5,0)),OFFSET(BH12,,-1))</f>
        <v>0.036</v>
      </c>
      <c r="BI12" s="61" t="n">
        <f aca="true">IF(_xlfn.IFNA(INDEX('⚙️ Assumptions'!$B$40:$F$40,MATCH(YEAR(BI3),'⚙️ Assumptions'!$B$38:$F$38,0)),1)&lt;&gt;1,BI11/INDEX('💰 Revenue'!$C$14:$BJ14,MATCH(BI3,'💰 Revenue'!$C$5:$BJ$5,0)),OFFSET(BI12,,-1))</f>
        <v>0.036</v>
      </c>
      <c r="BJ12" s="61" t="n">
        <f aca="true">IF(_xlfn.IFNA(INDEX('⚙️ Assumptions'!$B$40:$F$40,MATCH(YEAR(BJ3),'⚙️ Assumptions'!$B$38:$F$38,0)),1)&lt;&gt;1,BJ11/INDEX('💰 Revenue'!$C$14:$BJ14,MATCH(BJ3,'💰 Revenue'!$C$5:$BJ$5,0)),OFFSET(BJ12,,-1))</f>
        <v>0.036</v>
      </c>
    </row>
    <row r="13" customFormat="false" ht="13.5" hidden="false" customHeight="true" outlineLevel="0" collapsed="false">
      <c r="A13" s="38" t="s">
        <v>264</v>
      </c>
      <c r="B13" s="60" t="n">
        <f aca="false">SUM(C13:AL13)</f>
        <v>188206031.25</v>
      </c>
      <c r="C13" s="64" t="n">
        <f aca="false">_xlfn.LET(
_xlpm.Water_percent,_xlfn.IFNA(INDEX('⚙️ Assumptions'!$B$41:$F$41,MATCH(YEAR(C3),'⚙️ Assumptions'!$B$38:$F$38,0)),OFFSET(C14,,-1)),
_xlpm.rev,INDEX('💰 Revenue'!$C$14:$BJ$14,MATCH(C3,'💰 Revenue'!$C$5:$BJ$5,0)),
_xlpm.Water_percent*_xlpm.rev)</f>
        <v>0</v>
      </c>
      <c r="D13" s="64" t="n">
        <f aca="false">_xlfn.LET(_xlpm.Water_percent,_xlfn.IFNA(INDEX('⚙️ Assumptions'!$B$41:$F$41,MATCH(YEAR(D3),'⚙️ Assumptions'!$B$38:$F$38,0)),OFFSET(D14,,-1)),_xlpm.rev,INDEX('💰 Revenue'!$C$14:$BJ$14,MATCH(D3,'💰 Revenue'!$C$5:$BJ$5,0)),_xlpm.Water_percent*_xlpm.rev)</f>
        <v>0</v>
      </c>
      <c r="E13" s="61" t="n">
        <f aca="false">_xlfn.LET(_xlpm.Water_percent,_xlfn.IFNA(INDEX('⚙️ Assumptions'!$B$41:$F$41,MATCH(YEAR(E3),'⚙️ Assumptions'!$B$38:$F$38,0)),OFFSET(E14,,-1)),_xlpm.rev,INDEX('💰 Revenue'!$C$14:$BJ$14,MATCH(E3,'💰 Revenue'!$C$5:$BJ$5,0)),_xlpm.Water_percent*_xlpm.rev)</f>
        <v>1883250</v>
      </c>
      <c r="F13" s="61" t="n">
        <f aca="false">_xlfn.LET(_xlpm.Water_percent,_xlfn.IFNA(INDEX('⚙️ Assumptions'!$B$41:$F$41,MATCH(YEAR(F3),'⚙️ Assumptions'!$B$38:$F$38,0)),OFFSET(F14,,-1)),_xlpm.rev,INDEX('💰 Revenue'!$C$14:$BJ$14,MATCH(F3,'💰 Revenue'!$C$5:$BJ$5,0)),_xlpm.Water_percent*_xlpm.rev)</f>
        <v>1883250</v>
      </c>
      <c r="G13" s="61" t="n">
        <f aca="false">_xlfn.LET(_xlpm.Water_percent,_xlfn.IFNA(INDEX('⚙️ Assumptions'!$B$41:$F$41,MATCH(YEAR(G3),'⚙️ Assumptions'!$B$38:$F$38,0)),OFFSET(G14,,-1)),_xlpm.rev,INDEX('💰 Revenue'!$C$14:$BJ$14,MATCH(G3,'💰 Revenue'!$C$5:$BJ$5,0)),_xlpm.Water_percent*_xlpm.rev)</f>
        <v>2079843.75</v>
      </c>
      <c r="H13" s="61" t="n">
        <f aca="false">_xlfn.LET(_xlpm.Water_percent,_xlfn.IFNA(INDEX('⚙️ Assumptions'!$B$41:$F$41,MATCH(YEAR(H3),'⚙️ Assumptions'!$B$38:$F$38,0)),OFFSET(H14,,-1)),_xlpm.rev,INDEX('💰 Revenue'!$C$14:$BJ$14,MATCH(H3,'💰 Revenue'!$C$5:$BJ$5,0)),_xlpm.Water_percent*_xlpm.rev)</f>
        <v>2484843.75</v>
      </c>
      <c r="I13" s="61" t="n">
        <f aca="false">_xlfn.LET(_xlpm.Water_percent,_xlfn.IFNA(INDEX('⚙️ Assumptions'!$B$41:$F$41,MATCH(YEAR(I3),'⚙️ Assumptions'!$B$38:$F$38,0)),OFFSET(I14,,-1)),_xlpm.rev,INDEX('💰 Revenue'!$C$14:$BJ$14,MATCH(I3,'💰 Revenue'!$C$5:$BJ$5,0)),_xlpm.Water_percent*_xlpm.rev)</f>
        <v>4366406.25</v>
      </c>
      <c r="J13" s="61" t="n">
        <f aca="false">_xlfn.LET(_xlpm.Water_percent,_xlfn.IFNA(INDEX('⚙️ Assumptions'!$B$41:$F$41,MATCH(YEAR(J3),'⚙️ Assumptions'!$B$38:$F$38,0)),OFFSET(J14,,-1)),_xlpm.rev,INDEX('💰 Revenue'!$C$14:$BJ$14,MATCH(J3,'💰 Revenue'!$C$5:$BJ$5,0)),_xlpm.Water_percent*_xlpm.rev)</f>
        <v>4119609.375</v>
      </c>
      <c r="K13" s="61" t="n">
        <f aca="false">_xlfn.LET(_xlpm.Water_percent,_xlfn.IFNA(INDEX('⚙️ Assumptions'!$B$41:$F$41,MATCH(YEAR(K3),'⚙️ Assumptions'!$B$38:$F$38,0)),OFFSET(K14,,-1)),_xlpm.rev,INDEX('💰 Revenue'!$C$14:$BJ$14,MATCH(K3,'💰 Revenue'!$C$5:$BJ$5,0)),_xlpm.Water_percent*_xlpm.rev)</f>
        <v>4860000</v>
      </c>
      <c r="L13" s="61" t="n">
        <f aca="false">_xlfn.LET(_xlpm.Water_percent,_xlfn.IFNA(INDEX('⚙️ Assumptions'!$B$41:$F$41,MATCH(YEAR(L3),'⚙️ Assumptions'!$B$38:$F$38,0)),OFFSET(L14,,-1)),_xlpm.rev,INDEX('💰 Revenue'!$C$14:$BJ$14,MATCH(L3,'💰 Revenue'!$C$5:$BJ$5,0)),_xlpm.Water_percent*_xlpm.rev)</f>
        <v>5414343.75</v>
      </c>
      <c r="M13" s="61" t="n">
        <f aca="false">_xlfn.LET(_xlpm.Water_percent,_xlfn.IFNA(INDEX('⚙️ Assumptions'!$B$41:$F$41,MATCH(YEAR(M3),'⚙️ Assumptions'!$B$38:$F$38,0)),OFFSET(M14,,-1)),_xlpm.rev,INDEX('💰 Revenue'!$C$14:$BJ$14,MATCH(M3,'💰 Revenue'!$C$5:$BJ$5,0)),_xlpm.Water_percent*_xlpm.rev)</f>
        <v>4708125</v>
      </c>
      <c r="N13" s="61" t="n">
        <f aca="false">_xlfn.LET(_xlpm.Water_percent,_xlfn.IFNA(INDEX('⚙️ Assumptions'!$B$41:$F$41,MATCH(YEAR(N3),'⚙️ Assumptions'!$B$38:$F$38,0)),OFFSET(N14,,-1)),_xlpm.rev,INDEX('💰 Revenue'!$C$14:$BJ$14,MATCH(N3,'💰 Revenue'!$C$5:$BJ$5,0)),_xlpm.Water_percent*_xlpm.rev)</f>
        <v>4568906.25</v>
      </c>
      <c r="O13" s="61" t="n">
        <f aca="false">_xlfn.LET(_xlpm.Water_percent,_xlfn.IFNA(INDEX('⚙️ Assumptions'!$B$41:$F$41,MATCH(YEAR(O3),'⚙️ Assumptions'!$B$38:$F$38,0)),OFFSET(O14,,-1)),_xlpm.rev,INDEX('💰 Revenue'!$C$14:$BJ$14,MATCH(O3,'💰 Revenue'!$C$5:$BJ$5,0)),_xlpm.Water_percent*_xlpm.rev)</f>
        <v>4721203.125</v>
      </c>
      <c r="P13" s="61" t="n">
        <f aca="false">_xlfn.LET(_xlpm.Water_percent,_xlfn.IFNA(INDEX('⚙️ Assumptions'!$B$41:$F$41,MATCH(YEAR(P3),'⚙️ Assumptions'!$B$38:$F$38,0)),OFFSET(P14,,-1)),_xlpm.rev,INDEX('💰 Revenue'!$C$14:$BJ$14,MATCH(P3,'💰 Revenue'!$C$5:$BJ$5,0)),_xlpm.Water_percent*_xlpm.rev)</f>
        <v>5315625</v>
      </c>
      <c r="Q13" s="61" t="n">
        <f aca="false">_xlfn.LET(_xlpm.Water_percent,_xlfn.IFNA(INDEX('⚙️ Assumptions'!$B$41:$F$41,MATCH(YEAR(Q3),'⚙️ Assumptions'!$B$38:$F$38,0)),OFFSET(Q14,,-1)),_xlpm.rev,INDEX('💰 Revenue'!$C$14:$BJ$14,MATCH(Q3,'💰 Revenue'!$C$5:$BJ$5,0)),_xlpm.Water_percent*_xlpm.rev)</f>
        <v>6277500</v>
      </c>
      <c r="R13" s="61" t="n">
        <f aca="false">_xlfn.LET(_xlpm.Water_percent,_xlfn.IFNA(INDEX('⚙️ Assumptions'!$B$41:$F$41,MATCH(YEAR(R3),'⚙️ Assumptions'!$B$38:$F$38,0)),OFFSET(R14,,-1)),_xlpm.rev,INDEX('💰 Revenue'!$C$14:$BJ$14,MATCH(R3,'💰 Revenue'!$C$5:$BJ$5,0)),_xlpm.Water_percent*_xlpm.rev)</f>
        <v>6277500</v>
      </c>
      <c r="S13" s="61" t="n">
        <f aca="false">_xlfn.LET(_xlpm.Water_percent,_xlfn.IFNA(INDEX('⚙️ Assumptions'!$B$41:$F$41,MATCH(YEAR(S3),'⚙️ Assumptions'!$B$38:$F$38,0)),OFFSET(S14,,-1)),_xlpm.rev,INDEX('💰 Revenue'!$C$14:$BJ$14,MATCH(S3,'💰 Revenue'!$C$5:$BJ$5,0)),_xlpm.Water_percent*_xlpm.rev)</f>
        <v>4819500</v>
      </c>
      <c r="T13" s="61" t="n">
        <f aca="false">_xlfn.LET(_xlpm.Water_percent,_xlfn.IFNA(INDEX('⚙️ Assumptions'!$B$41:$F$41,MATCH(YEAR(T3),'⚙️ Assumptions'!$B$38:$F$38,0)),OFFSET(T14,,-1)),_xlpm.rev,INDEX('💰 Revenue'!$C$14:$BJ$14,MATCH(T3,'💰 Revenue'!$C$5:$BJ$5,0)),_xlpm.Water_percent*_xlpm.rev)</f>
        <v>5963625</v>
      </c>
      <c r="U13" s="61" t="n">
        <f aca="false">_xlfn.LET(_xlpm.Water_percent,_xlfn.IFNA(INDEX('⚙️ Assumptions'!$B$41:$F$41,MATCH(YEAR(U3),'⚙️ Assumptions'!$B$38:$F$38,0)),OFFSET(U14,,-1)),_xlpm.rev,INDEX('💰 Revenue'!$C$14:$BJ$14,MATCH(U3,'💰 Revenue'!$C$5:$BJ$5,0)),_xlpm.Water_percent*_xlpm.rev)</f>
        <v>6986250</v>
      </c>
      <c r="V13" s="61" t="n">
        <f aca="false">_xlfn.LET(_xlpm.Water_percent,_xlfn.IFNA(INDEX('⚙️ Assumptions'!$B$41:$F$41,MATCH(YEAR(V3),'⚙️ Assumptions'!$B$38:$F$38,0)),OFFSET(V14,,-1)),_xlpm.rev,INDEX('💰 Revenue'!$C$14:$BJ$14,MATCH(V3,'💰 Revenue'!$C$5:$BJ$5,0)),_xlpm.Water_percent*_xlpm.rev)</f>
        <v>6591375</v>
      </c>
      <c r="W13" s="61" t="n">
        <f aca="false">_xlfn.LET(_xlpm.Water_percent,_xlfn.IFNA(INDEX('⚙️ Assumptions'!$B$41:$F$41,MATCH(YEAR(W3),'⚙️ Assumptions'!$B$38:$F$38,0)),OFFSET(W14,,-1)),_xlpm.rev,INDEX('💰 Revenue'!$C$14:$BJ$14,MATCH(W3,'💰 Revenue'!$C$5:$BJ$5,0)),_xlpm.Water_percent*_xlpm.rev)</f>
        <v>7290000</v>
      </c>
      <c r="X13" s="61" t="n">
        <f aca="false">_xlfn.LET(_xlpm.Water_percent,_xlfn.IFNA(INDEX('⚙️ Assumptions'!$B$41:$F$41,MATCH(YEAR(X3),'⚙️ Assumptions'!$B$38:$F$38,0)),OFFSET(X14,,-1)),_xlpm.rev,INDEX('💰 Revenue'!$C$14:$BJ$14,MATCH(X3,'💰 Revenue'!$C$5:$BJ$5,0)),_xlpm.Water_percent*_xlpm.rev)</f>
        <v>7219125</v>
      </c>
      <c r="Y13" s="61" t="n">
        <f aca="false">_xlfn.LET(_xlpm.Water_percent,_xlfn.IFNA(INDEX('⚙️ Assumptions'!$B$41:$F$41,MATCH(YEAR(Y3),'⚙️ Assumptions'!$B$38:$F$38,0)),OFFSET(Y14,,-1)),_xlpm.rev,INDEX('💰 Revenue'!$C$14:$BJ$14,MATCH(Y3,'💰 Revenue'!$C$5:$BJ$5,0)),_xlpm.Water_percent*_xlpm.rev)</f>
        <v>6277500</v>
      </c>
      <c r="Z13" s="61" t="n">
        <f aca="false">_xlfn.LET(_xlpm.Water_percent,_xlfn.IFNA(INDEX('⚙️ Assumptions'!$B$41:$F$41,MATCH(YEAR(Z3),'⚙️ Assumptions'!$B$38:$F$38,0)),OFFSET(Z14,,-1)),_xlpm.rev,INDEX('💰 Revenue'!$C$14:$BJ$14,MATCH(Z3,'💰 Revenue'!$C$5:$BJ$5,0)),_xlpm.Water_percent*_xlpm.rev)</f>
        <v>5771250</v>
      </c>
      <c r="AA13" s="61" t="n">
        <f aca="false">_xlfn.LET(_xlpm.Water_percent,_xlfn.IFNA(INDEX('⚙️ Assumptions'!$B$41:$F$41,MATCH(YEAR(AA3),'⚙️ Assumptions'!$B$38:$F$38,0)),OFFSET(AA14,,-1)),_xlpm.rev,INDEX('💰 Revenue'!$C$14:$BJ$14,MATCH(AA3,'💰 Revenue'!$C$5:$BJ$5,0)),_xlpm.Water_percent*_xlpm.rev)</f>
        <v>5963625</v>
      </c>
      <c r="AB13" s="61" t="n">
        <f aca="false">_xlfn.LET(_xlpm.Water_percent,_xlfn.IFNA(INDEX('⚙️ Assumptions'!$B$41:$F$41,MATCH(YEAR(AB3),'⚙️ Assumptions'!$B$38:$F$38,0)),OFFSET(AB14,,-1)),_xlpm.rev,INDEX('💰 Revenue'!$C$14:$BJ$14,MATCH(AB3,'💰 Revenue'!$C$5:$BJ$5,0)),_xlpm.Water_percent*_xlpm.rev)</f>
        <v>6378750</v>
      </c>
      <c r="AC13" s="61" t="n">
        <f aca="false">_xlfn.LET(_xlpm.Water_percent,_xlfn.IFNA(INDEX('⚙️ Assumptions'!$B$41:$F$41,MATCH(YEAR(AC3),'⚙️ Assumptions'!$B$38:$F$38,0)),OFFSET(AC14,,-1)),_xlpm.rev,INDEX('💰 Revenue'!$C$14:$BJ$14,MATCH(AC3,'💰 Revenue'!$C$5:$BJ$5,0)),_xlpm.Water_percent*_xlpm.rev)</f>
        <v>7533000</v>
      </c>
      <c r="AD13" s="61" t="n">
        <f aca="false">_xlfn.LET(_xlpm.Water_percent,_xlfn.IFNA(INDEX('⚙️ Assumptions'!$B$41:$F$41,MATCH(YEAR(AD3),'⚙️ Assumptions'!$B$38:$F$38,0)),OFFSET(AD14,,-1)),_xlpm.rev,INDEX('💰 Revenue'!$C$14:$BJ$14,MATCH(AD3,'💰 Revenue'!$C$5:$BJ$5,0)),_xlpm.Water_percent*_xlpm.rev)</f>
        <v>7533000</v>
      </c>
      <c r="AE13" s="61" t="n">
        <f aca="false">_xlfn.LET(_xlpm.Water_percent,_xlfn.IFNA(INDEX('⚙️ Assumptions'!$B$41:$F$41,MATCH(YEAR(AE3),'⚙️ Assumptions'!$B$38:$F$38,0)),OFFSET(AE14,,-1)),_xlpm.rev,INDEX('💰 Revenue'!$C$14:$BJ$14,MATCH(AE3,'💰 Revenue'!$C$5:$BJ$5,0)),_xlpm.Water_percent*_xlpm.rev)</f>
        <v>4819500</v>
      </c>
      <c r="AF13" s="61" t="n">
        <f aca="false">_xlfn.LET(_xlpm.Water_percent,_xlfn.IFNA(INDEX('⚙️ Assumptions'!$B$41:$F$41,MATCH(YEAR(AF3),'⚙️ Assumptions'!$B$38:$F$38,0)),OFFSET(AF14,,-1)),_xlpm.rev,INDEX('💰 Revenue'!$C$14:$BJ$14,MATCH(AF3,'💰 Revenue'!$C$5:$BJ$5,0)),_xlpm.Water_percent*_xlpm.rev)</f>
        <v>5963625</v>
      </c>
      <c r="AG13" s="61" t="n">
        <f aca="false">_xlfn.LET(_xlpm.Water_percent,_xlfn.IFNA(INDEX('⚙️ Assumptions'!$B$41:$F$41,MATCH(YEAR(AG3),'⚙️ Assumptions'!$B$38:$F$38,0)),OFFSET(AG14,,-1)),_xlpm.rev,INDEX('💰 Revenue'!$C$14:$BJ$14,MATCH(AG3,'💰 Revenue'!$C$5:$BJ$5,0)),_xlpm.Water_percent*_xlpm.rev)</f>
        <v>6986250</v>
      </c>
      <c r="AH13" s="61" t="n">
        <f aca="false">_xlfn.LET(_xlpm.Water_percent,_xlfn.IFNA(INDEX('⚙️ Assumptions'!$B$41:$F$41,MATCH(YEAR(AH3),'⚙️ Assumptions'!$B$38:$F$38,0)),OFFSET(AH14,,-1)),_xlpm.rev,INDEX('💰 Revenue'!$C$14:$BJ$14,MATCH(AH3,'💰 Revenue'!$C$5:$BJ$5,0)),_xlpm.Water_percent*_xlpm.rev)</f>
        <v>6591375</v>
      </c>
      <c r="AI13" s="61" t="n">
        <f aca="false">_xlfn.LET(_xlpm.Water_percent,_xlfn.IFNA(INDEX('⚙️ Assumptions'!$B$41:$F$41,MATCH(YEAR(AI3),'⚙️ Assumptions'!$B$38:$F$38,0)),OFFSET(AI14,,-1)),_xlpm.rev,INDEX('💰 Revenue'!$C$14:$BJ$14,MATCH(AI3,'💰 Revenue'!$C$5:$BJ$5,0)),_xlpm.Water_percent*_xlpm.rev)</f>
        <v>7290000</v>
      </c>
      <c r="AJ13" s="61" t="n">
        <f aca="false">_xlfn.LET(_xlpm.Water_percent,_xlfn.IFNA(INDEX('⚙️ Assumptions'!$B$41:$F$41,MATCH(YEAR(AJ3),'⚙️ Assumptions'!$B$38:$F$38,0)),OFFSET(AJ14,,-1)),_xlpm.rev,INDEX('💰 Revenue'!$C$14:$BJ$14,MATCH(AJ3,'💰 Revenue'!$C$5:$BJ$5,0)),_xlpm.Water_percent*_xlpm.rev)</f>
        <v>7219125</v>
      </c>
      <c r="AK13" s="61" t="n">
        <f aca="false">_xlfn.LET(_xlpm.Water_percent,_xlfn.IFNA(INDEX('⚙️ Assumptions'!$B$41:$F$41,MATCH(YEAR(AK3),'⚙️ Assumptions'!$B$38:$F$38,0)),OFFSET(AK14,,-1)),_xlpm.rev,INDEX('💰 Revenue'!$C$14:$BJ$14,MATCH(AK3,'💰 Revenue'!$C$5:$BJ$5,0)),_xlpm.Water_percent*_xlpm.rev)</f>
        <v>6277500</v>
      </c>
      <c r="AL13" s="61" t="n">
        <f aca="false">_xlfn.LET(_xlpm.Water_percent,_xlfn.IFNA(INDEX('⚙️ Assumptions'!$B$41:$F$41,MATCH(YEAR(AL3),'⚙️ Assumptions'!$B$38:$F$38,0)),OFFSET(AL14,,-1)),_xlpm.rev,INDEX('💰 Revenue'!$C$14:$BJ$14,MATCH(AL3,'💰 Revenue'!$C$5:$BJ$5,0)),_xlpm.Water_percent*_xlpm.rev)</f>
        <v>5771250</v>
      </c>
      <c r="AM13" s="61" t="n">
        <f aca="false">_xlfn.LET(_xlpm.Water_percent,_xlfn.IFNA(INDEX('⚙️ Assumptions'!$B$41:$F$41,MATCH(YEAR(AM3),'⚙️ Assumptions'!$B$38:$F$38,0)),OFFSET(AM14,,-1)),_xlpm.rev,INDEX('💰 Revenue'!$C$14:$BJ$14,MATCH(AM3,'💰 Revenue'!$C$5:$BJ$5,0)),_xlpm.Water_percent*_xlpm.rev)</f>
        <v>5963625</v>
      </c>
      <c r="AN13" s="61" t="n">
        <f aca="false">_xlfn.LET(_xlpm.Water_percent,_xlfn.IFNA(INDEX('⚙️ Assumptions'!$B$41:$F$41,MATCH(YEAR(AN3),'⚙️ Assumptions'!$B$38:$F$38,0)),OFFSET(AN14,,-1)),_xlpm.rev,INDEX('💰 Revenue'!$C$14:$BJ$14,MATCH(AN3,'💰 Revenue'!$C$5:$BJ$5,0)),_xlpm.Water_percent*_xlpm.rev)</f>
        <v>6378750</v>
      </c>
      <c r="AO13" s="61" t="n">
        <f aca="false">_xlfn.LET(_xlpm.Water_percent,_xlfn.IFNA(INDEX('⚙️ Assumptions'!$B$41:$F$41,MATCH(YEAR(AO3),'⚙️ Assumptions'!$B$38:$F$38,0)),OFFSET(AO14,,-1)),_xlpm.rev,INDEX('💰 Revenue'!$C$14:$BJ$14,MATCH(AO3,'💰 Revenue'!$C$5:$BJ$5,0)),_xlpm.Water_percent*_xlpm.rev)</f>
        <v>7533000</v>
      </c>
      <c r="AP13" s="61" t="n">
        <f aca="false">_xlfn.LET(_xlpm.Water_percent,_xlfn.IFNA(INDEX('⚙️ Assumptions'!$B$41:$F$41,MATCH(YEAR(AP3),'⚙️ Assumptions'!$B$38:$F$38,0)),OFFSET(AP14,,-1)),_xlpm.rev,INDEX('💰 Revenue'!$C$14:$BJ$14,MATCH(AP3,'💰 Revenue'!$C$5:$BJ$5,0)),_xlpm.Water_percent*_xlpm.rev)</f>
        <v>7533000</v>
      </c>
      <c r="AQ13" s="61" t="n">
        <f aca="false">_xlfn.LET(_xlpm.Water_percent,_xlfn.IFNA(INDEX('⚙️ Assumptions'!$B$41:$F$41,MATCH(YEAR(AQ3),'⚙️ Assumptions'!$B$38:$F$38,0)),OFFSET(AQ14,,-1)),_xlpm.rev,INDEX('💰 Revenue'!$C$14:$BJ$14,MATCH(AQ3,'💰 Revenue'!$C$5:$BJ$5,0)),_xlpm.Water_percent*_xlpm.rev)</f>
        <v>4819500</v>
      </c>
      <c r="AR13" s="61" t="n">
        <f aca="false">_xlfn.LET(_xlpm.Water_percent,_xlfn.IFNA(INDEX('⚙️ Assumptions'!$B$41:$F$41,MATCH(YEAR(AR3),'⚙️ Assumptions'!$B$38:$F$38,0)),OFFSET(AR14,,-1)),_xlpm.rev,INDEX('💰 Revenue'!$C$14:$BJ$14,MATCH(AR3,'💰 Revenue'!$C$5:$BJ$5,0)),_xlpm.Water_percent*_xlpm.rev)</f>
        <v>5963625</v>
      </c>
      <c r="AS13" s="61" t="n">
        <f aca="false">_xlfn.LET(_xlpm.Water_percent,_xlfn.IFNA(INDEX('⚙️ Assumptions'!$B$41:$F$41,MATCH(YEAR(AS3),'⚙️ Assumptions'!$B$38:$F$38,0)),OFFSET(AS14,,-1)),_xlpm.rev,INDEX('💰 Revenue'!$C$14:$BJ$14,MATCH(AS3,'💰 Revenue'!$C$5:$BJ$5,0)),_xlpm.Water_percent*_xlpm.rev)</f>
        <v>6986250</v>
      </c>
      <c r="AT13" s="61" t="n">
        <f aca="false">_xlfn.LET(_xlpm.Water_percent,_xlfn.IFNA(INDEX('⚙️ Assumptions'!$B$41:$F$41,MATCH(YEAR(AT3),'⚙️ Assumptions'!$B$38:$F$38,0)),OFFSET(AT14,,-1)),_xlpm.rev,INDEX('💰 Revenue'!$C$14:$BJ$14,MATCH(AT3,'💰 Revenue'!$C$5:$BJ$5,0)),_xlpm.Water_percent*_xlpm.rev)</f>
        <v>6591375</v>
      </c>
      <c r="AU13" s="61" t="n">
        <f aca="false">_xlfn.LET(_xlpm.Water_percent,_xlfn.IFNA(INDEX('⚙️ Assumptions'!$B$41:$F$41,MATCH(YEAR(AU3),'⚙️ Assumptions'!$B$38:$F$38,0)),OFFSET(AU14,,-1)),_xlpm.rev,INDEX('💰 Revenue'!$C$14:$BJ$14,MATCH(AU3,'💰 Revenue'!$C$5:$BJ$5,0)),_xlpm.Water_percent*_xlpm.rev)</f>
        <v>7290000</v>
      </c>
      <c r="AV13" s="61" t="n">
        <f aca="false">_xlfn.LET(_xlpm.Water_percent,_xlfn.IFNA(INDEX('⚙️ Assumptions'!$B$41:$F$41,MATCH(YEAR(AV3),'⚙️ Assumptions'!$B$38:$F$38,0)),OFFSET(AV14,,-1)),_xlpm.rev,INDEX('💰 Revenue'!$C$14:$BJ$14,MATCH(AV3,'💰 Revenue'!$C$5:$BJ$5,0)),_xlpm.Water_percent*_xlpm.rev)</f>
        <v>7219125</v>
      </c>
      <c r="AW13" s="61" t="n">
        <f aca="false">_xlfn.LET(_xlpm.Water_percent,_xlfn.IFNA(INDEX('⚙️ Assumptions'!$B$41:$F$41,MATCH(YEAR(AW3),'⚙️ Assumptions'!$B$38:$F$38,0)),OFFSET(AW14,,-1)),_xlpm.rev,INDEX('💰 Revenue'!$C$14:$BJ$14,MATCH(AW3,'💰 Revenue'!$C$5:$BJ$5,0)),_xlpm.Water_percent*_xlpm.rev)</f>
        <v>6277500</v>
      </c>
      <c r="AX13" s="61" t="n">
        <f aca="false">_xlfn.LET(_xlpm.Water_percent,_xlfn.IFNA(INDEX('⚙️ Assumptions'!$B$41:$F$41,MATCH(YEAR(AX3),'⚙️ Assumptions'!$B$38:$F$38,0)),OFFSET(AX14,,-1)),_xlpm.rev,INDEX('💰 Revenue'!$C$14:$BJ$14,MATCH(AX3,'💰 Revenue'!$C$5:$BJ$5,0)),_xlpm.Water_percent*_xlpm.rev)</f>
        <v>5771250</v>
      </c>
      <c r="AY13" s="61" t="n">
        <f aca="false">_xlfn.LET(_xlpm.Water_percent,_xlfn.IFNA(INDEX('⚙️ Assumptions'!$B$41:$F$41,MATCH(YEAR(AY3),'⚙️ Assumptions'!$B$38:$F$38,0)),OFFSET(AY14,,-1)),_xlpm.rev,INDEX('💰 Revenue'!$C$14:$BJ$14,MATCH(AY3,'💰 Revenue'!$C$5:$BJ$5,0)),_xlpm.Water_percent*_xlpm.rev)</f>
        <v>5963625</v>
      </c>
      <c r="AZ13" s="61" t="n">
        <f aca="false">_xlfn.LET(_xlpm.Water_percent,_xlfn.IFNA(INDEX('⚙️ Assumptions'!$B$41:$F$41,MATCH(YEAR(AZ3),'⚙️ Assumptions'!$B$38:$F$38,0)),OFFSET(AZ14,,-1)),_xlpm.rev,INDEX('💰 Revenue'!$C$14:$BJ$14,MATCH(AZ3,'💰 Revenue'!$C$5:$BJ$5,0)),_xlpm.Water_percent*_xlpm.rev)</f>
        <v>6378750</v>
      </c>
      <c r="BA13" s="61" t="n">
        <f aca="false">_xlfn.LET(_xlpm.Water_percent,_xlfn.IFNA(INDEX('⚙️ Assumptions'!$B$41:$F$41,MATCH(YEAR(BA3),'⚙️ Assumptions'!$B$38:$F$38,0)),OFFSET(BA14,,-1)),_xlpm.rev,INDEX('💰 Revenue'!$C$14:$BJ$14,MATCH(BA3,'💰 Revenue'!$C$5:$BJ$5,0)),_xlpm.Water_percent*_xlpm.rev)</f>
        <v>7533000</v>
      </c>
      <c r="BB13" s="61" t="n">
        <f aca="false">_xlfn.LET(_xlpm.Water_percent,_xlfn.IFNA(INDEX('⚙️ Assumptions'!$B$41:$F$41,MATCH(YEAR(BB3),'⚙️ Assumptions'!$B$38:$F$38,0)),OFFSET(BB14,,-1)),_xlpm.rev,INDEX('💰 Revenue'!$C$14:$BJ$14,MATCH(BB3,'💰 Revenue'!$C$5:$BJ$5,0)),_xlpm.Water_percent*_xlpm.rev)</f>
        <v>7533000</v>
      </c>
      <c r="BC13" s="61" t="n">
        <f aca="false">_xlfn.LET(_xlpm.Water_percent,_xlfn.IFNA(INDEX('⚙️ Assumptions'!$B$41:$F$41,MATCH(YEAR(BC3),'⚙️ Assumptions'!$B$38:$F$38,0)),OFFSET(BC14,,-1)),_xlpm.rev,INDEX('💰 Revenue'!$C$14:$BJ$14,MATCH(BC3,'💰 Revenue'!$C$5:$BJ$5,0)),_xlpm.Water_percent*_xlpm.rev)</f>
        <v>4991625</v>
      </c>
      <c r="BD13" s="61" t="n">
        <f aca="false">_xlfn.LET(_xlpm.Water_percent,_xlfn.IFNA(INDEX('⚙️ Assumptions'!$B$41:$F$41,MATCH(YEAR(BD3),'⚙️ Assumptions'!$B$38:$F$38,0)),OFFSET(BD14,,-1)),_xlpm.rev,INDEX('💰 Revenue'!$C$14:$BJ$14,MATCH(BD3,'💰 Revenue'!$C$5:$BJ$5,0)),_xlpm.Water_percent*_xlpm.rev)</f>
        <v>5963625</v>
      </c>
      <c r="BE13" s="61" t="n">
        <f aca="false">_xlfn.LET(_xlpm.Water_percent,_xlfn.IFNA(INDEX('⚙️ Assumptions'!$B$41:$F$41,MATCH(YEAR(BE3),'⚙️ Assumptions'!$B$38:$F$38,0)),OFFSET(BE14,,-1)),_xlpm.rev,INDEX('💰 Revenue'!$C$14:$BJ$14,MATCH(BE3,'💰 Revenue'!$C$5:$BJ$5,0)),_xlpm.Water_percent*_xlpm.rev)</f>
        <v>6986250</v>
      </c>
      <c r="BF13" s="61" t="n">
        <f aca="false">_xlfn.LET(_xlpm.Water_percent,_xlfn.IFNA(INDEX('⚙️ Assumptions'!$B$41:$F$41,MATCH(YEAR(BF3),'⚙️ Assumptions'!$B$38:$F$38,0)),OFFSET(BF14,,-1)),_xlpm.rev,INDEX('💰 Revenue'!$C$14:$BJ$14,MATCH(BF3,'💰 Revenue'!$C$5:$BJ$5,0)),_xlpm.Water_percent*_xlpm.rev)</f>
        <v>6591375</v>
      </c>
      <c r="BG13" s="61" t="n">
        <f aca="false">_xlfn.LET(_xlpm.Water_percent,_xlfn.IFNA(INDEX('⚙️ Assumptions'!$B$41:$F$41,MATCH(YEAR(BG3),'⚙️ Assumptions'!$B$38:$F$38,0)),OFFSET(BG14,,-1)),_xlpm.rev,INDEX('💰 Revenue'!$C$14:$BJ$14,MATCH(BG3,'💰 Revenue'!$C$5:$BJ$5,0)),_xlpm.Water_percent*_xlpm.rev)</f>
        <v>7290000</v>
      </c>
      <c r="BH13" s="61" t="n">
        <f aca="false">_xlfn.LET(_xlpm.Water_percent,_xlfn.IFNA(INDEX('⚙️ Assumptions'!$B$41:$F$41,MATCH(YEAR(BH3),'⚙️ Assumptions'!$B$38:$F$38,0)),OFFSET(BH14,,-1)),_xlpm.rev,INDEX('💰 Revenue'!$C$14:$BJ$14,MATCH(BH3,'💰 Revenue'!$C$5:$BJ$5,0)),_xlpm.Water_percent*_xlpm.rev)</f>
        <v>7219125</v>
      </c>
      <c r="BI13" s="61" t="n">
        <f aca="false">_xlfn.LET(_xlpm.Water_percent,_xlfn.IFNA(INDEX('⚙️ Assumptions'!$B$41:$F$41,MATCH(YEAR(BI3),'⚙️ Assumptions'!$B$38:$F$38,0)),OFFSET(BI14,,-1)),_xlpm.rev,INDEX('💰 Revenue'!$C$14:$BJ$14,MATCH(BI3,'💰 Revenue'!$C$5:$BJ$5,0)),_xlpm.Water_percent*_xlpm.rev)</f>
        <v>6277500</v>
      </c>
      <c r="BJ13" s="61" t="n">
        <f aca="false">_xlfn.LET(_xlpm.Water_percent,_xlfn.IFNA(INDEX('⚙️ Assumptions'!$B$41:$F$41,MATCH(YEAR(BJ3),'⚙️ Assumptions'!$B$38:$F$38,0)),OFFSET(BJ14,,-1)),_xlpm.rev,INDEX('💰 Revenue'!$C$14:$BJ$14,MATCH(BJ3,'💰 Revenue'!$C$5:$BJ$5,0)),_xlpm.Water_percent*_xlpm.rev)</f>
        <v>5771250</v>
      </c>
    </row>
    <row r="14" customFormat="false" ht="13.5" hidden="true" customHeight="true" outlineLevel="0" collapsed="false">
      <c r="A14" s="38" t="s">
        <v>265</v>
      </c>
      <c r="B14" s="60"/>
      <c r="C14" s="64" t="e">
        <f aca="true">IF(_xlfn.IFNA(INDEX('⚙️ Assumptions'!$B$40:$F$40,MATCH(YEAR(C3),'⚙️ Assumptions'!$B$38:$F$38,0)),1)&lt;&gt;1,C13/INDEX('💰 Revenue'!$C$14:$BJ14,MATCH(C3,'💰 Revenue'!$C$5:$BJ$5,0)),OFFSET(C14,,-1))</f>
        <v>#DIV/0!</v>
      </c>
      <c r="D14" s="64" t="e">
        <f aca="true">IF(_xlfn.IFNA(INDEX('⚙️ Assumptions'!$B$40:$F$40,MATCH(YEAR(D3),'⚙️ Assumptions'!$B$38:$F$38,0)),1)&lt;&gt;1,D13/INDEX('💰 Revenue'!$C$14:$BJ14,MATCH(D3,'💰 Revenue'!$C$5:$BJ$5,0)),OFFSET(D14,,-1))</f>
        <v>#DIV/0!</v>
      </c>
      <c r="E14" s="61" t="n">
        <f aca="true">IF(_xlfn.IFNA(INDEX('⚙️ Assumptions'!$B$40:$F$40,MATCH(YEAR(E3),'⚙️ Assumptions'!$B$38:$F$38,0)),1)&lt;&gt;1,E13/INDEX('💰 Revenue'!$C$14:$BJ14,MATCH(E3,'💰 Revenue'!$C$5:$BJ$5,0)),OFFSET(E14,,-1))</f>
        <v>0.015</v>
      </c>
      <c r="F14" s="61" t="n">
        <f aca="true">IF(_xlfn.IFNA(INDEX('⚙️ Assumptions'!$B$40:$F$40,MATCH(YEAR(F3),'⚙️ Assumptions'!$B$38:$F$38,0)),1)&lt;&gt;1,F13/INDEX('💰 Revenue'!$C$14:$BJ14,MATCH(F3,'💰 Revenue'!$C$5:$BJ$5,0)),OFFSET(F14,,-1))</f>
        <v>0.015</v>
      </c>
      <c r="G14" s="61" t="n">
        <f aca="true">IF(_xlfn.IFNA(INDEX('⚙️ Assumptions'!$B$40:$F$40,MATCH(YEAR(G3),'⚙️ Assumptions'!$B$38:$F$38,0)),1)&lt;&gt;1,G13/INDEX('💰 Revenue'!$C$14:$BJ14,MATCH(G3,'💰 Revenue'!$C$5:$BJ$5,0)),OFFSET(G14,,-1))</f>
        <v>0.015</v>
      </c>
      <c r="H14" s="61" t="n">
        <f aca="true">IF(_xlfn.IFNA(INDEX('⚙️ Assumptions'!$B$40:$F$40,MATCH(YEAR(H3),'⚙️ Assumptions'!$B$38:$F$38,0)),1)&lt;&gt;1,H13/INDEX('💰 Revenue'!$C$14:$BJ14,MATCH(H3,'💰 Revenue'!$C$5:$BJ$5,0)),OFFSET(H14,,-1))</f>
        <v>0.015</v>
      </c>
      <c r="I14" s="61" t="n">
        <f aca="true">IF(_xlfn.IFNA(INDEX('⚙️ Assumptions'!$B$40:$F$40,MATCH(YEAR(I3),'⚙️ Assumptions'!$B$38:$F$38,0)),1)&lt;&gt;1,I13/INDEX('💰 Revenue'!$C$14:$BJ14,MATCH(I3,'💰 Revenue'!$C$5:$BJ$5,0)),OFFSET(I14,,-1))</f>
        <v>0.015</v>
      </c>
      <c r="J14" s="61" t="n">
        <f aca="true">IF(_xlfn.IFNA(INDEX('⚙️ Assumptions'!$B$40:$F$40,MATCH(YEAR(J3),'⚙️ Assumptions'!$B$38:$F$38,0)),1)&lt;&gt;1,J13/INDEX('💰 Revenue'!$C$14:$BJ14,MATCH(J3,'💰 Revenue'!$C$5:$BJ$5,0)),OFFSET(J14,,-1))</f>
        <v>0.015</v>
      </c>
      <c r="K14" s="61" t="n">
        <f aca="true">IF(_xlfn.IFNA(INDEX('⚙️ Assumptions'!$B$40:$F$40,MATCH(YEAR(K3),'⚙️ Assumptions'!$B$38:$F$38,0)),1)&lt;&gt;1,K13/INDEX('💰 Revenue'!$C$14:$BJ14,MATCH(K3,'💰 Revenue'!$C$5:$BJ$5,0)),OFFSET(K14,,-1))</f>
        <v>0.015</v>
      </c>
      <c r="L14" s="61" t="n">
        <f aca="true">IF(_xlfn.IFNA(INDEX('⚙️ Assumptions'!$B$40:$F$40,MATCH(YEAR(L3),'⚙️ Assumptions'!$B$38:$F$38,0)),1)&lt;&gt;1,L13/INDEX('💰 Revenue'!$C$14:$BJ14,MATCH(L3,'💰 Revenue'!$C$5:$BJ$5,0)),OFFSET(L14,,-1))</f>
        <v>0.015</v>
      </c>
      <c r="M14" s="61" t="n">
        <f aca="true">IF(_xlfn.IFNA(INDEX('⚙️ Assumptions'!$B$40:$F$40,MATCH(YEAR(M3),'⚙️ Assumptions'!$B$38:$F$38,0)),1)&lt;&gt;1,M13/INDEX('💰 Revenue'!$C$14:$BJ14,MATCH(M3,'💰 Revenue'!$C$5:$BJ$5,0)),OFFSET(M14,,-1))</f>
        <v>0.015</v>
      </c>
      <c r="N14" s="61" t="n">
        <f aca="true">IF(_xlfn.IFNA(INDEX('⚙️ Assumptions'!$B$40:$F$40,MATCH(YEAR(N3),'⚙️ Assumptions'!$B$38:$F$38,0)),1)&lt;&gt;1,N13/INDEX('💰 Revenue'!$C$14:$BJ14,MATCH(N3,'💰 Revenue'!$C$5:$BJ$5,0)),OFFSET(N14,,-1))</f>
        <v>0.015</v>
      </c>
      <c r="O14" s="61" t="n">
        <f aca="true">IF(_xlfn.IFNA(INDEX('⚙️ Assumptions'!$B$40:$F$40,MATCH(YEAR(O3),'⚙️ Assumptions'!$B$38:$F$38,0)),1)&lt;&gt;1,O13/INDEX('💰 Revenue'!$C$14:$BJ14,MATCH(O3,'💰 Revenue'!$C$5:$BJ$5,0)),OFFSET(O14,,-1))</f>
        <v>0.015</v>
      </c>
      <c r="P14" s="61" t="n">
        <f aca="true">IF(_xlfn.IFNA(INDEX('⚙️ Assumptions'!$B$40:$F$40,MATCH(YEAR(P3),'⚙️ Assumptions'!$B$38:$F$38,0)),1)&lt;&gt;1,P13/INDEX('💰 Revenue'!$C$14:$BJ14,MATCH(P3,'💰 Revenue'!$C$5:$BJ$5,0)),OFFSET(P14,,-1))</f>
        <v>0.015</v>
      </c>
      <c r="Q14" s="61" t="n">
        <f aca="true">IF(_xlfn.IFNA(INDEX('⚙️ Assumptions'!$B$40:$F$40,MATCH(YEAR(Q3),'⚙️ Assumptions'!$B$38:$F$38,0)),1)&lt;&gt;1,Q13/INDEX('💰 Revenue'!$C$14:$BJ14,MATCH(Q3,'💰 Revenue'!$C$5:$BJ$5,0)),OFFSET(Q14,,-1))</f>
        <v>0.015</v>
      </c>
      <c r="R14" s="61" t="n">
        <f aca="true">IF(_xlfn.IFNA(INDEX('⚙️ Assumptions'!$B$40:$F$40,MATCH(YEAR(R3),'⚙️ Assumptions'!$B$38:$F$38,0)),1)&lt;&gt;1,R13/INDEX('💰 Revenue'!$C$14:$BJ14,MATCH(R3,'💰 Revenue'!$C$5:$BJ$5,0)),OFFSET(R14,,-1))</f>
        <v>0.015</v>
      </c>
      <c r="S14" s="61" t="n">
        <f aca="true">IF(_xlfn.IFNA(INDEX('⚙️ Assumptions'!$B$40:$F$40,MATCH(YEAR(S3),'⚙️ Assumptions'!$B$38:$F$38,0)),1)&lt;&gt;1,S13/INDEX('💰 Revenue'!$C$14:$BJ14,MATCH(S3,'💰 Revenue'!$C$5:$BJ$5,0)),OFFSET(S14,,-1))</f>
        <v>0.015</v>
      </c>
      <c r="T14" s="61" t="n">
        <f aca="true">IF(_xlfn.IFNA(INDEX('⚙️ Assumptions'!$B$40:$F$40,MATCH(YEAR(T3),'⚙️ Assumptions'!$B$38:$F$38,0)),1)&lt;&gt;1,T13/INDEX('💰 Revenue'!$C$14:$BJ14,MATCH(T3,'💰 Revenue'!$C$5:$BJ$5,0)),OFFSET(T14,,-1))</f>
        <v>0.015</v>
      </c>
      <c r="U14" s="61" t="n">
        <f aca="true">IF(_xlfn.IFNA(INDEX('⚙️ Assumptions'!$B$40:$F$40,MATCH(YEAR(U3),'⚙️ Assumptions'!$B$38:$F$38,0)),1)&lt;&gt;1,U13/INDEX('💰 Revenue'!$C$14:$BJ14,MATCH(U3,'💰 Revenue'!$C$5:$BJ$5,0)),OFFSET(U14,,-1))</f>
        <v>0.015</v>
      </c>
      <c r="V14" s="61" t="n">
        <f aca="true">IF(_xlfn.IFNA(INDEX('⚙️ Assumptions'!$B$40:$F$40,MATCH(YEAR(V3),'⚙️ Assumptions'!$B$38:$F$38,0)),1)&lt;&gt;1,V13/INDEX('💰 Revenue'!$C$14:$BJ14,MATCH(V3,'💰 Revenue'!$C$5:$BJ$5,0)),OFFSET(V14,,-1))</f>
        <v>0.015</v>
      </c>
      <c r="W14" s="61" t="n">
        <f aca="true">IF(_xlfn.IFNA(INDEX('⚙️ Assumptions'!$B$40:$F$40,MATCH(YEAR(W3),'⚙️ Assumptions'!$B$38:$F$38,0)),1)&lt;&gt;1,W13/INDEX('💰 Revenue'!$C$14:$BJ14,MATCH(W3,'💰 Revenue'!$C$5:$BJ$5,0)),OFFSET(W14,,-1))</f>
        <v>0.015</v>
      </c>
      <c r="X14" s="61" t="n">
        <f aca="true">IF(_xlfn.IFNA(INDEX('⚙️ Assumptions'!$B$40:$F$40,MATCH(YEAR(X3),'⚙️ Assumptions'!$B$38:$F$38,0)),1)&lt;&gt;1,X13/INDEX('💰 Revenue'!$C$14:$BJ14,MATCH(X3,'💰 Revenue'!$C$5:$BJ$5,0)),OFFSET(X14,,-1))</f>
        <v>0.015</v>
      </c>
      <c r="Y14" s="61" t="n">
        <f aca="true">IF(_xlfn.IFNA(INDEX('⚙️ Assumptions'!$B$40:$F$40,MATCH(YEAR(Y3),'⚙️ Assumptions'!$B$38:$F$38,0)),1)&lt;&gt;1,Y13/INDEX('💰 Revenue'!$C$14:$BJ14,MATCH(Y3,'💰 Revenue'!$C$5:$BJ$5,0)),OFFSET(Y14,,-1))</f>
        <v>0.015</v>
      </c>
      <c r="Z14" s="61" t="n">
        <f aca="true">IF(_xlfn.IFNA(INDEX('⚙️ Assumptions'!$B$40:$F$40,MATCH(YEAR(Z3),'⚙️ Assumptions'!$B$38:$F$38,0)),1)&lt;&gt;1,Z13/INDEX('💰 Revenue'!$C$14:$BJ14,MATCH(Z3,'💰 Revenue'!$C$5:$BJ$5,0)),OFFSET(Z14,,-1))</f>
        <v>0.015</v>
      </c>
      <c r="AA14" s="61" t="n">
        <f aca="true">IF(_xlfn.IFNA(INDEX('⚙️ Assumptions'!$B$40:$F$40,MATCH(YEAR(AA3),'⚙️ Assumptions'!$B$38:$F$38,0)),1)&lt;&gt;1,AA13/INDEX('💰 Revenue'!$C$14:$BJ14,MATCH(AA3,'💰 Revenue'!$C$5:$BJ$5,0)),OFFSET(AA14,,-1))</f>
        <v>0.015</v>
      </c>
      <c r="AB14" s="61" t="n">
        <f aca="true">IF(_xlfn.IFNA(INDEX('⚙️ Assumptions'!$B$40:$F$40,MATCH(YEAR(AB3),'⚙️ Assumptions'!$B$38:$F$38,0)),1)&lt;&gt;1,AB13/INDEX('💰 Revenue'!$C$14:$BJ14,MATCH(AB3,'💰 Revenue'!$C$5:$BJ$5,0)),OFFSET(AB14,,-1))</f>
        <v>0.015</v>
      </c>
      <c r="AC14" s="61" t="n">
        <f aca="true">IF(_xlfn.IFNA(INDEX('⚙️ Assumptions'!$B$40:$F$40,MATCH(YEAR(AC3),'⚙️ Assumptions'!$B$38:$F$38,0)),1)&lt;&gt;1,AC13/INDEX('💰 Revenue'!$C$14:$BJ14,MATCH(AC3,'💰 Revenue'!$C$5:$BJ$5,0)),OFFSET(AC14,,-1))</f>
        <v>0.015</v>
      </c>
      <c r="AD14" s="61" t="n">
        <f aca="true">IF(_xlfn.IFNA(INDEX('⚙️ Assumptions'!$B$40:$F$40,MATCH(YEAR(AD3),'⚙️ Assumptions'!$B$38:$F$38,0)),1)&lt;&gt;1,AD13/INDEX('💰 Revenue'!$C$14:$BJ14,MATCH(AD3,'💰 Revenue'!$C$5:$BJ$5,0)),OFFSET(AD14,,-1))</f>
        <v>0.015</v>
      </c>
      <c r="AE14" s="61" t="n">
        <f aca="true">IF(_xlfn.IFNA(INDEX('⚙️ Assumptions'!$B$40:$F$40,MATCH(YEAR(AE3),'⚙️ Assumptions'!$B$38:$F$38,0)),1)&lt;&gt;1,AE13/INDEX('💰 Revenue'!$C$14:$BJ14,MATCH(AE3,'💰 Revenue'!$C$5:$BJ$5,0)),OFFSET(AE14,,-1))</f>
        <v>0.015</v>
      </c>
      <c r="AF14" s="61" t="n">
        <f aca="true">IF(_xlfn.IFNA(INDEX('⚙️ Assumptions'!$B$40:$F$40,MATCH(YEAR(AF3),'⚙️ Assumptions'!$B$38:$F$38,0)),1)&lt;&gt;1,AF13/INDEX('💰 Revenue'!$C$14:$BJ14,MATCH(AF3,'💰 Revenue'!$C$5:$BJ$5,0)),OFFSET(AF14,,-1))</f>
        <v>0.015</v>
      </c>
      <c r="AG14" s="61" t="n">
        <f aca="true">IF(_xlfn.IFNA(INDEX('⚙️ Assumptions'!$B$40:$F$40,MATCH(YEAR(AG3),'⚙️ Assumptions'!$B$38:$F$38,0)),1)&lt;&gt;1,AG13/INDEX('💰 Revenue'!$C$14:$BJ14,MATCH(AG3,'💰 Revenue'!$C$5:$BJ$5,0)),OFFSET(AG14,,-1))</f>
        <v>0.015</v>
      </c>
      <c r="AH14" s="61" t="n">
        <f aca="true">IF(_xlfn.IFNA(INDEX('⚙️ Assumptions'!$B$40:$F$40,MATCH(YEAR(AH3),'⚙️ Assumptions'!$B$38:$F$38,0)),1)&lt;&gt;1,AH13/INDEX('💰 Revenue'!$C$14:$BJ14,MATCH(AH3,'💰 Revenue'!$C$5:$BJ$5,0)),OFFSET(AH14,,-1))</f>
        <v>0.015</v>
      </c>
      <c r="AI14" s="61" t="n">
        <f aca="true">IF(_xlfn.IFNA(INDEX('⚙️ Assumptions'!$B$40:$F$40,MATCH(YEAR(AI3),'⚙️ Assumptions'!$B$38:$F$38,0)),1)&lt;&gt;1,AI13/INDEX('💰 Revenue'!$C$14:$BJ14,MATCH(AI3,'💰 Revenue'!$C$5:$BJ$5,0)),OFFSET(AI14,,-1))</f>
        <v>0.015</v>
      </c>
      <c r="AJ14" s="61" t="n">
        <f aca="true">IF(_xlfn.IFNA(INDEX('⚙️ Assumptions'!$B$40:$F$40,MATCH(YEAR(AJ3),'⚙️ Assumptions'!$B$38:$F$38,0)),1)&lt;&gt;1,AJ13/INDEX('💰 Revenue'!$C$14:$BJ14,MATCH(AJ3,'💰 Revenue'!$C$5:$BJ$5,0)),OFFSET(AJ14,,-1))</f>
        <v>0.015</v>
      </c>
      <c r="AK14" s="61" t="n">
        <f aca="true">IF(_xlfn.IFNA(INDEX('⚙️ Assumptions'!$B$40:$F$40,MATCH(YEAR(AK3),'⚙️ Assumptions'!$B$38:$F$38,0)),1)&lt;&gt;1,AK13/INDEX('💰 Revenue'!$C$14:$BJ14,MATCH(AK3,'💰 Revenue'!$C$5:$BJ$5,0)),OFFSET(AK14,,-1))</f>
        <v>0.015</v>
      </c>
      <c r="AL14" s="61" t="n">
        <f aca="true">IF(_xlfn.IFNA(INDEX('⚙️ Assumptions'!$B$40:$F$40,MATCH(YEAR(AL3),'⚙️ Assumptions'!$B$38:$F$38,0)),1)&lt;&gt;1,AL13/INDEX('💰 Revenue'!$C$14:$BJ14,MATCH(AL3,'💰 Revenue'!$C$5:$BJ$5,0)),OFFSET(AL14,,-1))</f>
        <v>0.015</v>
      </c>
      <c r="AM14" s="61" t="n">
        <f aca="true">IF(_xlfn.IFNA(INDEX('⚙️ Assumptions'!$B$40:$F$40,MATCH(YEAR(AM3),'⚙️ Assumptions'!$B$38:$F$38,0)),1)&lt;&gt;1,AM13/INDEX('💰 Revenue'!$C$14:$BJ14,MATCH(AM3,'💰 Revenue'!$C$5:$BJ$5,0)),OFFSET(AM14,,-1))</f>
        <v>0.015</v>
      </c>
      <c r="AN14" s="61" t="n">
        <f aca="true">IF(_xlfn.IFNA(INDEX('⚙️ Assumptions'!$B$40:$F$40,MATCH(YEAR(AN3),'⚙️ Assumptions'!$B$38:$F$38,0)),1)&lt;&gt;1,AN13/INDEX('💰 Revenue'!$C$14:$BJ14,MATCH(AN3,'💰 Revenue'!$C$5:$BJ$5,0)),OFFSET(AN14,,-1))</f>
        <v>0.015</v>
      </c>
      <c r="AO14" s="61" t="n">
        <f aca="true">IF(_xlfn.IFNA(INDEX('⚙️ Assumptions'!$B$40:$F$40,MATCH(YEAR(AO3),'⚙️ Assumptions'!$B$38:$F$38,0)),1)&lt;&gt;1,AO13/INDEX('💰 Revenue'!$C$14:$BJ14,MATCH(AO3,'💰 Revenue'!$C$5:$BJ$5,0)),OFFSET(AO14,,-1))</f>
        <v>0.015</v>
      </c>
      <c r="AP14" s="61" t="n">
        <f aca="true">IF(_xlfn.IFNA(INDEX('⚙️ Assumptions'!$B$40:$F$40,MATCH(YEAR(AP3),'⚙️ Assumptions'!$B$38:$F$38,0)),1)&lt;&gt;1,AP13/INDEX('💰 Revenue'!$C$14:$BJ14,MATCH(AP3,'💰 Revenue'!$C$5:$BJ$5,0)),OFFSET(AP14,,-1))</f>
        <v>0.015</v>
      </c>
      <c r="AQ14" s="61" t="n">
        <f aca="true">IF(_xlfn.IFNA(INDEX('⚙️ Assumptions'!$B$40:$F$40,MATCH(YEAR(AQ3),'⚙️ Assumptions'!$B$38:$F$38,0)),1)&lt;&gt;1,AQ13/INDEX('💰 Revenue'!$C$14:$BJ14,MATCH(AQ3,'💰 Revenue'!$C$5:$BJ$5,0)),OFFSET(AQ14,,-1))</f>
        <v>0.015</v>
      </c>
      <c r="AR14" s="61" t="n">
        <f aca="true">IF(_xlfn.IFNA(INDEX('⚙️ Assumptions'!$B$40:$F$40,MATCH(YEAR(AR3),'⚙️ Assumptions'!$B$38:$F$38,0)),1)&lt;&gt;1,AR13/INDEX('💰 Revenue'!$C$14:$BJ14,MATCH(AR3,'💰 Revenue'!$C$5:$BJ$5,0)),OFFSET(AR14,,-1))</f>
        <v>0.015</v>
      </c>
      <c r="AS14" s="61" t="n">
        <f aca="true">IF(_xlfn.IFNA(INDEX('⚙️ Assumptions'!$B$40:$F$40,MATCH(YEAR(AS3),'⚙️ Assumptions'!$B$38:$F$38,0)),1)&lt;&gt;1,AS13/INDEX('💰 Revenue'!$C$14:$BJ14,MATCH(AS3,'💰 Revenue'!$C$5:$BJ$5,0)),OFFSET(AS14,,-1))</f>
        <v>0.015</v>
      </c>
      <c r="AT14" s="61" t="n">
        <f aca="true">IF(_xlfn.IFNA(INDEX('⚙️ Assumptions'!$B$40:$F$40,MATCH(YEAR(AT3),'⚙️ Assumptions'!$B$38:$F$38,0)),1)&lt;&gt;1,AT13/INDEX('💰 Revenue'!$C$14:$BJ14,MATCH(AT3,'💰 Revenue'!$C$5:$BJ$5,0)),OFFSET(AT14,,-1))</f>
        <v>0.015</v>
      </c>
      <c r="AU14" s="61" t="n">
        <f aca="true">IF(_xlfn.IFNA(INDEX('⚙️ Assumptions'!$B$40:$F$40,MATCH(YEAR(AU3),'⚙️ Assumptions'!$B$38:$F$38,0)),1)&lt;&gt;1,AU13/INDEX('💰 Revenue'!$C$14:$BJ14,MATCH(AU3,'💰 Revenue'!$C$5:$BJ$5,0)),OFFSET(AU14,,-1))</f>
        <v>0.015</v>
      </c>
      <c r="AV14" s="61" t="n">
        <f aca="true">IF(_xlfn.IFNA(INDEX('⚙️ Assumptions'!$B$40:$F$40,MATCH(YEAR(AV3),'⚙️ Assumptions'!$B$38:$F$38,0)),1)&lt;&gt;1,AV13/INDEX('💰 Revenue'!$C$14:$BJ14,MATCH(AV3,'💰 Revenue'!$C$5:$BJ$5,0)),OFFSET(AV14,,-1))</f>
        <v>0.015</v>
      </c>
      <c r="AW14" s="61" t="n">
        <f aca="true">IF(_xlfn.IFNA(INDEX('⚙️ Assumptions'!$B$40:$F$40,MATCH(YEAR(AW3),'⚙️ Assumptions'!$B$38:$F$38,0)),1)&lt;&gt;1,AW13/INDEX('💰 Revenue'!$C$14:$BJ14,MATCH(AW3,'💰 Revenue'!$C$5:$BJ$5,0)),OFFSET(AW14,,-1))</f>
        <v>0.015</v>
      </c>
      <c r="AX14" s="61" t="n">
        <f aca="true">IF(_xlfn.IFNA(INDEX('⚙️ Assumptions'!$B$40:$F$40,MATCH(YEAR(AX3),'⚙️ Assumptions'!$B$38:$F$38,0)),1)&lt;&gt;1,AX13/INDEX('💰 Revenue'!$C$14:$BJ14,MATCH(AX3,'💰 Revenue'!$C$5:$BJ$5,0)),OFFSET(AX14,,-1))</f>
        <v>0.015</v>
      </c>
      <c r="AY14" s="61" t="n">
        <f aca="true">IF(_xlfn.IFNA(INDEX('⚙️ Assumptions'!$B$40:$F$40,MATCH(YEAR(AY3),'⚙️ Assumptions'!$B$38:$F$38,0)),1)&lt;&gt;1,AY13/INDEX('💰 Revenue'!$C$14:$BJ14,MATCH(AY3,'💰 Revenue'!$C$5:$BJ$5,0)),OFFSET(AY14,,-1))</f>
        <v>0.015</v>
      </c>
      <c r="AZ14" s="61" t="n">
        <f aca="true">IF(_xlfn.IFNA(INDEX('⚙️ Assumptions'!$B$40:$F$40,MATCH(YEAR(AZ3),'⚙️ Assumptions'!$B$38:$F$38,0)),1)&lt;&gt;1,AZ13/INDEX('💰 Revenue'!$C$14:$BJ14,MATCH(AZ3,'💰 Revenue'!$C$5:$BJ$5,0)),OFFSET(AZ14,,-1))</f>
        <v>0.015</v>
      </c>
      <c r="BA14" s="61" t="n">
        <f aca="true">IF(_xlfn.IFNA(INDEX('⚙️ Assumptions'!$B$40:$F$40,MATCH(YEAR(BA3),'⚙️ Assumptions'!$B$38:$F$38,0)),1)&lt;&gt;1,BA13/INDEX('💰 Revenue'!$C$14:$BJ14,MATCH(BA3,'💰 Revenue'!$C$5:$BJ$5,0)),OFFSET(BA14,,-1))</f>
        <v>0.015</v>
      </c>
      <c r="BB14" s="61" t="n">
        <f aca="true">IF(_xlfn.IFNA(INDEX('⚙️ Assumptions'!$B$40:$F$40,MATCH(YEAR(BB3),'⚙️ Assumptions'!$B$38:$F$38,0)),1)&lt;&gt;1,BB13/INDEX('💰 Revenue'!$C$14:$BJ14,MATCH(BB3,'💰 Revenue'!$C$5:$BJ$5,0)),OFFSET(BB14,,-1))</f>
        <v>0.015</v>
      </c>
      <c r="BC14" s="61" t="n">
        <f aca="true">IF(_xlfn.IFNA(INDEX('⚙️ Assumptions'!$B$40:$F$40,MATCH(YEAR(BC3),'⚙️ Assumptions'!$B$38:$F$38,0)),1)&lt;&gt;1,BC13/INDEX('💰 Revenue'!$C$14:$BJ14,MATCH(BC3,'💰 Revenue'!$C$5:$BJ$5,0)),OFFSET(BC14,,-1))</f>
        <v>0.015</v>
      </c>
      <c r="BD14" s="61" t="n">
        <f aca="true">IF(_xlfn.IFNA(INDEX('⚙️ Assumptions'!$B$40:$F$40,MATCH(YEAR(BD3),'⚙️ Assumptions'!$B$38:$F$38,0)),1)&lt;&gt;1,BD13/INDEX('💰 Revenue'!$C$14:$BJ14,MATCH(BD3,'💰 Revenue'!$C$5:$BJ$5,0)),OFFSET(BD14,,-1))</f>
        <v>0.015</v>
      </c>
      <c r="BE14" s="61" t="n">
        <f aca="true">IF(_xlfn.IFNA(INDEX('⚙️ Assumptions'!$B$40:$F$40,MATCH(YEAR(BE3),'⚙️ Assumptions'!$B$38:$F$38,0)),1)&lt;&gt;1,BE13/INDEX('💰 Revenue'!$C$14:$BJ14,MATCH(BE3,'💰 Revenue'!$C$5:$BJ$5,0)),OFFSET(BE14,,-1))</f>
        <v>0.015</v>
      </c>
      <c r="BF14" s="61" t="n">
        <f aca="true">IF(_xlfn.IFNA(INDEX('⚙️ Assumptions'!$B$40:$F$40,MATCH(YEAR(BF3),'⚙️ Assumptions'!$B$38:$F$38,0)),1)&lt;&gt;1,BF13/INDEX('💰 Revenue'!$C$14:$BJ14,MATCH(BF3,'💰 Revenue'!$C$5:$BJ$5,0)),OFFSET(BF14,,-1))</f>
        <v>0.015</v>
      </c>
      <c r="BG14" s="61" t="n">
        <f aca="true">IF(_xlfn.IFNA(INDEX('⚙️ Assumptions'!$B$40:$F$40,MATCH(YEAR(BG3),'⚙️ Assumptions'!$B$38:$F$38,0)),1)&lt;&gt;1,BG13/INDEX('💰 Revenue'!$C$14:$BJ14,MATCH(BG3,'💰 Revenue'!$C$5:$BJ$5,0)),OFFSET(BG14,,-1))</f>
        <v>0.015</v>
      </c>
      <c r="BH14" s="61" t="n">
        <f aca="true">IF(_xlfn.IFNA(INDEX('⚙️ Assumptions'!$B$40:$F$40,MATCH(YEAR(BH3),'⚙️ Assumptions'!$B$38:$F$38,0)),1)&lt;&gt;1,BH13/INDEX('💰 Revenue'!$C$14:$BJ14,MATCH(BH3,'💰 Revenue'!$C$5:$BJ$5,0)),OFFSET(BH14,,-1))</f>
        <v>0.015</v>
      </c>
      <c r="BI14" s="61" t="n">
        <f aca="true">IF(_xlfn.IFNA(INDEX('⚙️ Assumptions'!$B$40:$F$40,MATCH(YEAR(BI3),'⚙️ Assumptions'!$B$38:$F$38,0)),1)&lt;&gt;1,BI13/INDEX('💰 Revenue'!$C$14:$BJ14,MATCH(BI3,'💰 Revenue'!$C$5:$BJ$5,0)),OFFSET(BI14,,-1))</f>
        <v>0.015</v>
      </c>
      <c r="BJ14" s="61" t="n">
        <f aca="true">IF(_xlfn.IFNA(INDEX('⚙️ Assumptions'!$B$40:$F$40,MATCH(YEAR(BJ3),'⚙️ Assumptions'!$B$38:$F$38,0)),1)&lt;&gt;1,BJ13/INDEX('💰 Revenue'!$C$14:$BJ14,MATCH(BJ3,'💰 Revenue'!$C$5:$BJ$5,0)),OFFSET(BJ14,,-1))</f>
        <v>0.015</v>
      </c>
    </row>
    <row r="15" customFormat="false" ht="13.5" hidden="false" customHeight="true" outlineLevel="0" collapsed="false">
      <c r="A15" s="37" t="s">
        <v>266</v>
      </c>
      <c r="B15" s="68" t="n">
        <f aca="false">SUM(C15:AL15)</f>
        <v>306168187.5</v>
      </c>
      <c r="C15" s="64" t="n">
        <f aca="false">_xlfn.LET(
_xlpm.Maintainance_ratio,_xlfn.IFNA(INDEX('⚙️ Assumptions'!$B$42:$F$42,MATCH(YEAR(C3),'⚙️ Assumptions'!$B$38:F$38,0)),OFFSET(C16,,-1)),
_xlpm.rev,INDEX('💰 Revenue'!$C$14:$BJ$14,MATCH(C3,'💰 Revenue'!$C$5:$BJ$5,0)),
_xlpm.Maintainance_ratio*_xlpm.rev)</f>
        <v>0</v>
      </c>
      <c r="D15" s="64" t="n">
        <f aca="false">_xlfn.LET(_xlpm.Maintainance_ratio,_xlfn.IFNA(INDEX('⚙️ Assumptions'!$B$42:$F$42,MATCH(YEAR(D3),'⚙️ Assumptions'!$B$38:G$38,0)),OFFSET(D16,,-1)),_xlpm.rev,INDEX('💰 Revenue'!$C$14:$BJ$14,MATCH(D3,'💰 Revenue'!$C$5:$BJ$5,0)),_xlpm.Maintainance_ratio*_xlpm.rev)</f>
        <v>0</v>
      </c>
      <c r="E15" s="61" t="n">
        <f aca="false">_xlfn.LET(_xlpm.Maintainance_ratio,_xlfn.IFNA(INDEX('⚙️ Assumptions'!$B$42:$F$42,MATCH(YEAR(E3),'⚙️ Assumptions'!$B$38:H$38,0)),OFFSET(E16,,-1)),_xlpm.rev,INDEX('💰 Revenue'!$C$14:$BJ$14,MATCH(E3,'💰 Revenue'!$C$5:$BJ$5,0)),_xlpm.Maintainance_ratio*_xlpm.rev)</f>
        <v>1255500</v>
      </c>
      <c r="F15" s="61" t="n">
        <f aca="false">_xlfn.LET(_xlpm.Maintainance_ratio,_xlfn.IFNA(INDEX('⚙️ Assumptions'!$B$42:$F$42,MATCH(YEAR(F3),'⚙️ Assumptions'!$B$38:I$38,0)),OFFSET(F16,,-1)),_xlpm.rev,INDEX('💰 Revenue'!$C$14:$BJ$14,MATCH(F3,'💰 Revenue'!$C$5:$BJ$5,0)),_xlpm.Maintainance_ratio*_xlpm.rev)</f>
        <v>1255500</v>
      </c>
      <c r="G15" s="61" t="n">
        <f aca="false">_xlfn.LET(_xlpm.Maintainance_ratio,_xlfn.IFNA(INDEX('⚙️ Assumptions'!$B$42:$F$42,MATCH(YEAR(G3),'⚙️ Assumptions'!$B$38:J$38,0)),OFFSET(G16,,-1)),_xlpm.rev,INDEX('💰 Revenue'!$C$14:$BJ$14,MATCH(G3,'💰 Revenue'!$C$5:$BJ$5,0)),_xlpm.Maintainance_ratio*_xlpm.rev)</f>
        <v>1386562.5</v>
      </c>
      <c r="H15" s="61" t="n">
        <f aca="false">_xlfn.LET(_xlpm.Maintainance_ratio,_xlfn.IFNA(INDEX('⚙️ Assumptions'!$B$42:$F$42,MATCH(YEAR(H3),'⚙️ Assumptions'!$B$38:K$38,0)),OFFSET(H16,,-1)),_xlpm.rev,INDEX('💰 Revenue'!$C$14:$BJ$14,MATCH(H3,'💰 Revenue'!$C$5:$BJ$5,0)),_xlpm.Maintainance_ratio*_xlpm.rev)</f>
        <v>1656562.5</v>
      </c>
      <c r="I15" s="61" t="n">
        <f aca="false">_xlfn.LET(_xlpm.Maintainance_ratio,_xlfn.IFNA(INDEX('⚙️ Assumptions'!$B$42:$F$42,MATCH(YEAR(I3),'⚙️ Assumptions'!$B$38:L$38,0)),OFFSET(I16,,-1)),_xlpm.rev,INDEX('💰 Revenue'!$C$14:$BJ$14,MATCH(I3,'💰 Revenue'!$C$5:$BJ$5,0)),_xlpm.Maintainance_ratio*_xlpm.rev)</f>
        <v>2910937.5</v>
      </c>
      <c r="J15" s="61" t="n">
        <f aca="false">_xlfn.LET(_xlpm.Maintainance_ratio,_xlfn.IFNA(INDEX('⚙️ Assumptions'!$B$42:$F$42,MATCH(YEAR(J3),'⚙️ Assumptions'!$B$38:M$38,0)),OFFSET(J16,,-1)),_xlpm.rev,INDEX('💰 Revenue'!$C$14:$BJ$14,MATCH(J3,'💰 Revenue'!$C$5:$BJ$5,0)),_xlpm.Maintainance_ratio*_xlpm.rev)</f>
        <v>2746406.25</v>
      </c>
      <c r="K15" s="61" t="n">
        <f aca="false">_xlfn.LET(_xlpm.Maintainance_ratio,_xlfn.IFNA(INDEX('⚙️ Assumptions'!$B$42:$F$42,MATCH(YEAR(K3),'⚙️ Assumptions'!$B$38:N$38,0)),OFFSET(K16,,-1)),_xlpm.rev,INDEX('💰 Revenue'!$C$14:$BJ$14,MATCH(K3,'💰 Revenue'!$C$5:$BJ$5,0)),_xlpm.Maintainance_ratio*_xlpm.rev)</f>
        <v>3240000</v>
      </c>
      <c r="L15" s="61" t="n">
        <f aca="false">_xlfn.LET(_xlpm.Maintainance_ratio,_xlfn.IFNA(INDEX('⚙️ Assumptions'!$B$42:$F$42,MATCH(YEAR(L3),'⚙️ Assumptions'!$B$38:O$38,0)),OFFSET(L16,,-1)),_xlpm.rev,INDEX('💰 Revenue'!$C$14:$BJ$14,MATCH(L3,'💰 Revenue'!$C$5:$BJ$5,0)),_xlpm.Maintainance_ratio*_xlpm.rev)</f>
        <v>3609562.5</v>
      </c>
      <c r="M15" s="61" t="n">
        <f aca="false">_xlfn.LET(_xlpm.Maintainance_ratio,_xlfn.IFNA(INDEX('⚙️ Assumptions'!$B$42:$F$42,MATCH(YEAR(M3),'⚙️ Assumptions'!$B$38:P$38,0)),OFFSET(M16,,-1)),_xlpm.rev,INDEX('💰 Revenue'!$C$14:$BJ$14,MATCH(M3,'💰 Revenue'!$C$5:$BJ$5,0)),_xlpm.Maintainance_ratio*_xlpm.rev)</f>
        <v>3138750</v>
      </c>
      <c r="N15" s="61" t="n">
        <f aca="false">_xlfn.LET(_xlpm.Maintainance_ratio,_xlfn.IFNA(INDEX('⚙️ Assumptions'!$B$42:$F$42,MATCH(YEAR(N3),'⚙️ Assumptions'!$B$38:Q$38,0)),OFFSET(N16,,-1)),_xlpm.rev,INDEX('💰 Revenue'!$C$14:$BJ$14,MATCH(N3,'💰 Revenue'!$C$5:$BJ$5,0)),_xlpm.Maintainance_ratio*_xlpm.rev)</f>
        <v>3045937.5</v>
      </c>
      <c r="O15" s="61" t="n">
        <f aca="false">_xlfn.LET(_xlpm.Maintainance_ratio,_xlfn.IFNA(INDEX('⚙️ Assumptions'!$B$42:$F$42,MATCH(YEAR(O3),'⚙️ Assumptions'!$B$38:R$38,0)),OFFSET(O16,,-1)),_xlpm.rev,INDEX('💰 Revenue'!$C$14:$BJ$14,MATCH(O3,'💰 Revenue'!$C$5:$BJ$5,0)),_xlpm.Maintainance_ratio*_xlpm.rev)</f>
        <v>3147468.75</v>
      </c>
      <c r="P15" s="61" t="n">
        <f aca="false">_xlfn.LET(_xlpm.Maintainance_ratio,_xlfn.IFNA(INDEX('⚙️ Assumptions'!$B$42:$F$42,MATCH(YEAR(P3),'⚙️ Assumptions'!$B$38:S$38,0)),OFFSET(P16,,-1)),_xlpm.rev,INDEX('💰 Revenue'!$C$14:$BJ$14,MATCH(P3,'💰 Revenue'!$C$5:$BJ$5,0)),_xlpm.Maintainance_ratio*_xlpm.rev)</f>
        <v>3543750</v>
      </c>
      <c r="Q15" s="61" t="n">
        <f aca="false">_xlfn.LET(_xlpm.Maintainance_ratio,_xlfn.IFNA(INDEX('⚙️ Assumptions'!$B$42:$F$42,MATCH(YEAR(Q3),'⚙️ Assumptions'!$B$38:T$38,0)),OFFSET(Q16,,-1)),_xlpm.rev,INDEX('💰 Revenue'!$C$14:$BJ$14,MATCH(Q3,'💰 Revenue'!$C$5:$BJ$5,0)),_xlpm.Maintainance_ratio*_xlpm.rev)</f>
        <v>4185000</v>
      </c>
      <c r="R15" s="61" t="n">
        <f aca="false">_xlfn.LET(_xlpm.Maintainance_ratio,_xlfn.IFNA(INDEX('⚙️ Assumptions'!$B$42:$F$42,MATCH(YEAR(R3),'⚙️ Assumptions'!$B$38:U$38,0)),OFFSET(R16,,-1)),_xlpm.rev,INDEX('💰 Revenue'!$C$14:$BJ$14,MATCH(R3,'💰 Revenue'!$C$5:$BJ$5,0)),_xlpm.Maintainance_ratio*_xlpm.rev)</f>
        <v>12555000</v>
      </c>
      <c r="S15" s="61" t="n">
        <f aca="false">_xlfn.LET(_xlpm.Maintainance_ratio,_xlfn.IFNA(INDEX('⚙️ Assumptions'!$B$42:$F$42,MATCH(YEAR(S3),'⚙️ Assumptions'!$B$38:V$38,0)),OFFSET(S16,,-1)),_xlpm.rev,INDEX('💰 Revenue'!$C$14:$BJ$14,MATCH(S3,'💰 Revenue'!$C$5:$BJ$5,0)),_xlpm.Maintainance_ratio*_xlpm.rev)</f>
        <v>9639000</v>
      </c>
      <c r="T15" s="61" t="n">
        <f aca="false">_xlfn.LET(_xlpm.Maintainance_ratio,_xlfn.IFNA(INDEX('⚙️ Assumptions'!$B$42:$F$42,MATCH(YEAR(T3),'⚙️ Assumptions'!$B$38:W$38,0)),OFFSET(T16,,-1)),_xlpm.rev,INDEX('💰 Revenue'!$C$14:$BJ$14,MATCH(T3,'💰 Revenue'!$C$5:$BJ$5,0)),_xlpm.Maintainance_ratio*_xlpm.rev)</f>
        <v>11927250</v>
      </c>
      <c r="U15" s="61" t="n">
        <f aca="false">_xlfn.LET(_xlpm.Maintainance_ratio,_xlfn.IFNA(INDEX('⚙️ Assumptions'!$B$42:$F$42,MATCH(YEAR(U3),'⚙️ Assumptions'!$B$38:X$38,0)),OFFSET(U16,,-1)),_xlpm.rev,INDEX('💰 Revenue'!$C$14:$BJ$14,MATCH(U3,'💰 Revenue'!$C$5:$BJ$5,0)),_xlpm.Maintainance_ratio*_xlpm.rev)</f>
        <v>13972500</v>
      </c>
      <c r="V15" s="61" t="n">
        <f aca="false">_xlfn.LET(_xlpm.Maintainance_ratio,_xlfn.IFNA(INDEX('⚙️ Assumptions'!$B$42:$F$42,MATCH(YEAR(V3),'⚙️ Assumptions'!$B$38:Y$38,0)),OFFSET(V16,,-1)),_xlpm.rev,INDEX('💰 Revenue'!$C$14:$BJ$14,MATCH(V3,'💰 Revenue'!$C$5:$BJ$5,0)),_xlpm.Maintainance_ratio*_xlpm.rev)</f>
        <v>13182750</v>
      </c>
      <c r="W15" s="61" t="n">
        <f aca="false">_xlfn.LET(_xlpm.Maintainance_ratio,_xlfn.IFNA(INDEX('⚙️ Assumptions'!$B$42:$F$42,MATCH(YEAR(W3),'⚙️ Assumptions'!$B$38:Z$38,0)),OFFSET(W16,,-1)),_xlpm.rev,INDEX('💰 Revenue'!$C$14:$BJ$14,MATCH(W3,'💰 Revenue'!$C$5:$BJ$5,0)),_xlpm.Maintainance_ratio*_xlpm.rev)</f>
        <v>14580000</v>
      </c>
      <c r="X15" s="61" t="n">
        <f aca="false">_xlfn.LET(_xlpm.Maintainance_ratio,_xlfn.IFNA(INDEX('⚙️ Assumptions'!$B$42:$F$42,MATCH(YEAR(X3),'⚙️ Assumptions'!$B$38:AA$38,0)),OFFSET(X16,,-1)),_xlpm.rev,INDEX('💰 Revenue'!$C$14:$BJ$14,MATCH(X3,'💰 Revenue'!$C$5:$BJ$5,0)),_xlpm.Maintainance_ratio*_xlpm.rev)</f>
        <v>14438250</v>
      </c>
      <c r="Y15" s="61" t="n">
        <f aca="false">_xlfn.LET(_xlpm.Maintainance_ratio,_xlfn.IFNA(INDEX('⚙️ Assumptions'!$B$42:$F$42,MATCH(YEAR(Y3),'⚙️ Assumptions'!$B$38:AB$38,0)),OFFSET(Y16,,-1)),_xlpm.rev,INDEX('💰 Revenue'!$C$14:$BJ$14,MATCH(Y3,'💰 Revenue'!$C$5:$BJ$5,0)),_xlpm.Maintainance_ratio*_xlpm.rev)</f>
        <v>12555000</v>
      </c>
      <c r="Z15" s="61" t="n">
        <f aca="false">_xlfn.LET(_xlpm.Maintainance_ratio,_xlfn.IFNA(INDEX('⚙️ Assumptions'!$B$42:$F$42,MATCH(YEAR(Z3),'⚙️ Assumptions'!$B$38:AC$38,0)),OFFSET(Z16,,-1)),_xlpm.rev,INDEX('💰 Revenue'!$C$14:$BJ$14,MATCH(Z3,'💰 Revenue'!$C$5:$BJ$5,0)),_xlpm.Maintainance_ratio*_xlpm.rev)</f>
        <v>11542500</v>
      </c>
      <c r="AA15" s="61" t="n">
        <f aca="false">_xlfn.LET(_xlpm.Maintainance_ratio,_xlfn.IFNA(INDEX('⚙️ Assumptions'!$B$42:$F$42,MATCH(YEAR(AA3),'⚙️ Assumptions'!$B$38:AD$38,0)),OFFSET(AA16,,-1)),_xlpm.rev,INDEX('💰 Revenue'!$C$14:$BJ$14,MATCH(AA3,'💰 Revenue'!$C$5:$BJ$5,0)),_xlpm.Maintainance_ratio*_xlpm.rev)</f>
        <v>11927250</v>
      </c>
      <c r="AB15" s="61" t="n">
        <f aca="false">_xlfn.LET(_xlpm.Maintainance_ratio,_xlfn.IFNA(INDEX('⚙️ Assumptions'!$B$42:$F$42,MATCH(YEAR(AB3),'⚙️ Assumptions'!$B$38:AE$38,0)),OFFSET(AB16,,-1)),_xlpm.rev,INDEX('💰 Revenue'!$C$14:$BJ$14,MATCH(AB3,'💰 Revenue'!$C$5:$BJ$5,0)),_xlpm.Maintainance_ratio*_xlpm.rev)</f>
        <v>12757500</v>
      </c>
      <c r="AC15" s="61" t="n">
        <f aca="false">_xlfn.LET(_xlpm.Maintainance_ratio,_xlfn.IFNA(INDEX('⚙️ Assumptions'!$B$42:$F$42,MATCH(YEAR(AC3),'⚙️ Assumptions'!$B$38:AF$38,0)),OFFSET(AC16,,-1)),_xlpm.rev,INDEX('💰 Revenue'!$C$14:$BJ$14,MATCH(AC3,'💰 Revenue'!$C$5:$BJ$5,0)),_xlpm.Maintainance_ratio*_xlpm.rev)</f>
        <v>15066000</v>
      </c>
      <c r="AD15" s="61" t="n">
        <f aca="false">_xlfn.LET(_xlpm.Maintainance_ratio,_xlfn.IFNA(INDEX('⚙️ Assumptions'!$B$42:$F$42,MATCH(YEAR(AD3),'⚙️ Assumptions'!$B$38:AG$38,0)),OFFSET(AD16,,-1)),_xlpm.rev,INDEX('💰 Revenue'!$C$14:$BJ$14,MATCH(AD3,'💰 Revenue'!$C$5:$BJ$5,0)),_xlpm.Maintainance_ratio*_xlpm.rev)</f>
        <v>15066000</v>
      </c>
      <c r="AE15" s="61" t="n">
        <f aca="false">_xlfn.LET(_xlpm.Maintainance_ratio,_xlfn.IFNA(INDEX('⚙️ Assumptions'!$B$42:$F$42,MATCH(YEAR(AE3),'⚙️ Assumptions'!$B$38:AH$38,0)),OFFSET(AE16,,-1)),_xlpm.rev,INDEX('💰 Revenue'!$C$14:$BJ$14,MATCH(AE3,'💰 Revenue'!$C$5:$BJ$5,0)),_xlpm.Maintainance_ratio*_xlpm.rev)</f>
        <v>9639000</v>
      </c>
      <c r="AF15" s="61" t="n">
        <f aca="false">_xlfn.LET(_xlpm.Maintainance_ratio,_xlfn.IFNA(INDEX('⚙️ Assumptions'!$B$42:$F$42,MATCH(YEAR(AF3),'⚙️ Assumptions'!$B$38:AI$38,0)),OFFSET(AF16,,-1)),_xlpm.rev,INDEX('💰 Revenue'!$C$14:$BJ$14,MATCH(AF3,'💰 Revenue'!$C$5:$BJ$5,0)),_xlpm.Maintainance_ratio*_xlpm.rev)</f>
        <v>11927250</v>
      </c>
      <c r="AG15" s="61" t="n">
        <f aca="false">_xlfn.LET(_xlpm.Maintainance_ratio,_xlfn.IFNA(INDEX('⚙️ Assumptions'!$B$42:$F$42,MATCH(YEAR(AG3),'⚙️ Assumptions'!$B$38:AJ$38,0)),OFFSET(AG16,,-1)),_xlpm.rev,INDEX('💰 Revenue'!$C$14:$BJ$14,MATCH(AG3,'💰 Revenue'!$C$5:$BJ$5,0)),_xlpm.Maintainance_ratio*_xlpm.rev)</f>
        <v>13972500</v>
      </c>
      <c r="AH15" s="61" t="n">
        <f aca="false">_xlfn.LET(_xlpm.Maintainance_ratio,_xlfn.IFNA(INDEX('⚙️ Assumptions'!$B$42:$F$42,MATCH(YEAR(AH3),'⚙️ Assumptions'!$B$38:AK$38,0)),OFFSET(AH16,,-1)),_xlpm.rev,INDEX('💰 Revenue'!$C$14:$BJ$14,MATCH(AH3,'💰 Revenue'!$C$5:$BJ$5,0)),_xlpm.Maintainance_ratio*_xlpm.rev)</f>
        <v>13182750</v>
      </c>
      <c r="AI15" s="61" t="n">
        <f aca="false">_xlfn.LET(_xlpm.Maintainance_ratio,_xlfn.IFNA(INDEX('⚙️ Assumptions'!$B$42:$F$42,MATCH(YEAR(AI3),'⚙️ Assumptions'!$B$38:AL$38,0)),OFFSET(AI16,,-1)),_xlpm.rev,INDEX('💰 Revenue'!$C$14:$BJ$14,MATCH(AI3,'💰 Revenue'!$C$5:$BJ$5,0)),_xlpm.Maintainance_ratio*_xlpm.rev)</f>
        <v>14580000</v>
      </c>
      <c r="AJ15" s="61" t="n">
        <f aca="false">_xlfn.LET(_xlpm.Maintainance_ratio,_xlfn.IFNA(INDEX('⚙️ Assumptions'!$B$42:$F$42,MATCH(YEAR(AJ3),'⚙️ Assumptions'!$B$38:AM$38,0)),OFFSET(AJ16,,-1)),_xlpm.rev,INDEX('💰 Revenue'!$C$14:$BJ$14,MATCH(AJ3,'💰 Revenue'!$C$5:$BJ$5,0)),_xlpm.Maintainance_ratio*_xlpm.rev)</f>
        <v>14438250</v>
      </c>
      <c r="AK15" s="61" t="n">
        <f aca="false">_xlfn.LET(_xlpm.Maintainance_ratio,_xlfn.IFNA(INDEX('⚙️ Assumptions'!$B$42:$F$42,MATCH(YEAR(AK3),'⚙️ Assumptions'!$B$38:AN$38,0)),OFFSET(AK16,,-1)),_xlpm.rev,INDEX('💰 Revenue'!$C$14:$BJ$14,MATCH(AK3,'💰 Revenue'!$C$5:$BJ$5,0)),_xlpm.Maintainance_ratio*_xlpm.rev)</f>
        <v>12555000</v>
      </c>
      <c r="AL15" s="61" t="n">
        <f aca="false">_xlfn.LET(_xlpm.Maintainance_ratio,_xlfn.IFNA(INDEX('⚙️ Assumptions'!$B$42:$F$42,MATCH(YEAR(AL3),'⚙️ Assumptions'!$B$38:AO$38,0)),OFFSET(AL16,,-1)),_xlpm.rev,INDEX('💰 Revenue'!$C$14:$BJ$14,MATCH(AL3,'💰 Revenue'!$C$5:$BJ$5,0)),_xlpm.Maintainance_ratio*_xlpm.rev)</f>
        <v>11542500</v>
      </c>
      <c r="AM15" s="61" t="n">
        <f aca="false">_xlfn.LET(_xlpm.Maintainance_ratio,_xlfn.IFNA(INDEX('⚙️ Assumptions'!$B$42:$F$42,MATCH(YEAR(AM3),'⚙️ Assumptions'!$B$38:AP$38,0)),OFFSET(AM16,,-1)),_xlpm.rev,INDEX('💰 Revenue'!$C$14:$BJ$14,MATCH(AM3,'💰 Revenue'!$C$5:$BJ$5,0)),_xlpm.Maintainance_ratio*_xlpm.rev)</f>
        <v>11927250</v>
      </c>
      <c r="AN15" s="61" t="n">
        <f aca="false">_xlfn.LET(_xlpm.Maintainance_ratio,_xlfn.IFNA(INDEX('⚙️ Assumptions'!$B$42:$F$42,MATCH(YEAR(AN3),'⚙️ Assumptions'!$B$38:AQ$38,0)),OFFSET(AN16,,-1)),_xlpm.rev,INDEX('💰 Revenue'!$C$14:$BJ$14,MATCH(AN3,'💰 Revenue'!$C$5:$BJ$5,0)),_xlpm.Maintainance_ratio*_xlpm.rev)</f>
        <v>12757500</v>
      </c>
      <c r="AO15" s="61" t="n">
        <f aca="false">_xlfn.LET(_xlpm.Maintainance_ratio,_xlfn.IFNA(INDEX('⚙️ Assumptions'!$B$42:$F$42,MATCH(YEAR(AO3),'⚙️ Assumptions'!$B$38:AR$38,0)),OFFSET(AO16,,-1)),_xlpm.rev,INDEX('💰 Revenue'!$C$14:$BJ$14,MATCH(AO3,'💰 Revenue'!$C$5:$BJ$5,0)),_xlpm.Maintainance_ratio*_xlpm.rev)</f>
        <v>15066000</v>
      </c>
      <c r="AP15" s="61" t="n">
        <f aca="false">_xlfn.LET(_xlpm.Maintainance_ratio,_xlfn.IFNA(INDEX('⚙️ Assumptions'!$B$42:$F$42,MATCH(YEAR(AP3),'⚙️ Assumptions'!$B$38:AS$38,0)),OFFSET(AP16,,-1)),_xlpm.rev,INDEX('💰 Revenue'!$C$14:$BJ$14,MATCH(AP3,'💰 Revenue'!$C$5:$BJ$5,0)),_xlpm.Maintainance_ratio*_xlpm.rev)</f>
        <v>20088000</v>
      </c>
      <c r="AQ15" s="61" t="n">
        <f aca="false">_xlfn.LET(_xlpm.Maintainance_ratio,_xlfn.IFNA(INDEX('⚙️ Assumptions'!$B$42:$F$42,MATCH(YEAR(AQ3),'⚙️ Assumptions'!$B$38:AT$38,0)),OFFSET(AQ16,,-1)),_xlpm.rev,INDEX('💰 Revenue'!$C$14:$BJ$14,MATCH(AQ3,'💰 Revenue'!$C$5:$BJ$5,0)),_xlpm.Maintainance_ratio*_xlpm.rev)</f>
        <v>12852000</v>
      </c>
      <c r="AR15" s="61" t="n">
        <f aca="false">_xlfn.LET(_xlpm.Maintainance_ratio,_xlfn.IFNA(INDEX('⚙️ Assumptions'!$B$42:$F$42,MATCH(YEAR(AR3),'⚙️ Assumptions'!$B$38:AU$38,0)),OFFSET(AR16,,-1)),_xlpm.rev,INDEX('💰 Revenue'!$C$14:$BJ$14,MATCH(AR3,'💰 Revenue'!$C$5:$BJ$5,0)),_xlpm.Maintainance_ratio*_xlpm.rev)</f>
        <v>15903000</v>
      </c>
      <c r="AS15" s="61" t="n">
        <f aca="false">_xlfn.LET(_xlpm.Maintainance_ratio,_xlfn.IFNA(INDEX('⚙️ Assumptions'!$B$42:$F$42,MATCH(YEAR(AS3),'⚙️ Assumptions'!$B$38:AV$38,0)),OFFSET(AS16,,-1)),_xlpm.rev,INDEX('💰 Revenue'!$C$14:$BJ$14,MATCH(AS3,'💰 Revenue'!$C$5:$BJ$5,0)),_xlpm.Maintainance_ratio*_xlpm.rev)</f>
        <v>18630000</v>
      </c>
      <c r="AT15" s="61" t="n">
        <f aca="false">_xlfn.LET(_xlpm.Maintainance_ratio,_xlfn.IFNA(INDEX('⚙️ Assumptions'!$B$42:$F$42,MATCH(YEAR(AT3),'⚙️ Assumptions'!$B$38:AW$38,0)),OFFSET(AT16,,-1)),_xlpm.rev,INDEX('💰 Revenue'!$C$14:$BJ$14,MATCH(AT3,'💰 Revenue'!$C$5:$BJ$5,0)),_xlpm.Maintainance_ratio*_xlpm.rev)</f>
        <v>17577000</v>
      </c>
      <c r="AU15" s="61" t="n">
        <f aca="false">_xlfn.LET(_xlpm.Maintainance_ratio,_xlfn.IFNA(INDEX('⚙️ Assumptions'!$B$42:$F$42,MATCH(YEAR(AU3),'⚙️ Assumptions'!$B$38:AX$38,0)),OFFSET(AU16,,-1)),_xlpm.rev,INDEX('💰 Revenue'!$C$14:$BJ$14,MATCH(AU3,'💰 Revenue'!$C$5:$BJ$5,0)),_xlpm.Maintainance_ratio*_xlpm.rev)</f>
        <v>19440000</v>
      </c>
      <c r="AV15" s="61" t="n">
        <f aca="false">_xlfn.LET(_xlpm.Maintainance_ratio,_xlfn.IFNA(INDEX('⚙️ Assumptions'!$B$42:$F$42,MATCH(YEAR(AV3),'⚙️ Assumptions'!$B$38:AY$38,0)),OFFSET(AV16,,-1)),_xlpm.rev,INDEX('💰 Revenue'!$C$14:$BJ$14,MATCH(AV3,'💰 Revenue'!$C$5:$BJ$5,0)),_xlpm.Maintainance_ratio*_xlpm.rev)</f>
        <v>19251000</v>
      </c>
      <c r="AW15" s="61" t="n">
        <f aca="false">_xlfn.LET(_xlpm.Maintainance_ratio,_xlfn.IFNA(INDEX('⚙️ Assumptions'!$B$42:$F$42,MATCH(YEAR(AW3),'⚙️ Assumptions'!$B$38:AZ$38,0)),OFFSET(AW16,,-1)),_xlpm.rev,INDEX('💰 Revenue'!$C$14:$BJ$14,MATCH(AW3,'💰 Revenue'!$C$5:$BJ$5,0)),_xlpm.Maintainance_ratio*_xlpm.rev)</f>
        <v>16740000</v>
      </c>
      <c r="AX15" s="61" t="n">
        <f aca="false">_xlfn.LET(_xlpm.Maintainance_ratio,_xlfn.IFNA(INDEX('⚙️ Assumptions'!$B$42:$F$42,MATCH(YEAR(AX3),'⚙️ Assumptions'!$B$38:BA$38,0)),OFFSET(AX16,,-1)),_xlpm.rev,INDEX('💰 Revenue'!$C$14:$BJ$14,MATCH(AX3,'💰 Revenue'!$C$5:$BJ$5,0)),_xlpm.Maintainance_ratio*_xlpm.rev)</f>
        <v>15390000</v>
      </c>
      <c r="AY15" s="61" t="n">
        <f aca="false">_xlfn.LET(_xlpm.Maintainance_ratio,_xlfn.IFNA(INDEX('⚙️ Assumptions'!$B$42:$F$42,MATCH(YEAR(AY3),'⚙️ Assumptions'!$B$38:BB$38,0)),OFFSET(AY16,,-1)),_xlpm.rev,INDEX('💰 Revenue'!$C$14:$BJ$14,MATCH(AY3,'💰 Revenue'!$C$5:$BJ$5,0)),_xlpm.Maintainance_ratio*_xlpm.rev)</f>
        <v>15903000</v>
      </c>
      <c r="AZ15" s="61" t="n">
        <f aca="false">_xlfn.LET(_xlpm.Maintainance_ratio,_xlfn.IFNA(INDEX('⚙️ Assumptions'!$B$42:$F$42,MATCH(YEAR(AZ3),'⚙️ Assumptions'!$B$38:BC$38,0)),OFFSET(AZ16,,-1)),_xlpm.rev,INDEX('💰 Revenue'!$C$14:$BJ$14,MATCH(AZ3,'💰 Revenue'!$C$5:$BJ$5,0)),_xlpm.Maintainance_ratio*_xlpm.rev)</f>
        <v>17010000</v>
      </c>
      <c r="BA15" s="61" t="n">
        <f aca="false">_xlfn.LET(_xlpm.Maintainance_ratio,_xlfn.IFNA(INDEX('⚙️ Assumptions'!$B$42:$F$42,MATCH(YEAR(BA3),'⚙️ Assumptions'!$B$38:BD$38,0)),OFFSET(BA16,,-1)),_xlpm.rev,INDEX('💰 Revenue'!$C$14:$BJ$14,MATCH(BA3,'💰 Revenue'!$C$5:$BJ$5,0)),_xlpm.Maintainance_ratio*_xlpm.rev)</f>
        <v>20088000</v>
      </c>
      <c r="BB15" s="61" t="n">
        <f aca="false">_xlfn.LET(_xlpm.Maintainance_ratio,_xlfn.IFNA(INDEX('⚙️ Assumptions'!$B$42:$F$42,MATCH(YEAR(BB3),'⚙️ Assumptions'!$B$38:BE$38,0)),OFFSET(BB16,,-1)),_xlpm.rev,INDEX('💰 Revenue'!$C$14:$BJ$14,MATCH(BB3,'💰 Revenue'!$C$5:$BJ$5,0)),_xlpm.Maintainance_ratio*_xlpm.rev)</f>
        <v>20088000</v>
      </c>
      <c r="BC15" s="61" t="n">
        <f aca="false">_xlfn.LET(_xlpm.Maintainance_ratio,_xlfn.IFNA(INDEX('⚙️ Assumptions'!$B$42:$F$42,MATCH(YEAR(BC3),'⚙️ Assumptions'!$B$38:BF$38,0)),OFFSET(BC16,,-1)),_xlpm.rev,INDEX('💰 Revenue'!$C$14:$BJ$14,MATCH(BC3,'💰 Revenue'!$C$5:$BJ$5,0)),_xlpm.Maintainance_ratio*_xlpm.rev)</f>
        <v>13311000</v>
      </c>
      <c r="BD15" s="61" t="n">
        <f aca="false">_xlfn.LET(_xlpm.Maintainance_ratio,_xlfn.IFNA(INDEX('⚙️ Assumptions'!$B$42:$F$42,MATCH(YEAR(BD3),'⚙️ Assumptions'!$B$38:BG$38,0)),OFFSET(BD16,,-1)),_xlpm.rev,INDEX('💰 Revenue'!$C$14:$BJ$14,MATCH(BD3,'💰 Revenue'!$C$5:$BJ$5,0)),_xlpm.Maintainance_ratio*_xlpm.rev)</f>
        <v>15903000</v>
      </c>
      <c r="BE15" s="61" t="n">
        <f aca="false">_xlfn.LET(_xlpm.Maintainance_ratio,_xlfn.IFNA(INDEX('⚙️ Assumptions'!$B$42:$F$42,MATCH(YEAR(BE3),'⚙️ Assumptions'!$B$38:BH$38,0)),OFFSET(BE16,,-1)),_xlpm.rev,INDEX('💰 Revenue'!$C$14:$BJ$14,MATCH(BE3,'💰 Revenue'!$C$5:$BJ$5,0)),_xlpm.Maintainance_ratio*_xlpm.rev)</f>
        <v>18630000</v>
      </c>
      <c r="BF15" s="61" t="n">
        <f aca="false">_xlfn.LET(_xlpm.Maintainance_ratio,_xlfn.IFNA(INDEX('⚙️ Assumptions'!$B$42:$F$42,MATCH(YEAR(BF3),'⚙️ Assumptions'!$B$38:BI$38,0)),OFFSET(BF16,,-1)),_xlpm.rev,INDEX('💰 Revenue'!$C$14:$BJ$14,MATCH(BF3,'💰 Revenue'!$C$5:$BJ$5,0)),_xlpm.Maintainance_ratio*_xlpm.rev)</f>
        <v>17577000</v>
      </c>
      <c r="BG15" s="61" t="n">
        <f aca="false">_xlfn.LET(_xlpm.Maintainance_ratio,_xlfn.IFNA(INDEX('⚙️ Assumptions'!$B$42:$F$42,MATCH(YEAR(BG3),'⚙️ Assumptions'!$B$38:BJ$38,0)),OFFSET(BG16,,-1)),_xlpm.rev,INDEX('💰 Revenue'!$C$14:$BJ$14,MATCH(BG3,'💰 Revenue'!$C$5:$BJ$5,0)),_xlpm.Maintainance_ratio*_xlpm.rev)</f>
        <v>19440000</v>
      </c>
      <c r="BH15" s="61" t="n">
        <f aca="false">_xlfn.LET(_xlpm.Maintainance_ratio,_xlfn.IFNA(INDEX('⚙️ Assumptions'!$B$42:$F$42,MATCH(YEAR(BH3),'⚙️ Assumptions'!$B$38:BK$38,0)),OFFSET(BH16,,-1)),_xlpm.rev,INDEX('💰 Revenue'!$C$14:$BJ$14,MATCH(BH3,'💰 Revenue'!$C$5:$BJ$5,0)),_xlpm.Maintainance_ratio*_xlpm.rev)</f>
        <v>19251000</v>
      </c>
      <c r="BI15" s="61" t="n">
        <f aca="false">_xlfn.LET(_xlpm.Maintainance_ratio,_xlfn.IFNA(INDEX('⚙️ Assumptions'!$B$42:$F$42,MATCH(YEAR(BI3),'⚙️ Assumptions'!$B$38:BL$38,0)),OFFSET(BI16,,-1)),_xlpm.rev,INDEX('💰 Revenue'!$C$14:$BJ$14,MATCH(BI3,'💰 Revenue'!$C$5:$BJ$5,0)),_xlpm.Maintainance_ratio*_xlpm.rev)</f>
        <v>16740000</v>
      </c>
      <c r="BJ15" s="61" t="n">
        <f aca="false">_xlfn.LET(_xlpm.Maintainance_ratio,_xlfn.IFNA(INDEX('⚙️ Assumptions'!$B$42:$F$42,MATCH(YEAR(BJ3),'⚙️ Assumptions'!$B$38:BM$38,0)),OFFSET(BJ16,,-1)),_xlpm.rev,INDEX('💰 Revenue'!$C$14:$BJ$14,MATCH(BJ3,'💰 Revenue'!$C$5:$BJ$5,0)),_xlpm.Maintainance_ratio*_xlpm.rev)</f>
        <v>15390000</v>
      </c>
    </row>
    <row r="16" customFormat="false" ht="13.5" hidden="true" customHeight="true" outlineLevel="0" collapsed="false">
      <c r="A16" s="37" t="s">
        <v>267</v>
      </c>
      <c r="B16" s="68"/>
      <c r="C16" s="64" t="e">
        <f aca="true">IF(_xlfn.IFNA(INDEX('⚙️ Assumptions'!$B$40:$F$40,MATCH(YEAR(C3),'⚙️ Assumptions'!$B$38:$F$38,0)),1)&lt;&gt;1,C15/INDEX('💰 Revenue'!$C$14:$BJ14,MATCH(C3,'💰 Revenue'!$C$5:$BJ$5,0)),OFFSET(C16,,-1))</f>
        <v>#DIV/0!</v>
      </c>
      <c r="D16" s="64" t="e">
        <f aca="true">IF(_xlfn.IFNA(INDEX('⚙️ Assumptions'!$B$40:$F$40,MATCH(YEAR(D3),'⚙️ Assumptions'!$B$38:$F$38,0)),1)&lt;&gt;1,D15/INDEX('💰 Revenue'!$C$14:$BJ14,MATCH(D3,'💰 Revenue'!$C$5:$BJ$5,0)),OFFSET(D16,,-1))</f>
        <v>#DIV/0!</v>
      </c>
      <c r="E16" s="61" t="n">
        <f aca="true">IF(_xlfn.IFNA(INDEX('⚙️ Assumptions'!$B$40:$F$40,MATCH(YEAR(E3),'⚙️ Assumptions'!$B$38:$F$38,0)),1)&lt;&gt;1,E15/INDEX('💰 Revenue'!$C$14:$BJ14,MATCH(E3,'💰 Revenue'!$C$5:$BJ$5,0)),OFFSET(E16,,-1))</f>
        <v>0.01</v>
      </c>
      <c r="F16" s="61" t="n">
        <f aca="true">IF(_xlfn.IFNA(INDEX('⚙️ Assumptions'!$B$40:$F$40,MATCH(YEAR(F3),'⚙️ Assumptions'!$B$38:$F$38,0)),1)&lt;&gt;1,F15/INDEX('💰 Revenue'!$C$14:$BJ14,MATCH(F3,'💰 Revenue'!$C$5:$BJ$5,0)),OFFSET(F16,,-1))</f>
        <v>0.01</v>
      </c>
      <c r="G16" s="61" t="n">
        <f aca="true">IF(_xlfn.IFNA(INDEX('⚙️ Assumptions'!$B$40:$F$40,MATCH(YEAR(G3),'⚙️ Assumptions'!$B$38:$F$38,0)),1)&lt;&gt;1,G15/INDEX('💰 Revenue'!$C$14:$BJ14,MATCH(G3,'💰 Revenue'!$C$5:$BJ$5,0)),OFFSET(G16,,-1))</f>
        <v>0.01</v>
      </c>
      <c r="H16" s="61" t="n">
        <f aca="true">IF(_xlfn.IFNA(INDEX('⚙️ Assumptions'!$B$40:$F$40,MATCH(YEAR(H3),'⚙️ Assumptions'!$B$38:$F$38,0)),1)&lt;&gt;1,H15/INDEX('💰 Revenue'!$C$14:$BJ14,MATCH(H3,'💰 Revenue'!$C$5:$BJ$5,0)),OFFSET(H16,,-1))</f>
        <v>0.01</v>
      </c>
      <c r="I16" s="61" t="n">
        <f aca="true">IF(_xlfn.IFNA(INDEX('⚙️ Assumptions'!$B$40:$F$40,MATCH(YEAR(I3),'⚙️ Assumptions'!$B$38:$F$38,0)),1)&lt;&gt;1,I15/INDEX('💰 Revenue'!$C$14:$BJ14,MATCH(I3,'💰 Revenue'!$C$5:$BJ$5,0)),OFFSET(I16,,-1))</f>
        <v>0.01</v>
      </c>
      <c r="J16" s="61" t="n">
        <f aca="true">IF(_xlfn.IFNA(INDEX('⚙️ Assumptions'!$B$40:$F$40,MATCH(YEAR(J3),'⚙️ Assumptions'!$B$38:$F$38,0)),1)&lt;&gt;1,J15/INDEX('💰 Revenue'!$C$14:$BJ14,MATCH(J3,'💰 Revenue'!$C$5:$BJ$5,0)),OFFSET(J16,,-1))</f>
        <v>0.01</v>
      </c>
      <c r="K16" s="61" t="n">
        <f aca="true">IF(_xlfn.IFNA(INDEX('⚙️ Assumptions'!$B$40:$F$40,MATCH(YEAR(K3),'⚙️ Assumptions'!$B$38:$F$38,0)),1)&lt;&gt;1,K15/INDEX('💰 Revenue'!$C$14:$BJ14,MATCH(K3,'💰 Revenue'!$C$5:$BJ$5,0)),OFFSET(K16,,-1))</f>
        <v>0.01</v>
      </c>
      <c r="L16" s="61" t="n">
        <f aca="true">IF(_xlfn.IFNA(INDEX('⚙️ Assumptions'!$B$40:$F$40,MATCH(YEAR(L3),'⚙️ Assumptions'!$B$38:$F$38,0)),1)&lt;&gt;1,L15/INDEX('💰 Revenue'!$C$14:$BJ14,MATCH(L3,'💰 Revenue'!$C$5:$BJ$5,0)),OFFSET(L16,,-1))</f>
        <v>0.01</v>
      </c>
      <c r="M16" s="61" t="n">
        <f aca="true">IF(_xlfn.IFNA(INDEX('⚙️ Assumptions'!$B$40:$F$40,MATCH(YEAR(M3),'⚙️ Assumptions'!$B$38:$F$38,0)),1)&lt;&gt;1,M15/INDEX('💰 Revenue'!$C$14:$BJ14,MATCH(M3,'💰 Revenue'!$C$5:$BJ$5,0)),OFFSET(M16,,-1))</f>
        <v>0.01</v>
      </c>
      <c r="N16" s="61" t="n">
        <f aca="true">IF(_xlfn.IFNA(INDEX('⚙️ Assumptions'!$B$40:$F$40,MATCH(YEAR(N3),'⚙️ Assumptions'!$B$38:$F$38,0)),1)&lt;&gt;1,N15/INDEX('💰 Revenue'!$C$14:$BJ14,MATCH(N3,'💰 Revenue'!$C$5:$BJ$5,0)),OFFSET(N16,,-1))</f>
        <v>0.01</v>
      </c>
      <c r="O16" s="61" t="n">
        <f aca="true">IF(_xlfn.IFNA(INDEX('⚙️ Assumptions'!$B$40:$F$40,MATCH(YEAR(O3),'⚙️ Assumptions'!$B$38:$F$38,0)),1)&lt;&gt;1,O15/INDEX('💰 Revenue'!$C$14:$BJ14,MATCH(O3,'💰 Revenue'!$C$5:$BJ$5,0)),OFFSET(O16,,-1))</f>
        <v>0.01</v>
      </c>
      <c r="P16" s="61" t="n">
        <f aca="true">IF(_xlfn.IFNA(INDEX('⚙️ Assumptions'!$B$40:$F$40,MATCH(YEAR(P3),'⚙️ Assumptions'!$B$38:$F$38,0)),1)&lt;&gt;1,P15/INDEX('💰 Revenue'!$C$14:$BJ14,MATCH(P3,'💰 Revenue'!$C$5:$BJ$5,0)),OFFSET(P16,,-1))</f>
        <v>0.01</v>
      </c>
      <c r="Q16" s="61" t="n">
        <f aca="true">IF(_xlfn.IFNA(INDEX('⚙️ Assumptions'!$B$40:$F$40,MATCH(YEAR(Q3),'⚙️ Assumptions'!$B$38:$F$38,0)),1)&lt;&gt;1,Q15/INDEX('💰 Revenue'!$C$14:$BJ14,MATCH(Q3,'💰 Revenue'!$C$5:$BJ$5,0)),OFFSET(Q16,,-1))</f>
        <v>0.01</v>
      </c>
      <c r="R16" s="61" t="n">
        <f aca="true">IF(_xlfn.IFNA(INDEX('⚙️ Assumptions'!$B$40:$F$40,MATCH(YEAR(R3),'⚙️ Assumptions'!$B$38:$F$38,0)),1)&lt;&gt;1,R15/INDEX('💰 Revenue'!$C$14:$BJ14,MATCH(R3,'💰 Revenue'!$C$5:$BJ$5,0)),OFFSET(R16,,-1))</f>
        <v>0.03</v>
      </c>
      <c r="S16" s="61" t="n">
        <f aca="true">IF(_xlfn.IFNA(INDEX('⚙️ Assumptions'!$B$40:$F$40,MATCH(YEAR(S3),'⚙️ Assumptions'!$B$38:$F$38,0)),1)&lt;&gt;1,S15/INDEX('💰 Revenue'!$C$14:$BJ14,MATCH(S3,'💰 Revenue'!$C$5:$BJ$5,0)),OFFSET(S16,,-1))</f>
        <v>0.03</v>
      </c>
      <c r="T16" s="61" t="n">
        <f aca="true">IF(_xlfn.IFNA(INDEX('⚙️ Assumptions'!$B$40:$F$40,MATCH(YEAR(T3),'⚙️ Assumptions'!$B$38:$F$38,0)),1)&lt;&gt;1,T15/INDEX('💰 Revenue'!$C$14:$BJ14,MATCH(T3,'💰 Revenue'!$C$5:$BJ$5,0)),OFFSET(T16,,-1))</f>
        <v>0.03</v>
      </c>
      <c r="U16" s="61" t="n">
        <f aca="true">IF(_xlfn.IFNA(INDEX('⚙️ Assumptions'!$B$40:$F$40,MATCH(YEAR(U3),'⚙️ Assumptions'!$B$38:$F$38,0)),1)&lt;&gt;1,U15/INDEX('💰 Revenue'!$C$14:$BJ14,MATCH(U3,'💰 Revenue'!$C$5:$BJ$5,0)),OFFSET(U16,,-1))</f>
        <v>0.03</v>
      </c>
      <c r="V16" s="61" t="n">
        <f aca="true">IF(_xlfn.IFNA(INDEX('⚙️ Assumptions'!$B$40:$F$40,MATCH(YEAR(V3),'⚙️ Assumptions'!$B$38:$F$38,0)),1)&lt;&gt;1,V15/INDEX('💰 Revenue'!$C$14:$BJ14,MATCH(V3,'💰 Revenue'!$C$5:$BJ$5,0)),OFFSET(V16,,-1))</f>
        <v>0.03</v>
      </c>
      <c r="W16" s="61" t="n">
        <f aca="true">IF(_xlfn.IFNA(INDEX('⚙️ Assumptions'!$B$40:$F$40,MATCH(YEAR(W3),'⚙️ Assumptions'!$B$38:$F$38,0)),1)&lt;&gt;1,W15/INDEX('💰 Revenue'!$C$14:$BJ14,MATCH(W3,'💰 Revenue'!$C$5:$BJ$5,0)),OFFSET(W16,,-1))</f>
        <v>0.03</v>
      </c>
      <c r="X16" s="61" t="n">
        <f aca="true">IF(_xlfn.IFNA(INDEX('⚙️ Assumptions'!$B$40:$F$40,MATCH(YEAR(X3),'⚙️ Assumptions'!$B$38:$F$38,0)),1)&lt;&gt;1,X15/INDEX('💰 Revenue'!$C$14:$BJ14,MATCH(X3,'💰 Revenue'!$C$5:$BJ$5,0)),OFFSET(X16,,-1))</f>
        <v>0.03</v>
      </c>
      <c r="Y16" s="61" t="n">
        <f aca="true">IF(_xlfn.IFNA(INDEX('⚙️ Assumptions'!$B$40:$F$40,MATCH(YEAR(Y3),'⚙️ Assumptions'!$B$38:$F$38,0)),1)&lt;&gt;1,Y15/INDEX('💰 Revenue'!$C$14:$BJ14,MATCH(Y3,'💰 Revenue'!$C$5:$BJ$5,0)),OFFSET(Y16,,-1))</f>
        <v>0.03</v>
      </c>
      <c r="Z16" s="61" t="n">
        <f aca="true">IF(_xlfn.IFNA(INDEX('⚙️ Assumptions'!$B$40:$F$40,MATCH(YEAR(Z3),'⚙️ Assumptions'!$B$38:$F$38,0)),1)&lt;&gt;1,Z15/INDEX('💰 Revenue'!$C$14:$BJ14,MATCH(Z3,'💰 Revenue'!$C$5:$BJ$5,0)),OFFSET(Z16,,-1))</f>
        <v>0.03</v>
      </c>
      <c r="AA16" s="61" t="n">
        <f aca="true">IF(_xlfn.IFNA(INDEX('⚙️ Assumptions'!$B$40:$F$40,MATCH(YEAR(AA3),'⚙️ Assumptions'!$B$38:$F$38,0)),1)&lt;&gt;1,AA15/INDEX('💰 Revenue'!$C$14:$BJ14,MATCH(AA3,'💰 Revenue'!$C$5:$BJ$5,0)),OFFSET(AA16,,-1))</f>
        <v>0.03</v>
      </c>
      <c r="AB16" s="61" t="n">
        <f aca="true">IF(_xlfn.IFNA(INDEX('⚙️ Assumptions'!$B$40:$F$40,MATCH(YEAR(AB3),'⚙️ Assumptions'!$B$38:$F$38,0)),1)&lt;&gt;1,AB15/INDEX('💰 Revenue'!$C$14:$BJ14,MATCH(AB3,'💰 Revenue'!$C$5:$BJ$5,0)),OFFSET(AB16,,-1))</f>
        <v>0.03</v>
      </c>
      <c r="AC16" s="61" t="n">
        <f aca="true">IF(_xlfn.IFNA(INDEX('⚙️ Assumptions'!$B$40:$F$40,MATCH(YEAR(AC3),'⚙️ Assumptions'!$B$38:$F$38,0)),1)&lt;&gt;1,AC15/INDEX('💰 Revenue'!$C$14:$BJ14,MATCH(AC3,'💰 Revenue'!$C$5:$BJ$5,0)),OFFSET(AC16,,-1))</f>
        <v>0.03</v>
      </c>
      <c r="AD16" s="61" t="n">
        <f aca="true">IF(_xlfn.IFNA(INDEX('⚙️ Assumptions'!$B$40:$F$40,MATCH(YEAR(AD3),'⚙️ Assumptions'!$B$38:$F$38,0)),1)&lt;&gt;1,AD15/INDEX('💰 Revenue'!$C$14:$BJ14,MATCH(AD3,'💰 Revenue'!$C$5:$BJ$5,0)),OFFSET(AD16,,-1))</f>
        <v>0.03</v>
      </c>
      <c r="AE16" s="61" t="n">
        <f aca="true">IF(_xlfn.IFNA(INDEX('⚙️ Assumptions'!$B$40:$F$40,MATCH(YEAR(AE3),'⚙️ Assumptions'!$B$38:$F$38,0)),1)&lt;&gt;1,AE15/INDEX('💰 Revenue'!$C$14:$BJ14,MATCH(AE3,'💰 Revenue'!$C$5:$BJ$5,0)),OFFSET(AE16,,-1))</f>
        <v>0.03</v>
      </c>
      <c r="AF16" s="61" t="n">
        <f aca="true">IF(_xlfn.IFNA(INDEX('⚙️ Assumptions'!$B$40:$F$40,MATCH(YEAR(AF3),'⚙️ Assumptions'!$B$38:$F$38,0)),1)&lt;&gt;1,AF15/INDEX('💰 Revenue'!$C$14:$BJ14,MATCH(AF3,'💰 Revenue'!$C$5:$BJ$5,0)),OFFSET(AF16,,-1))</f>
        <v>0.03</v>
      </c>
      <c r="AG16" s="61" t="n">
        <f aca="true">IF(_xlfn.IFNA(INDEX('⚙️ Assumptions'!$B$40:$F$40,MATCH(YEAR(AG3),'⚙️ Assumptions'!$B$38:$F$38,0)),1)&lt;&gt;1,AG15/INDEX('💰 Revenue'!$C$14:$BJ14,MATCH(AG3,'💰 Revenue'!$C$5:$BJ$5,0)),OFFSET(AG16,,-1))</f>
        <v>0.03</v>
      </c>
      <c r="AH16" s="61" t="n">
        <f aca="true">IF(_xlfn.IFNA(INDEX('⚙️ Assumptions'!$B$40:$F$40,MATCH(YEAR(AH3),'⚙️ Assumptions'!$B$38:$F$38,0)),1)&lt;&gt;1,AH15/INDEX('💰 Revenue'!$C$14:$BJ14,MATCH(AH3,'💰 Revenue'!$C$5:$BJ$5,0)),OFFSET(AH16,,-1))</f>
        <v>0.03</v>
      </c>
      <c r="AI16" s="61" t="n">
        <f aca="true">IF(_xlfn.IFNA(INDEX('⚙️ Assumptions'!$B$40:$F$40,MATCH(YEAR(AI3),'⚙️ Assumptions'!$B$38:$F$38,0)),1)&lt;&gt;1,AI15/INDEX('💰 Revenue'!$C$14:$BJ14,MATCH(AI3,'💰 Revenue'!$C$5:$BJ$5,0)),OFFSET(AI16,,-1))</f>
        <v>0.03</v>
      </c>
      <c r="AJ16" s="61" t="n">
        <f aca="true">IF(_xlfn.IFNA(INDEX('⚙️ Assumptions'!$B$40:$F$40,MATCH(YEAR(AJ3),'⚙️ Assumptions'!$B$38:$F$38,0)),1)&lt;&gt;1,AJ15/INDEX('💰 Revenue'!$C$14:$BJ14,MATCH(AJ3,'💰 Revenue'!$C$5:$BJ$5,0)),OFFSET(AJ16,,-1))</f>
        <v>0.03</v>
      </c>
      <c r="AK16" s="61" t="n">
        <f aca="true">IF(_xlfn.IFNA(INDEX('⚙️ Assumptions'!$B$40:$F$40,MATCH(YEAR(AK3),'⚙️ Assumptions'!$B$38:$F$38,0)),1)&lt;&gt;1,AK15/INDEX('💰 Revenue'!$C$14:$BJ14,MATCH(AK3,'💰 Revenue'!$C$5:$BJ$5,0)),OFFSET(AK16,,-1))</f>
        <v>0.03</v>
      </c>
      <c r="AL16" s="61" t="n">
        <f aca="true">IF(_xlfn.IFNA(INDEX('⚙️ Assumptions'!$B$40:$F$40,MATCH(YEAR(AL3),'⚙️ Assumptions'!$B$38:$F$38,0)),1)&lt;&gt;1,AL15/INDEX('💰 Revenue'!$C$14:$BJ14,MATCH(AL3,'💰 Revenue'!$C$5:$BJ$5,0)),OFFSET(AL16,,-1))</f>
        <v>0.03</v>
      </c>
      <c r="AM16" s="61" t="n">
        <f aca="true">IF(_xlfn.IFNA(INDEX('⚙️ Assumptions'!$B$40:$F$40,MATCH(YEAR(AM3),'⚙️ Assumptions'!$B$38:$F$38,0)),1)&lt;&gt;1,AM15/INDEX('💰 Revenue'!$C$14:$BJ14,MATCH(AM3,'💰 Revenue'!$C$5:$BJ$5,0)),OFFSET(AM16,,-1))</f>
        <v>0.03</v>
      </c>
      <c r="AN16" s="61" t="n">
        <f aca="true">IF(_xlfn.IFNA(INDEX('⚙️ Assumptions'!$B$40:$F$40,MATCH(YEAR(AN3),'⚙️ Assumptions'!$B$38:$F$38,0)),1)&lt;&gt;1,AN15/INDEX('💰 Revenue'!$C$14:$BJ14,MATCH(AN3,'💰 Revenue'!$C$5:$BJ$5,0)),OFFSET(AN16,,-1))</f>
        <v>0.03</v>
      </c>
      <c r="AO16" s="61" t="n">
        <f aca="true">IF(_xlfn.IFNA(INDEX('⚙️ Assumptions'!$B$40:$F$40,MATCH(YEAR(AO3),'⚙️ Assumptions'!$B$38:$F$38,0)),1)&lt;&gt;1,AO15/INDEX('💰 Revenue'!$C$14:$BJ14,MATCH(AO3,'💰 Revenue'!$C$5:$BJ$5,0)),OFFSET(AO16,,-1))</f>
        <v>0.03</v>
      </c>
      <c r="AP16" s="61" t="n">
        <f aca="true">IF(_xlfn.IFNA(INDEX('⚙️ Assumptions'!$B$40:$F$40,MATCH(YEAR(AP3),'⚙️ Assumptions'!$B$38:$F$38,0)),1)&lt;&gt;1,AP15/INDEX('💰 Revenue'!$C$14:$BJ14,MATCH(AP3,'💰 Revenue'!$C$5:$BJ$5,0)),OFFSET(AP16,,-1))</f>
        <v>0.04</v>
      </c>
      <c r="AQ16" s="61" t="n">
        <f aca="true">IF(_xlfn.IFNA(INDEX('⚙️ Assumptions'!$B$40:$F$40,MATCH(YEAR(AQ3),'⚙️ Assumptions'!$B$38:$F$38,0)),1)&lt;&gt;1,AQ15/INDEX('💰 Revenue'!$C$14:$BJ14,MATCH(AQ3,'💰 Revenue'!$C$5:$BJ$5,0)),OFFSET(AQ16,,-1))</f>
        <v>0.04</v>
      </c>
      <c r="AR16" s="61" t="n">
        <f aca="true">IF(_xlfn.IFNA(INDEX('⚙️ Assumptions'!$B$40:$F$40,MATCH(YEAR(AR3),'⚙️ Assumptions'!$B$38:$F$38,0)),1)&lt;&gt;1,AR15/INDEX('💰 Revenue'!$C$14:$BJ14,MATCH(AR3,'💰 Revenue'!$C$5:$BJ$5,0)),OFFSET(AR16,,-1))</f>
        <v>0.04</v>
      </c>
      <c r="AS16" s="61" t="n">
        <f aca="true">IF(_xlfn.IFNA(INDEX('⚙️ Assumptions'!$B$40:$F$40,MATCH(YEAR(AS3),'⚙️ Assumptions'!$B$38:$F$38,0)),1)&lt;&gt;1,AS15/INDEX('💰 Revenue'!$C$14:$BJ14,MATCH(AS3,'💰 Revenue'!$C$5:$BJ$5,0)),OFFSET(AS16,,-1))</f>
        <v>0.04</v>
      </c>
      <c r="AT16" s="61" t="n">
        <f aca="true">IF(_xlfn.IFNA(INDEX('⚙️ Assumptions'!$B$40:$F$40,MATCH(YEAR(AT3),'⚙️ Assumptions'!$B$38:$F$38,0)),1)&lt;&gt;1,AT15/INDEX('💰 Revenue'!$C$14:$BJ14,MATCH(AT3,'💰 Revenue'!$C$5:$BJ$5,0)),OFFSET(AT16,,-1))</f>
        <v>0.04</v>
      </c>
      <c r="AU16" s="61" t="n">
        <f aca="true">IF(_xlfn.IFNA(INDEX('⚙️ Assumptions'!$B$40:$F$40,MATCH(YEAR(AU3),'⚙️ Assumptions'!$B$38:$F$38,0)),1)&lt;&gt;1,AU15/INDEX('💰 Revenue'!$C$14:$BJ14,MATCH(AU3,'💰 Revenue'!$C$5:$BJ$5,0)),OFFSET(AU16,,-1))</f>
        <v>0.04</v>
      </c>
      <c r="AV16" s="61" t="n">
        <f aca="true">IF(_xlfn.IFNA(INDEX('⚙️ Assumptions'!$B$40:$F$40,MATCH(YEAR(AV3),'⚙️ Assumptions'!$B$38:$F$38,0)),1)&lt;&gt;1,AV15/INDEX('💰 Revenue'!$C$14:$BJ14,MATCH(AV3,'💰 Revenue'!$C$5:$BJ$5,0)),OFFSET(AV16,,-1))</f>
        <v>0.04</v>
      </c>
      <c r="AW16" s="61" t="n">
        <f aca="true">IF(_xlfn.IFNA(INDEX('⚙️ Assumptions'!$B$40:$F$40,MATCH(YEAR(AW3),'⚙️ Assumptions'!$B$38:$F$38,0)),1)&lt;&gt;1,AW15/INDEX('💰 Revenue'!$C$14:$BJ14,MATCH(AW3,'💰 Revenue'!$C$5:$BJ$5,0)),OFFSET(AW16,,-1))</f>
        <v>0.04</v>
      </c>
      <c r="AX16" s="61" t="n">
        <f aca="true">IF(_xlfn.IFNA(INDEX('⚙️ Assumptions'!$B$40:$F$40,MATCH(YEAR(AX3),'⚙️ Assumptions'!$B$38:$F$38,0)),1)&lt;&gt;1,AX15/INDEX('💰 Revenue'!$C$14:$BJ14,MATCH(AX3,'💰 Revenue'!$C$5:$BJ$5,0)),OFFSET(AX16,,-1))</f>
        <v>0.04</v>
      </c>
      <c r="AY16" s="61" t="n">
        <f aca="true">IF(_xlfn.IFNA(INDEX('⚙️ Assumptions'!$B$40:$F$40,MATCH(YEAR(AY3),'⚙️ Assumptions'!$B$38:$F$38,0)),1)&lt;&gt;1,AY15/INDEX('💰 Revenue'!$C$14:$BJ14,MATCH(AY3,'💰 Revenue'!$C$5:$BJ$5,0)),OFFSET(AY16,,-1))</f>
        <v>0.04</v>
      </c>
      <c r="AZ16" s="61" t="n">
        <f aca="true">IF(_xlfn.IFNA(INDEX('⚙️ Assumptions'!$B$40:$F$40,MATCH(YEAR(AZ3),'⚙️ Assumptions'!$B$38:$F$38,0)),1)&lt;&gt;1,AZ15/INDEX('💰 Revenue'!$C$14:$BJ14,MATCH(AZ3,'💰 Revenue'!$C$5:$BJ$5,0)),OFFSET(AZ16,,-1))</f>
        <v>0.04</v>
      </c>
      <c r="BA16" s="61" t="n">
        <f aca="true">IF(_xlfn.IFNA(INDEX('⚙️ Assumptions'!$B$40:$F$40,MATCH(YEAR(BA3),'⚙️ Assumptions'!$B$38:$F$38,0)),1)&lt;&gt;1,BA15/INDEX('💰 Revenue'!$C$14:$BJ14,MATCH(BA3,'💰 Revenue'!$C$5:$BJ$5,0)),OFFSET(BA16,,-1))</f>
        <v>0.04</v>
      </c>
      <c r="BB16" s="61" t="n">
        <f aca="true">IF(_xlfn.IFNA(INDEX('⚙️ Assumptions'!$B$40:$F$40,MATCH(YEAR(BB3),'⚙️ Assumptions'!$B$38:$F$38,0)),1)&lt;&gt;1,BB15/INDEX('💰 Revenue'!$C$14:$BJ14,MATCH(BB3,'💰 Revenue'!$C$5:$BJ$5,0)),OFFSET(BB16,,-1))</f>
        <v>0.04</v>
      </c>
      <c r="BC16" s="61" t="n">
        <f aca="true">IF(_xlfn.IFNA(INDEX('⚙️ Assumptions'!$B$40:$F$40,MATCH(YEAR(BC3),'⚙️ Assumptions'!$B$38:$F$38,0)),1)&lt;&gt;1,BC15/INDEX('💰 Revenue'!$C$14:$BJ14,MATCH(BC3,'💰 Revenue'!$C$5:$BJ$5,0)),OFFSET(BC16,,-1))</f>
        <v>0.04</v>
      </c>
      <c r="BD16" s="61" t="n">
        <f aca="true">IF(_xlfn.IFNA(INDEX('⚙️ Assumptions'!$B$40:$F$40,MATCH(YEAR(BD3),'⚙️ Assumptions'!$B$38:$F$38,0)),1)&lt;&gt;1,BD15/INDEX('💰 Revenue'!$C$14:$BJ14,MATCH(BD3,'💰 Revenue'!$C$5:$BJ$5,0)),OFFSET(BD16,,-1))</f>
        <v>0.04</v>
      </c>
      <c r="BE16" s="61" t="n">
        <f aca="true">IF(_xlfn.IFNA(INDEX('⚙️ Assumptions'!$B$40:$F$40,MATCH(YEAR(BE3),'⚙️ Assumptions'!$B$38:$F$38,0)),1)&lt;&gt;1,BE15/INDEX('💰 Revenue'!$C$14:$BJ14,MATCH(BE3,'💰 Revenue'!$C$5:$BJ$5,0)),OFFSET(BE16,,-1))</f>
        <v>0.04</v>
      </c>
      <c r="BF16" s="61" t="n">
        <f aca="true">IF(_xlfn.IFNA(INDEX('⚙️ Assumptions'!$B$40:$F$40,MATCH(YEAR(BF3),'⚙️ Assumptions'!$B$38:$F$38,0)),1)&lt;&gt;1,BF15/INDEX('💰 Revenue'!$C$14:$BJ14,MATCH(BF3,'💰 Revenue'!$C$5:$BJ$5,0)),OFFSET(BF16,,-1))</f>
        <v>0.04</v>
      </c>
      <c r="BG16" s="61" t="n">
        <f aca="true">IF(_xlfn.IFNA(INDEX('⚙️ Assumptions'!$B$40:$F$40,MATCH(YEAR(BG3),'⚙️ Assumptions'!$B$38:$F$38,0)),1)&lt;&gt;1,BG15/INDEX('💰 Revenue'!$C$14:$BJ14,MATCH(BG3,'💰 Revenue'!$C$5:$BJ$5,0)),OFFSET(BG16,,-1))</f>
        <v>0.04</v>
      </c>
      <c r="BH16" s="61" t="n">
        <f aca="true">IF(_xlfn.IFNA(INDEX('⚙️ Assumptions'!$B$40:$F$40,MATCH(YEAR(BH3),'⚙️ Assumptions'!$B$38:$F$38,0)),1)&lt;&gt;1,BH15/INDEX('💰 Revenue'!$C$14:$BJ14,MATCH(BH3,'💰 Revenue'!$C$5:$BJ$5,0)),OFFSET(BH16,,-1))</f>
        <v>0.04</v>
      </c>
      <c r="BI16" s="61" t="n">
        <f aca="true">IF(_xlfn.IFNA(INDEX('⚙️ Assumptions'!$B$40:$F$40,MATCH(YEAR(BI3),'⚙️ Assumptions'!$B$38:$F$38,0)),1)&lt;&gt;1,BI15/INDEX('💰 Revenue'!$C$14:$BJ14,MATCH(BI3,'💰 Revenue'!$C$5:$BJ$5,0)),OFFSET(BI16,,-1))</f>
        <v>0.04</v>
      </c>
      <c r="BJ16" s="61" t="n">
        <f aca="true">IF(_xlfn.IFNA(INDEX('⚙️ Assumptions'!$B$40:$F$40,MATCH(YEAR(BJ3),'⚙️ Assumptions'!$B$38:$F$38,0)),1)&lt;&gt;1,BJ15/INDEX('💰 Revenue'!$C$14:$BJ14,MATCH(BJ3,'💰 Revenue'!$C$5:$BJ$5,0)),OFFSET(BJ16,,-1))</f>
        <v>0.04</v>
      </c>
    </row>
    <row r="17" s="71" customFormat="true" ht="13.5" hidden="false" customHeight="true" outlineLevel="0" collapsed="false">
      <c r="A17" s="37" t="s">
        <v>268</v>
      </c>
      <c r="B17" s="68" t="n">
        <f aca="false">SUM(C17:AL17)</f>
        <v>1254820000</v>
      </c>
      <c r="C17" s="64" t="n">
        <f aca="false">INDEX('👥 HR Plan'!$B$18:$BI$18,MATCH(C3,'👥 HR Plan'!$B$11:$BI$11,0))</f>
        <v>0</v>
      </c>
      <c r="D17" s="64" t="n">
        <f aca="false">INDEX('👥 HR Plan'!$B$18:$BI$18,MATCH(D3,'👥 HR Plan'!$B$11:$BI$11,0))</f>
        <v>0</v>
      </c>
      <c r="E17" s="64" t="n">
        <f aca="false">INDEX('👥 HR Plan'!$B$18:$BI$18,MATCH(E3,'👥 HR Plan'!$B$11:$BI$11,0))</f>
        <v>28276000</v>
      </c>
      <c r="F17" s="64" t="n">
        <f aca="false">INDEX('👥 HR Plan'!$B$18:$BI$18,MATCH(F3,'👥 HR Plan'!$B$11:$BI$11,0))</f>
        <v>28276000</v>
      </c>
      <c r="G17" s="64" t="n">
        <f aca="false">INDEX('👥 HR Plan'!$B$18:$BI$18,MATCH(G3,'👥 HR Plan'!$B$11:$BI$11,0))</f>
        <v>27484000</v>
      </c>
      <c r="H17" s="64" t="n">
        <f aca="false">INDEX('👥 HR Plan'!$B$18:$BI$18,MATCH(H3,'👥 HR Plan'!$B$11:$BI$11,0))</f>
        <v>28276000</v>
      </c>
      <c r="I17" s="64" t="n">
        <f aca="false">INDEX('👥 HR Plan'!$B$18:$BI$18,MATCH(I3,'👥 HR Plan'!$B$11:$BI$11,0))</f>
        <v>33820000</v>
      </c>
      <c r="J17" s="64" t="n">
        <f aca="false">INDEX('👥 HR Plan'!$B$18:$BI$18,MATCH(J3,'👥 HR Plan'!$B$11:$BI$11,0))</f>
        <v>34414000</v>
      </c>
      <c r="K17" s="64" t="n">
        <f aca="false">INDEX('👥 HR Plan'!$B$18:$BI$18,MATCH(K3,'👥 HR Plan'!$B$11:$BI$11,0))</f>
        <v>33820000</v>
      </c>
      <c r="L17" s="64" t="n">
        <f aca="false">INDEX('👥 HR Plan'!$B$18:$BI$18,MATCH(L3,'👥 HR Plan'!$B$11:$BI$11,0))</f>
        <v>34414000</v>
      </c>
      <c r="M17" s="64" t="n">
        <f aca="false">INDEX('👥 HR Plan'!$B$18:$BI$18,MATCH(M3,'👥 HR Plan'!$B$11:$BI$11,0))</f>
        <v>34414000</v>
      </c>
      <c r="N17" s="64" t="n">
        <f aca="false">INDEX('👥 HR Plan'!$B$18:$BI$18,MATCH(N3,'👥 HR Plan'!$B$11:$BI$11,0))</f>
        <v>33820000</v>
      </c>
      <c r="O17" s="64" t="n">
        <f aca="false">INDEX('👥 HR Plan'!$B$18:$BI$18,MATCH(O3,'👥 HR Plan'!$B$11:$BI$11,0))</f>
        <v>34414000</v>
      </c>
      <c r="P17" s="64" t="n">
        <f aca="false">INDEX('👥 HR Plan'!$B$18:$BI$18,MATCH(P3,'👥 HR Plan'!$B$11:$BI$11,0))</f>
        <v>33820000</v>
      </c>
      <c r="Q17" s="64" t="n">
        <f aca="false">INDEX('👥 HR Plan'!$B$18:$BI$18,MATCH(Q3,'👥 HR Plan'!$B$11:$BI$11,0))</f>
        <v>34414000</v>
      </c>
      <c r="R17" s="64" t="n">
        <f aca="false">INDEX('👥 HR Plan'!$B$18:$BI$18,MATCH(R3,'👥 HR Plan'!$B$11:$BI$11,0))</f>
        <v>34414000</v>
      </c>
      <c r="S17" s="64" t="n">
        <f aca="false">INDEX('👥 HR Plan'!$B$18:$BI$18,MATCH(S3,'👥 HR Plan'!$B$11:$BI$11,0))</f>
        <v>38176000</v>
      </c>
      <c r="T17" s="64" t="n">
        <f aca="false">INDEX('👥 HR Plan'!$B$18:$BI$18,MATCH(T3,'👥 HR Plan'!$B$11:$BI$11,0))</f>
        <v>40552000</v>
      </c>
      <c r="U17" s="64" t="n">
        <f aca="false">INDEX('👥 HR Plan'!$B$18:$BI$18,MATCH(U3,'👥 HR Plan'!$B$11:$BI$11,0))</f>
        <v>39760000</v>
      </c>
      <c r="V17" s="64" t="n">
        <f aca="false">INDEX('👥 HR Plan'!$B$18:$BI$18,MATCH(V3,'👥 HR Plan'!$B$11:$BI$11,0))</f>
        <v>40552000</v>
      </c>
      <c r="W17" s="64" t="n">
        <f aca="false">INDEX('👥 HR Plan'!$B$18:$BI$18,MATCH(W3,'👥 HR Plan'!$B$11:$BI$11,0))</f>
        <v>39760000</v>
      </c>
      <c r="X17" s="64" t="n">
        <f aca="false">INDEX('👥 HR Plan'!$B$18:$BI$18,MATCH(X3,'👥 HR Plan'!$B$11:$BI$11,0))</f>
        <v>40552000</v>
      </c>
      <c r="Y17" s="64" t="n">
        <f aca="false">INDEX('👥 HR Plan'!$B$18:$BI$18,MATCH(Y3,'👥 HR Plan'!$B$11:$BI$11,0))</f>
        <v>40552000</v>
      </c>
      <c r="Z17" s="64" t="n">
        <f aca="false">INDEX('👥 HR Plan'!$B$18:$BI$18,MATCH(Z3,'👥 HR Plan'!$B$11:$BI$11,0))</f>
        <v>39760000</v>
      </c>
      <c r="AA17" s="64" t="n">
        <f aca="false">INDEX('👥 HR Plan'!$B$18:$BI$18,MATCH(AA3,'👥 HR Plan'!$B$11:$BI$11,0))</f>
        <v>40552000</v>
      </c>
      <c r="AB17" s="64" t="n">
        <f aca="false">INDEX('👥 HR Plan'!$B$18:$BI$18,MATCH(AB3,'👥 HR Plan'!$B$11:$BI$11,0))</f>
        <v>39760000</v>
      </c>
      <c r="AC17" s="64" t="n">
        <f aca="false">INDEX('👥 HR Plan'!$B$18:$BI$18,MATCH(AC3,'👥 HR Plan'!$B$11:$BI$11,0))</f>
        <v>40552000</v>
      </c>
      <c r="AD17" s="64" t="n">
        <f aca="false">INDEX('👥 HR Plan'!$B$18:$BI$18,MATCH(AD3,'👥 HR Plan'!$B$11:$BI$11,0))</f>
        <v>40552000</v>
      </c>
      <c r="AE17" s="64" t="n">
        <f aca="false">INDEX('👥 HR Plan'!$B$18:$BI$18,MATCH(AE3,'👥 HR Plan'!$B$11:$BI$11,0))</f>
        <v>38176000</v>
      </c>
      <c r="AF17" s="64" t="n">
        <f aca="false">INDEX('👥 HR Plan'!$B$18:$BI$18,MATCH(AF3,'👥 HR Plan'!$B$11:$BI$11,0))</f>
        <v>40552000</v>
      </c>
      <c r="AG17" s="64" t="n">
        <f aca="false">INDEX('👥 HR Plan'!$B$18:$BI$18,MATCH(AG3,'👥 HR Plan'!$B$11:$BI$11,0))</f>
        <v>39760000</v>
      </c>
      <c r="AH17" s="64" t="n">
        <f aca="false">INDEX('👥 HR Plan'!$B$18:$BI$18,MATCH(AH3,'👥 HR Plan'!$B$11:$BI$11,0))</f>
        <v>40552000</v>
      </c>
      <c r="AI17" s="64" t="n">
        <f aca="false">INDEX('👥 HR Plan'!$B$18:$BI$18,MATCH(AI3,'👥 HR Plan'!$B$11:$BI$11,0))</f>
        <v>39760000</v>
      </c>
      <c r="AJ17" s="64" t="n">
        <f aca="false">INDEX('👥 HR Plan'!$B$18:$BI$18,MATCH(AJ3,'👥 HR Plan'!$B$11:$BI$11,0))</f>
        <v>40552000</v>
      </c>
      <c r="AK17" s="64" t="n">
        <f aca="false">INDEX('👥 HR Plan'!$B$18:$BI$18,MATCH(AK3,'👥 HR Plan'!$B$11:$BI$11,0))</f>
        <v>40552000</v>
      </c>
      <c r="AL17" s="64" t="n">
        <f aca="false">INDEX('👥 HR Plan'!$B$18:$BI$18,MATCH(AL3,'👥 HR Plan'!$B$11:$BI$11,0))</f>
        <v>39760000</v>
      </c>
      <c r="AM17" s="64" t="n">
        <f aca="false">INDEX('👥 HR Plan'!$B$18:$BI$18,MATCH(AM3,'👥 HR Plan'!$B$11:$BI$11,0))</f>
        <v>40552000</v>
      </c>
      <c r="AN17" s="64" t="n">
        <f aca="false">INDEX('👥 HR Plan'!$B$18:$BI$18,MATCH(AN3,'👥 HR Plan'!$B$11:$BI$11,0))</f>
        <v>39760000</v>
      </c>
      <c r="AO17" s="64" t="n">
        <f aca="false">INDEX('👥 HR Plan'!$B$18:$BI$18,MATCH(AO3,'👥 HR Plan'!$B$11:$BI$11,0))</f>
        <v>40552000</v>
      </c>
      <c r="AP17" s="64" t="n">
        <f aca="false">INDEX('👥 HR Plan'!$B$18:$BI$18,MATCH(AP3,'👥 HR Plan'!$B$11:$BI$11,0))</f>
        <v>40552000</v>
      </c>
      <c r="AQ17" s="64" t="n">
        <f aca="false">INDEX('👥 HR Plan'!$B$18:$BI$18,MATCH(AQ3,'👥 HR Plan'!$B$11:$BI$11,0))</f>
        <v>38176000</v>
      </c>
      <c r="AR17" s="64" t="n">
        <f aca="false">INDEX('👥 HR Plan'!$B$18:$BI$18,MATCH(AR3,'👥 HR Plan'!$B$11:$BI$11,0))</f>
        <v>40552000</v>
      </c>
      <c r="AS17" s="64" t="n">
        <f aca="false">INDEX('👥 HR Plan'!$B$18:$BI$18,MATCH(AS3,'👥 HR Plan'!$B$11:$BI$11,0))</f>
        <v>39760000</v>
      </c>
      <c r="AT17" s="64" t="n">
        <f aca="false">INDEX('👥 HR Plan'!$B$18:$BI$18,MATCH(AT3,'👥 HR Plan'!$B$11:$BI$11,0))</f>
        <v>40552000</v>
      </c>
      <c r="AU17" s="64" t="n">
        <f aca="false">INDEX('👥 HR Plan'!$B$18:$BI$18,MATCH(AU3,'👥 HR Plan'!$B$11:$BI$11,0))</f>
        <v>39760000</v>
      </c>
      <c r="AV17" s="64" t="n">
        <f aca="false">INDEX('👥 HR Plan'!$B$18:$BI$18,MATCH(AV3,'👥 HR Plan'!$B$11:$BI$11,0))</f>
        <v>40552000</v>
      </c>
      <c r="AW17" s="64" t="n">
        <f aca="false">INDEX('👥 HR Plan'!$B$18:$BI$18,MATCH(AW3,'👥 HR Plan'!$B$11:$BI$11,0))</f>
        <v>40552000</v>
      </c>
      <c r="AX17" s="64" t="n">
        <f aca="false">INDEX('👥 HR Plan'!$B$18:$BI$18,MATCH(AX3,'👥 HR Plan'!$B$11:$BI$11,0))</f>
        <v>39760000</v>
      </c>
      <c r="AY17" s="64" t="n">
        <f aca="false">INDEX('👥 HR Plan'!$B$18:$BI$18,MATCH(AY3,'👥 HR Plan'!$B$11:$BI$11,0))</f>
        <v>40552000</v>
      </c>
      <c r="AZ17" s="64" t="n">
        <f aca="false">INDEX('👥 HR Plan'!$B$18:$BI$18,MATCH(AZ3,'👥 HR Plan'!$B$11:$BI$11,0))</f>
        <v>39760000</v>
      </c>
      <c r="BA17" s="64" t="n">
        <f aca="false">INDEX('👥 HR Plan'!$B$18:$BI$18,MATCH(BA3,'👥 HR Plan'!$B$11:$BI$11,0))</f>
        <v>40552000</v>
      </c>
      <c r="BB17" s="64" t="n">
        <f aca="false">INDEX('👥 HR Plan'!$B$18:$BI$18,MATCH(BB3,'👥 HR Plan'!$B$11:$BI$11,0))</f>
        <v>40552000</v>
      </c>
      <c r="BC17" s="64" t="n">
        <f aca="false">INDEX('👥 HR Plan'!$B$18:$BI$18,MATCH(BC3,'👥 HR Plan'!$B$11:$BI$11,0))</f>
        <v>38968000</v>
      </c>
      <c r="BD17" s="64" t="n">
        <f aca="false">INDEX('👥 HR Plan'!$B$18:$BI$18,MATCH(BD3,'👥 HR Plan'!$B$11:$BI$11,0))</f>
        <v>40552000</v>
      </c>
      <c r="BE17" s="64" t="n">
        <f aca="false">INDEX('👥 HR Plan'!$B$18:$BI$18,MATCH(BE3,'👥 HR Plan'!$B$11:$BI$11,0))</f>
        <v>39760000</v>
      </c>
      <c r="BF17" s="64" t="n">
        <f aca="false">INDEX('👥 HR Plan'!$B$18:$BI$18,MATCH(BF3,'👥 HR Plan'!$B$11:$BI$11,0))</f>
        <v>40552000</v>
      </c>
      <c r="BG17" s="64" t="n">
        <f aca="false">INDEX('👥 HR Plan'!$B$18:$BI$18,MATCH(BG3,'👥 HR Plan'!$B$11:$BI$11,0))</f>
        <v>39760000</v>
      </c>
      <c r="BH17" s="64" t="n">
        <f aca="false">INDEX('👥 HR Plan'!$B$18:$BI$18,MATCH(BH3,'👥 HR Plan'!$B$11:$BI$11,0))</f>
        <v>40552000</v>
      </c>
      <c r="BI17" s="64" t="n">
        <f aca="false">INDEX('👥 HR Plan'!$B$18:$BI$18,MATCH(BI3,'👥 HR Plan'!$B$11:$BI$11,0))</f>
        <v>40552000</v>
      </c>
      <c r="BJ17" s="64" t="n">
        <f aca="false">INDEX('👥 HR Plan'!$B$18:$BI$18,MATCH(BJ3,'👥 HR Plan'!$B$11:$BI$11,0))</f>
        <v>39760000</v>
      </c>
    </row>
    <row r="18" s="71" customFormat="true" ht="13.5" hidden="false" customHeight="true" outlineLevel="0" collapsed="false">
      <c r="A18" s="38" t="s">
        <v>269</v>
      </c>
      <c r="B18" s="60" t="n">
        <f aca="false">SUM(C18:AL18)</f>
        <v>491743125</v>
      </c>
      <c r="C18" s="64" t="n">
        <f aca="false">IFERROR(INDEX('⚙️ Other Assumptions'!$C$20:$AJ$20,MATCH('💰 Revenue'!C4,'⚙️ Other Assumptions'!$B$14:$AI$14,0)),'⚙️ Other Assumptions'!$B$23) *  INDEX('💰 Revenue'!$C$14:$BJ$14,MATCH(C3,'💰 Revenue'!$C$5:$BJ$5,0))</f>
        <v>0</v>
      </c>
      <c r="D18" s="64" t="n">
        <f aca="false">IFERROR(INDEX('⚙️ Other Assumptions'!$C$20:$AJ$20,MATCH('💰 Revenue'!D4,'⚙️ Other Assumptions'!$B$14:$AI$14,0)),'⚙️ Other Assumptions'!$B$23) *  INDEX('💰 Revenue'!$C$14:$BJ$14,MATCH(D3,'💰 Revenue'!$C$5:$BJ$5,0))</f>
        <v>0</v>
      </c>
      <c r="E18" s="61" t="n">
        <f aca="false">IFERROR(INDEX('⚙️ Other Assumptions'!$C$20:$AJ$20,MATCH('💰 Revenue'!E4,'⚙️ Other Assumptions'!$B$14:$AI$14,0)),'⚙️ Other Assumptions'!$B$23) *  INDEX('💰 Revenue'!$C$14:$BJ$14,MATCH(E3,'💰 Revenue'!$C$5:$BJ$5,0))</f>
        <v>25110000</v>
      </c>
      <c r="F18" s="61" t="n">
        <f aca="false">IFERROR(INDEX('⚙️ Other Assumptions'!$C$20:$AJ$20,MATCH('💰 Revenue'!F4,'⚙️ Other Assumptions'!$B$14:$AI$14,0)),'⚙️ Other Assumptions'!$B$23) *  INDEX('💰 Revenue'!$C$14:$BJ$14,MATCH(F3,'💰 Revenue'!$C$5:$BJ$5,0))</f>
        <v>25110000</v>
      </c>
      <c r="G18" s="61" t="n">
        <f aca="false">IFERROR(INDEX('⚙️ Other Assumptions'!$C$20:$AJ$20,MATCH('💰 Revenue'!G4,'⚙️ Other Assumptions'!$B$14:$AI$14,0)),'⚙️ Other Assumptions'!$B$23) *  INDEX('💰 Revenue'!$C$14:$BJ$14,MATCH(G3,'💰 Revenue'!$C$5:$BJ$5,0))</f>
        <v>11092500</v>
      </c>
      <c r="H18" s="61" t="n">
        <f aca="false">IFERROR(INDEX('⚙️ Other Assumptions'!$C$20:$AJ$20,MATCH('💰 Revenue'!H4,'⚙️ Other Assumptions'!$B$14:$AI$14,0)),'⚙️ Other Assumptions'!$B$23) *  INDEX('💰 Revenue'!$C$14:$BJ$14,MATCH(H3,'💰 Revenue'!$C$5:$BJ$5,0))</f>
        <v>13252500</v>
      </c>
      <c r="I18" s="61" t="n">
        <f aca="false">IFERROR(INDEX('⚙️ Other Assumptions'!$C$20:$AJ$20,MATCH('💰 Revenue'!I4,'⚙️ Other Assumptions'!$B$14:$AI$14,0)),'⚙️ Other Assumptions'!$B$23) *  INDEX('💰 Revenue'!$C$14:$BJ$14,MATCH(I3,'💰 Revenue'!$C$5:$BJ$5,0))</f>
        <v>23287500</v>
      </c>
      <c r="J18" s="61" t="n">
        <f aca="false">IFERROR(INDEX('⚙️ Other Assumptions'!$C$20:$AJ$20,MATCH('💰 Revenue'!J4,'⚙️ Other Assumptions'!$B$14:$AI$14,0)),'⚙️ Other Assumptions'!$B$23) *  INDEX('💰 Revenue'!$C$14:$BJ$14,MATCH(J3,'💰 Revenue'!$C$5:$BJ$5,0))</f>
        <v>21971250</v>
      </c>
      <c r="K18" s="61" t="n">
        <f aca="false">IFERROR(INDEX('⚙️ Other Assumptions'!$C$20:$AJ$20,MATCH('💰 Revenue'!K4,'⚙️ Other Assumptions'!$B$14:$AI$14,0)),'⚙️ Other Assumptions'!$B$23) *  INDEX('💰 Revenue'!$C$14:$BJ$14,MATCH(K3,'💰 Revenue'!$C$5:$BJ$5,0))</f>
        <v>25920000</v>
      </c>
      <c r="L18" s="61" t="n">
        <f aca="false">IFERROR(INDEX('⚙️ Other Assumptions'!$C$20:$AJ$20,MATCH('💰 Revenue'!L4,'⚙️ Other Assumptions'!$B$14:$AI$14,0)),'⚙️ Other Assumptions'!$B$23) *  INDEX('💰 Revenue'!$C$14:$BJ$14,MATCH(L3,'💰 Revenue'!$C$5:$BJ$5,0))</f>
        <v>14438250</v>
      </c>
      <c r="M18" s="61" t="n">
        <f aca="false">IFERROR(INDEX('⚙️ Other Assumptions'!$C$20:$AJ$20,MATCH('💰 Revenue'!M4,'⚙️ Other Assumptions'!$B$14:$AI$14,0)),'⚙️ Other Assumptions'!$B$23) *  INDEX('💰 Revenue'!$C$14:$BJ$14,MATCH(M3,'💰 Revenue'!$C$5:$BJ$5,0))</f>
        <v>12555000</v>
      </c>
      <c r="N18" s="61" t="n">
        <f aca="false">IFERROR(INDEX('⚙️ Other Assumptions'!$C$20:$AJ$20,MATCH('💰 Revenue'!N4,'⚙️ Other Assumptions'!$B$14:$AI$14,0)),'⚙️ Other Assumptions'!$B$23) *  INDEX('💰 Revenue'!$C$14:$BJ$14,MATCH(N3,'💰 Revenue'!$C$5:$BJ$5,0))</f>
        <v>12183750</v>
      </c>
      <c r="O18" s="61" t="n">
        <f aca="false">IFERROR(INDEX('⚙️ Other Assumptions'!$C$20:$AJ$20,MATCH('💰 Revenue'!O4,'⚙️ Other Assumptions'!$B$14:$AI$14,0)),'⚙️ Other Assumptions'!$B$23) *  INDEX('💰 Revenue'!$C$14:$BJ$14,MATCH(O3,'💰 Revenue'!$C$5:$BJ$5,0))</f>
        <v>12589875</v>
      </c>
      <c r="P18" s="61" t="n">
        <f aca="false">IFERROR(INDEX('⚙️ Other Assumptions'!$C$20:$AJ$20,MATCH('💰 Revenue'!P4,'⚙️ Other Assumptions'!$B$14:$AI$14,0)),'⚙️ Other Assumptions'!$B$23) *  INDEX('💰 Revenue'!$C$14:$BJ$14,MATCH(P3,'💰 Revenue'!$C$5:$BJ$5,0))</f>
        <v>10631250</v>
      </c>
      <c r="Q18" s="61" t="n">
        <f aca="false">IFERROR(INDEX('⚙️ Other Assumptions'!$C$20:$AJ$20,MATCH('💰 Revenue'!Q4,'⚙️ Other Assumptions'!$B$14:$AI$14,0)),'⚙️ Other Assumptions'!$B$23) *  INDEX('💰 Revenue'!$C$14:$BJ$14,MATCH(Q3,'💰 Revenue'!$C$5:$BJ$5,0))</f>
        <v>12555000</v>
      </c>
      <c r="R18" s="61" t="n">
        <f aca="false">IFERROR(INDEX('⚙️ Other Assumptions'!$C$20:$AJ$20,MATCH('💰 Revenue'!R4,'⚙️ Other Assumptions'!$B$14:$AI$14,0)),'⚙️ Other Assumptions'!$B$23) *  INDEX('💰 Revenue'!$C$14:$BJ$14,MATCH(R3,'💰 Revenue'!$C$5:$BJ$5,0))</f>
        <v>12555000</v>
      </c>
      <c r="S18" s="61" t="n">
        <f aca="false">IFERROR(INDEX('⚙️ Other Assumptions'!$C$20:$AJ$20,MATCH('💰 Revenue'!S4,'⚙️ Other Assumptions'!$B$14:$AI$14,0)),'⚙️ Other Assumptions'!$B$23) *  INDEX('💰 Revenue'!$C$14:$BJ$14,MATCH(S3,'💰 Revenue'!$C$5:$BJ$5,0))</f>
        <v>9639000</v>
      </c>
      <c r="T18" s="61" t="n">
        <f aca="false">IFERROR(INDEX('⚙️ Other Assumptions'!$C$20:$AJ$20,MATCH('💰 Revenue'!T4,'⚙️ Other Assumptions'!$B$14:$AI$14,0)),'⚙️ Other Assumptions'!$B$23) *  INDEX('💰 Revenue'!$C$14:$BJ$14,MATCH(T3,'💰 Revenue'!$C$5:$BJ$5,0))</f>
        <v>11927250</v>
      </c>
      <c r="U18" s="61" t="n">
        <f aca="false">IFERROR(INDEX('⚙️ Other Assumptions'!$C$20:$AJ$20,MATCH('💰 Revenue'!U4,'⚙️ Other Assumptions'!$B$14:$AI$14,0)),'⚙️ Other Assumptions'!$B$23) *  INDEX('💰 Revenue'!$C$14:$BJ$14,MATCH(U3,'💰 Revenue'!$C$5:$BJ$5,0))</f>
        <v>13972500</v>
      </c>
      <c r="V18" s="61" t="n">
        <f aca="false">IFERROR(INDEX('⚙️ Other Assumptions'!$C$20:$AJ$20,MATCH('💰 Revenue'!V4,'⚙️ Other Assumptions'!$B$14:$AI$14,0)),'⚙️ Other Assumptions'!$B$23) *  INDEX('💰 Revenue'!$C$14:$BJ$14,MATCH(V3,'💰 Revenue'!$C$5:$BJ$5,0))</f>
        <v>13182750</v>
      </c>
      <c r="W18" s="61" t="n">
        <f aca="false">IFERROR(INDEX('⚙️ Other Assumptions'!$C$20:$AJ$20,MATCH('💰 Revenue'!W4,'⚙️ Other Assumptions'!$B$14:$AI$14,0)),'⚙️ Other Assumptions'!$B$23) *  INDEX('💰 Revenue'!$C$14:$BJ$14,MATCH(W3,'💰 Revenue'!$C$5:$BJ$5,0))</f>
        <v>14580000</v>
      </c>
      <c r="X18" s="61" t="n">
        <f aca="false">IFERROR(INDEX('⚙️ Other Assumptions'!$C$20:$AJ$20,MATCH('💰 Revenue'!X4,'⚙️ Other Assumptions'!$B$14:$AI$14,0)),'⚙️ Other Assumptions'!$B$23) *  INDEX('💰 Revenue'!$C$14:$BJ$14,MATCH(X3,'💰 Revenue'!$C$5:$BJ$5,0))</f>
        <v>14438250</v>
      </c>
      <c r="Y18" s="61" t="n">
        <f aca="false">IFERROR(INDEX('⚙️ Other Assumptions'!$C$20:$AJ$20,MATCH('💰 Revenue'!Y4,'⚙️ Other Assumptions'!$B$14:$AI$14,0)),'⚙️ Other Assumptions'!$B$23) *  INDEX('💰 Revenue'!$C$14:$BJ$14,MATCH(Y3,'💰 Revenue'!$C$5:$BJ$5,0))</f>
        <v>12555000</v>
      </c>
      <c r="Z18" s="61" t="n">
        <f aca="false">IFERROR(INDEX('⚙️ Other Assumptions'!$C$20:$AJ$20,MATCH('💰 Revenue'!Z4,'⚙️ Other Assumptions'!$B$14:$AI$14,0)),'⚙️ Other Assumptions'!$B$23) *  INDEX('💰 Revenue'!$C$14:$BJ$14,MATCH(Z3,'💰 Revenue'!$C$5:$BJ$5,0))</f>
        <v>11542500</v>
      </c>
      <c r="AA18" s="61" t="n">
        <f aca="false">IFERROR(INDEX('⚙️ Other Assumptions'!$C$20:$AJ$20,MATCH('💰 Revenue'!AA4,'⚙️ Other Assumptions'!$B$14:$AI$14,0)),'⚙️ Other Assumptions'!$B$23) *  INDEX('💰 Revenue'!$C$14:$BJ$14,MATCH(AA3,'💰 Revenue'!$C$5:$BJ$5,0))</f>
        <v>11927250</v>
      </c>
      <c r="AB18" s="61" t="n">
        <f aca="false">IFERROR(INDEX('⚙️ Other Assumptions'!$C$20:$AJ$20,MATCH('💰 Revenue'!AB4,'⚙️ Other Assumptions'!$B$14:$AI$14,0)),'⚙️ Other Assumptions'!$B$23) *  INDEX('💰 Revenue'!$C$14:$BJ$14,MATCH(AB3,'💰 Revenue'!$C$5:$BJ$5,0))</f>
        <v>12757500</v>
      </c>
      <c r="AC18" s="61" t="n">
        <f aca="false">IFERROR(INDEX('⚙️ Other Assumptions'!$C$20:$AJ$20,MATCH('💰 Revenue'!AC4,'⚙️ Other Assumptions'!$B$14:$AI$14,0)),'⚙️ Other Assumptions'!$B$23) *  INDEX('💰 Revenue'!$C$14:$BJ$14,MATCH(AC3,'💰 Revenue'!$C$5:$BJ$5,0))</f>
        <v>15066000</v>
      </c>
      <c r="AD18" s="61" t="n">
        <f aca="false">IFERROR(INDEX('⚙️ Other Assumptions'!$C$20:$AJ$20,MATCH('💰 Revenue'!AD4,'⚙️ Other Assumptions'!$B$14:$AI$14,0)),'⚙️ Other Assumptions'!$B$23) *  INDEX('💰 Revenue'!$C$14:$BJ$14,MATCH(AD3,'💰 Revenue'!$C$5:$BJ$5,0))</f>
        <v>15066000</v>
      </c>
      <c r="AE18" s="61" t="n">
        <f aca="false">IFERROR(INDEX('⚙️ Other Assumptions'!$C$20:$AJ$20,MATCH('💰 Revenue'!AE4,'⚙️ Other Assumptions'!$B$14:$AI$14,0)),'⚙️ Other Assumptions'!$B$23) *  INDEX('💰 Revenue'!$C$14:$BJ$14,MATCH(AE3,'💰 Revenue'!$C$5:$BJ$5,0))</f>
        <v>9639000</v>
      </c>
      <c r="AF18" s="61" t="n">
        <f aca="false">IFERROR(INDEX('⚙️ Other Assumptions'!$C$20:$AJ$20,MATCH('💰 Revenue'!AF4,'⚙️ Other Assumptions'!$B$14:$AI$14,0)),'⚙️ Other Assumptions'!$B$23) *  INDEX('💰 Revenue'!$C$14:$BJ$14,MATCH(AF3,'💰 Revenue'!$C$5:$BJ$5,0))</f>
        <v>11927250</v>
      </c>
      <c r="AG18" s="61" t="n">
        <f aca="false">IFERROR(INDEX('⚙️ Other Assumptions'!$C$20:$AJ$20,MATCH('💰 Revenue'!AG4,'⚙️ Other Assumptions'!$B$14:$AI$14,0)),'⚙️ Other Assumptions'!$B$23) *  INDEX('💰 Revenue'!$C$14:$BJ$14,MATCH(AG3,'💰 Revenue'!$C$5:$BJ$5,0))</f>
        <v>13972500</v>
      </c>
      <c r="AH18" s="61" t="n">
        <f aca="false">IFERROR(INDEX('⚙️ Other Assumptions'!$C$20:$AJ$20,MATCH('💰 Revenue'!AH4,'⚙️ Other Assumptions'!$B$14:$AI$14,0)),'⚙️ Other Assumptions'!$B$23) *  INDEX('💰 Revenue'!$C$14:$BJ$14,MATCH(AH3,'💰 Revenue'!$C$5:$BJ$5,0))</f>
        <v>13182750</v>
      </c>
      <c r="AI18" s="61" t="n">
        <f aca="false">IFERROR(INDEX('⚙️ Other Assumptions'!$C$20:$AJ$20,MATCH('💰 Revenue'!AI4,'⚙️ Other Assumptions'!$B$14:$AI$14,0)),'⚙️ Other Assumptions'!$B$23) *  INDEX('💰 Revenue'!$C$14:$BJ$14,MATCH(AI3,'💰 Revenue'!$C$5:$BJ$5,0))</f>
        <v>14580000</v>
      </c>
      <c r="AJ18" s="61" t="n">
        <f aca="false">IFERROR(INDEX('⚙️ Other Assumptions'!$C$20:$AJ$20,MATCH('💰 Revenue'!AJ4,'⚙️ Other Assumptions'!$B$14:$AI$14,0)),'⚙️ Other Assumptions'!$B$23) *  INDEX('💰 Revenue'!$C$14:$BJ$14,MATCH(AJ3,'💰 Revenue'!$C$5:$BJ$5,0))</f>
        <v>14438250</v>
      </c>
      <c r="AK18" s="61" t="n">
        <f aca="false">IFERROR(INDEX('⚙️ Other Assumptions'!$C$20:$AJ$20,MATCH('💰 Revenue'!AK4,'⚙️ Other Assumptions'!$B$14:$AI$14,0)),'⚙️ Other Assumptions'!$B$23) *  INDEX('💰 Revenue'!$C$14:$BJ$14,MATCH(AK3,'💰 Revenue'!$C$5:$BJ$5,0))</f>
        <v>12555000</v>
      </c>
      <c r="AL18" s="61" t="n">
        <f aca="false">IFERROR(INDEX('⚙️ Other Assumptions'!$C$20:$AJ$20,MATCH('💰 Revenue'!AL4,'⚙️ Other Assumptions'!$B$14:$AI$14,0)),'⚙️ Other Assumptions'!$B$23) *  INDEX('💰 Revenue'!$C$14:$BJ$14,MATCH(AL3,'💰 Revenue'!$C$5:$BJ$5,0))</f>
        <v>11542500</v>
      </c>
      <c r="AM18" s="61" t="n">
        <f aca="false">IFERROR(INDEX('⚙️ Other Assumptions'!$C$20:$AJ$20,MATCH('💰 Revenue'!AM4,'⚙️ Other Assumptions'!$B$14:$AI$14,0)),'⚙️ Other Assumptions'!$B$23) *  INDEX('💰 Revenue'!$C$14:$BJ$14,MATCH(AM3,'💰 Revenue'!$C$5:$BJ$5,0))</f>
        <v>11927250</v>
      </c>
      <c r="AN18" s="61" t="n">
        <f aca="false">IFERROR(INDEX('⚙️ Other Assumptions'!$C$20:$AJ$20,MATCH('💰 Revenue'!AN4,'⚙️ Other Assumptions'!$B$14:$AI$14,0)),'⚙️ Other Assumptions'!$B$23) *  INDEX('💰 Revenue'!$C$14:$BJ$14,MATCH(AN3,'💰 Revenue'!$C$5:$BJ$5,0))</f>
        <v>12757500</v>
      </c>
      <c r="AO18" s="61" t="n">
        <f aca="false">IFERROR(INDEX('⚙️ Other Assumptions'!$C$20:$AJ$20,MATCH('💰 Revenue'!AO4,'⚙️ Other Assumptions'!$B$14:$AI$14,0)),'⚙️ Other Assumptions'!$B$23) *  INDEX('💰 Revenue'!$C$14:$BJ$14,MATCH(AO3,'💰 Revenue'!$C$5:$BJ$5,0))</f>
        <v>15066000</v>
      </c>
      <c r="AP18" s="61" t="n">
        <f aca="false">IFERROR(INDEX('⚙️ Other Assumptions'!$C$20:$AJ$20,MATCH('💰 Revenue'!AP4,'⚙️ Other Assumptions'!$B$14:$AI$14,0)),'⚙️ Other Assumptions'!$B$23) *  INDEX('💰 Revenue'!$C$14:$BJ$14,MATCH(AP3,'💰 Revenue'!$C$5:$BJ$5,0))</f>
        <v>15066000</v>
      </c>
      <c r="AQ18" s="61" t="n">
        <f aca="false">IFERROR(INDEX('⚙️ Other Assumptions'!$C$20:$AJ$20,MATCH('💰 Revenue'!AQ4,'⚙️ Other Assumptions'!$B$14:$AI$14,0)),'⚙️ Other Assumptions'!$B$23) *  INDEX('💰 Revenue'!$C$14:$BJ$14,MATCH(AQ3,'💰 Revenue'!$C$5:$BJ$5,0))</f>
        <v>9639000</v>
      </c>
      <c r="AR18" s="61" t="n">
        <f aca="false">IFERROR(INDEX('⚙️ Other Assumptions'!$C$20:$AJ$20,MATCH('💰 Revenue'!AR4,'⚙️ Other Assumptions'!$B$14:$AI$14,0)),'⚙️ Other Assumptions'!$B$23) *  INDEX('💰 Revenue'!$C$14:$BJ$14,MATCH(AR3,'💰 Revenue'!$C$5:$BJ$5,0))</f>
        <v>11927250</v>
      </c>
      <c r="AS18" s="61" t="n">
        <f aca="false">IFERROR(INDEX('⚙️ Other Assumptions'!$C$20:$AJ$20,MATCH('💰 Revenue'!AS4,'⚙️ Other Assumptions'!$B$14:$AI$14,0)),'⚙️ Other Assumptions'!$B$23) *  INDEX('💰 Revenue'!$C$14:$BJ$14,MATCH(AS3,'💰 Revenue'!$C$5:$BJ$5,0))</f>
        <v>13972500</v>
      </c>
      <c r="AT18" s="61" t="n">
        <f aca="false">IFERROR(INDEX('⚙️ Other Assumptions'!$C$20:$AJ$20,MATCH('💰 Revenue'!AT4,'⚙️ Other Assumptions'!$B$14:$AI$14,0)),'⚙️ Other Assumptions'!$B$23) *  INDEX('💰 Revenue'!$C$14:$BJ$14,MATCH(AT3,'💰 Revenue'!$C$5:$BJ$5,0))</f>
        <v>13182750</v>
      </c>
      <c r="AU18" s="61" t="n">
        <f aca="false">IFERROR(INDEX('⚙️ Other Assumptions'!$C$20:$AJ$20,MATCH('💰 Revenue'!AU4,'⚙️ Other Assumptions'!$B$14:$AI$14,0)),'⚙️ Other Assumptions'!$B$23) *  INDEX('💰 Revenue'!$C$14:$BJ$14,MATCH(AU3,'💰 Revenue'!$C$5:$BJ$5,0))</f>
        <v>14580000</v>
      </c>
      <c r="AV18" s="61" t="n">
        <f aca="false">IFERROR(INDEX('⚙️ Other Assumptions'!$C$20:$AJ$20,MATCH('💰 Revenue'!AV4,'⚙️ Other Assumptions'!$B$14:$AI$14,0)),'⚙️ Other Assumptions'!$B$23) *  INDEX('💰 Revenue'!$C$14:$BJ$14,MATCH(AV3,'💰 Revenue'!$C$5:$BJ$5,0))</f>
        <v>14438250</v>
      </c>
      <c r="AW18" s="61" t="n">
        <f aca="false">IFERROR(INDEX('⚙️ Other Assumptions'!$C$20:$AJ$20,MATCH('💰 Revenue'!AW4,'⚙️ Other Assumptions'!$B$14:$AI$14,0)),'⚙️ Other Assumptions'!$B$23) *  INDEX('💰 Revenue'!$C$14:$BJ$14,MATCH(AW3,'💰 Revenue'!$C$5:$BJ$5,0))</f>
        <v>12555000</v>
      </c>
      <c r="AX18" s="61" t="n">
        <f aca="false">IFERROR(INDEX('⚙️ Other Assumptions'!$C$20:$AJ$20,MATCH('💰 Revenue'!AX4,'⚙️ Other Assumptions'!$B$14:$AI$14,0)),'⚙️ Other Assumptions'!$B$23) *  INDEX('💰 Revenue'!$C$14:$BJ$14,MATCH(AX3,'💰 Revenue'!$C$5:$BJ$5,0))</f>
        <v>11542500</v>
      </c>
      <c r="AY18" s="61" t="n">
        <f aca="false">IFERROR(INDEX('⚙️ Other Assumptions'!$C$20:$AJ$20,MATCH('💰 Revenue'!AY4,'⚙️ Other Assumptions'!$B$14:$AI$14,0)),'⚙️ Other Assumptions'!$B$23) *  INDEX('💰 Revenue'!$C$14:$BJ$14,MATCH(AY3,'💰 Revenue'!$C$5:$BJ$5,0))</f>
        <v>11927250</v>
      </c>
      <c r="AZ18" s="61" t="n">
        <f aca="false">IFERROR(INDEX('⚙️ Other Assumptions'!$C$20:$AJ$20,MATCH('💰 Revenue'!AZ4,'⚙️ Other Assumptions'!$B$14:$AI$14,0)),'⚙️ Other Assumptions'!$B$23) *  INDEX('💰 Revenue'!$C$14:$BJ$14,MATCH(AZ3,'💰 Revenue'!$C$5:$BJ$5,0))</f>
        <v>12757500</v>
      </c>
      <c r="BA18" s="61" t="n">
        <f aca="false">IFERROR(INDEX('⚙️ Other Assumptions'!$C$20:$AJ$20,MATCH('💰 Revenue'!BA4,'⚙️ Other Assumptions'!$B$14:$AI$14,0)),'⚙️ Other Assumptions'!$B$23) *  INDEX('💰 Revenue'!$C$14:$BJ$14,MATCH(BA3,'💰 Revenue'!$C$5:$BJ$5,0))</f>
        <v>15066000</v>
      </c>
      <c r="BB18" s="61" t="n">
        <f aca="false">IFERROR(INDEX('⚙️ Other Assumptions'!$C$20:$AJ$20,MATCH('💰 Revenue'!BB4,'⚙️ Other Assumptions'!$B$14:$AI$14,0)),'⚙️ Other Assumptions'!$B$23) *  INDEX('💰 Revenue'!$C$14:$BJ$14,MATCH(BB3,'💰 Revenue'!$C$5:$BJ$5,0))</f>
        <v>15066000</v>
      </c>
      <c r="BC18" s="61" t="n">
        <f aca="false">IFERROR(INDEX('⚙️ Other Assumptions'!$C$20:$AJ$20,MATCH('💰 Revenue'!BC4,'⚙️ Other Assumptions'!$B$14:$AI$14,0)),'⚙️ Other Assumptions'!$B$23) *  INDEX('💰 Revenue'!$C$14:$BJ$14,MATCH(BC3,'💰 Revenue'!$C$5:$BJ$5,0))</f>
        <v>9983250</v>
      </c>
      <c r="BD18" s="61" t="n">
        <f aca="false">IFERROR(INDEX('⚙️ Other Assumptions'!$C$20:$AJ$20,MATCH('💰 Revenue'!BD4,'⚙️ Other Assumptions'!$B$14:$AI$14,0)),'⚙️ Other Assumptions'!$B$23) *  INDEX('💰 Revenue'!$C$14:$BJ$14,MATCH(BD3,'💰 Revenue'!$C$5:$BJ$5,0))</f>
        <v>11927250</v>
      </c>
      <c r="BE18" s="61" t="n">
        <f aca="false">IFERROR(INDEX('⚙️ Other Assumptions'!$C$20:$AJ$20,MATCH('💰 Revenue'!BE4,'⚙️ Other Assumptions'!$B$14:$AI$14,0)),'⚙️ Other Assumptions'!$B$23) *  INDEX('💰 Revenue'!$C$14:$BJ$14,MATCH(BE3,'💰 Revenue'!$C$5:$BJ$5,0))</f>
        <v>13972500</v>
      </c>
      <c r="BF18" s="61" t="n">
        <f aca="false">IFERROR(INDEX('⚙️ Other Assumptions'!$C$20:$AJ$20,MATCH('💰 Revenue'!BF4,'⚙️ Other Assumptions'!$B$14:$AI$14,0)),'⚙️ Other Assumptions'!$B$23) *  INDEX('💰 Revenue'!$C$14:$BJ$14,MATCH(BF3,'💰 Revenue'!$C$5:$BJ$5,0))</f>
        <v>13182750</v>
      </c>
      <c r="BG18" s="61" t="n">
        <f aca="false">IFERROR(INDEX('⚙️ Other Assumptions'!$C$20:$AJ$20,MATCH('💰 Revenue'!BG4,'⚙️ Other Assumptions'!$B$14:$AI$14,0)),'⚙️ Other Assumptions'!$B$23) *  INDEX('💰 Revenue'!$C$14:$BJ$14,MATCH(BG3,'💰 Revenue'!$C$5:$BJ$5,0))</f>
        <v>14580000</v>
      </c>
      <c r="BH18" s="61" t="n">
        <f aca="false">IFERROR(INDEX('⚙️ Other Assumptions'!$C$20:$AJ$20,MATCH('💰 Revenue'!BH4,'⚙️ Other Assumptions'!$B$14:$AI$14,0)),'⚙️ Other Assumptions'!$B$23) *  INDEX('💰 Revenue'!$C$14:$BJ$14,MATCH(BH3,'💰 Revenue'!$C$5:$BJ$5,0))</f>
        <v>14438250</v>
      </c>
      <c r="BI18" s="61" t="n">
        <f aca="false">IFERROR(INDEX('⚙️ Other Assumptions'!$C$20:$AJ$20,MATCH('💰 Revenue'!BI4,'⚙️ Other Assumptions'!$B$14:$AI$14,0)),'⚙️ Other Assumptions'!$B$23) *  INDEX('💰 Revenue'!$C$14:$BJ$14,MATCH(BI3,'💰 Revenue'!$C$5:$BJ$5,0))</f>
        <v>12555000</v>
      </c>
      <c r="BJ18" s="61" t="n">
        <f aca="false">IFERROR(INDEX('⚙️ Other Assumptions'!$C$20:$AJ$20,MATCH('💰 Revenue'!BJ4,'⚙️ Other Assumptions'!$B$14:$AI$14,0)),'⚙️ Other Assumptions'!$B$23) *  INDEX('💰 Revenue'!$C$14:$BJ$14,MATCH(BJ3,'💰 Revenue'!$C$5:$BJ$5,0))</f>
        <v>11542500</v>
      </c>
    </row>
    <row r="19" customFormat="false" ht="13.5" hidden="false" customHeight="true" outlineLevel="0" collapsed="false">
      <c r="A19" s="37" t="s">
        <v>270</v>
      </c>
      <c r="B19" s="68" t="n">
        <f aca="false">SUM(C19:AL19)</f>
        <v>0</v>
      </c>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64"/>
      <c r="BC19" s="64"/>
      <c r="BD19" s="64"/>
      <c r="BE19" s="64"/>
      <c r="BF19" s="64"/>
      <c r="BG19" s="64"/>
      <c r="BH19" s="64"/>
      <c r="BI19" s="64"/>
      <c r="BJ19" s="64"/>
    </row>
    <row r="20" customFormat="false" ht="13.5" hidden="false" customHeight="true" outlineLevel="0" collapsed="false">
      <c r="A20" s="69" t="s">
        <v>271</v>
      </c>
      <c r="B20" s="70" t="n">
        <f aca="false">SUM(C20:AL20)</f>
        <v>4912467531.25</v>
      </c>
      <c r="C20" s="70" t="n">
        <f aca="false">C9+C10+C15+C17+C18+C19</f>
        <v>57500000</v>
      </c>
      <c r="D20" s="70" t="n">
        <f aca="false">D9+D10+D15+D17+D18+D19</f>
        <v>57500000</v>
      </c>
      <c r="E20" s="70" t="n">
        <f aca="false">E9+E10+E15+E17+E18+E19</f>
        <v>118544550</v>
      </c>
      <c r="F20" s="70" t="n">
        <f aca="false">F9+F10+F15+F17+F18+F19</f>
        <v>118544550</v>
      </c>
      <c r="G20" s="70" t="n">
        <f aca="false">G9+G10+G15+G17+G18+G19</f>
        <v>105089156.25</v>
      </c>
      <c r="H20" s="70" t="n">
        <f aca="false">H9+H10+H15+H17+H18+H19</f>
        <v>109796156.25</v>
      </c>
      <c r="I20" s="70" t="n">
        <f aca="false">I9+I10+I15+I17+I18+I19</f>
        <v>133528593.75</v>
      </c>
      <c r="J20" s="70" t="n">
        <f aca="false">J9+J10+J15+J17+J18+J19</f>
        <v>131736890.625</v>
      </c>
      <c r="K20" s="70" t="n">
        <f aca="false">K9+K10+K15+K17+K18+K19</f>
        <v>144780000</v>
      </c>
      <c r="L20" s="70" t="n">
        <f aca="false">L9+L10+L15+L17+L18+L19</f>
        <v>137033531.25</v>
      </c>
      <c r="M20" s="70" t="n">
        <f aca="false">M9+M10+M15+M17+M18+M19</f>
        <v>131148375</v>
      </c>
      <c r="N20" s="70" t="n">
        <f aca="false">N9+N10+N15+N17+N18+N19</f>
        <v>129394218.75</v>
      </c>
      <c r="O20" s="70" t="n">
        <f aca="false">O9+O10+O15+O17+O18+O19</f>
        <v>131257359.375</v>
      </c>
      <c r="P20" s="70" t="n">
        <f aca="false">P9+P10+P15+P17+P18+P19</f>
        <v>123568125</v>
      </c>
      <c r="Q20" s="70" t="n">
        <f aca="false">Q9+Q10+Q15+Q17+Q18+Q19</f>
        <v>129997500</v>
      </c>
      <c r="R20" s="70" t="n">
        <f aca="false">R9+R10+R15+R17+R18+R19</f>
        <v>138367500</v>
      </c>
      <c r="S20" s="70" t="n">
        <f aca="false">S9+S10+S15+S17+S18+S19</f>
        <v>132625500</v>
      </c>
      <c r="T20" s="70" t="n">
        <f aca="false">T9+T10+T15+T17+T18+T19</f>
        <v>143773125</v>
      </c>
      <c r="U20" s="70" t="n">
        <f aca="false">U9+U10+U15+U17+U18+U19</f>
        <v>150821250</v>
      </c>
      <c r="V20" s="70" t="n">
        <f aca="false">V9+V10+V15+V17+V18+V19</f>
        <v>148585875</v>
      </c>
      <c r="W20" s="70" t="n">
        <f aca="false">W9+W10+W15+W17+W18+W19</f>
        <v>162870000</v>
      </c>
      <c r="X20" s="70" t="n">
        <f aca="false">X9+X10+X15+X17+X18+X19</f>
        <v>163024125</v>
      </c>
      <c r="Y20" s="70" t="n">
        <f aca="false">Y9+Y10+Y15+Y17+Y18+Y19</f>
        <v>154549500</v>
      </c>
      <c r="Z20" s="70" t="n">
        <f aca="false">Z9+Z10+Z15+Z17+Z18+Z19</f>
        <v>149201250</v>
      </c>
      <c r="AA20" s="70" t="n">
        <f aca="false">AA9+AA10+AA15+AA17+AA18+AA19</f>
        <v>151724625</v>
      </c>
      <c r="AB20" s="70" t="n">
        <f aca="false">AB9+AB10+AB15+AB17+AB18+AB19</f>
        <v>144462750</v>
      </c>
      <c r="AC20" s="70" t="n">
        <f aca="false">AC9+AC10+AC15+AC17+AC18+AC19</f>
        <v>153796200</v>
      </c>
      <c r="AD20" s="70" t="n">
        <f aca="false">AD9+AD10+AD15+AD17+AD18+AD19</f>
        <v>153796200</v>
      </c>
      <c r="AE20" s="70" t="n">
        <f aca="false">AE9+AE10+AE15+AE17+AE18+AE19</f>
        <v>132625500</v>
      </c>
      <c r="AF20" s="70" t="n">
        <f aca="false">AF9+AF10+AF15+AF17+AF18+AF19</f>
        <v>143773125</v>
      </c>
      <c r="AG20" s="70" t="n">
        <f aca="false">AG9+AG10+AG15+AG17+AG18+AG19</f>
        <v>150821250</v>
      </c>
      <c r="AH20" s="70" t="n">
        <f aca="false">AH9+AH10+AH15+AH17+AH18+AH19</f>
        <v>148585875</v>
      </c>
      <c r="AI20" s="70" t="n">
        <f aca="false">AI9+AI10+AI15+AI17+AI18+AI19</f>
        <v>162870000</v>
      </c>
      <c r="AJ20" s="70" t="n">
        <f aca="false">AJ9+AJ10+AJ15+AJ17+AJ18+AJ19</f>
        <v>163024125</v>
      </c>
      <c r="AK20" s="70" t="n">
        <f aca="false">AK9+AK10+AK15+AK17+AK18+AK19</f>
        <v>154549500</v>
      </c>
      <c r="AL20" s="70" t="n">
        <f aca="false">AL9+AL10+AL15+AL17+AL18+AL19</f>
        <v>149201250</v>
      </c>
      <c r="AM20" s="70" t="n">
        <f aca="false">AM9+AM10+AM15+AM17+AM18+AM19</f>
        <v>151724625</v>
      </c>
      <c r="AN20" s="70" t="n">
        <f aca="false">AN9+AN10+AN15+AN17+AN18+AN19</f>
        <v>144462750</v>
      </c>
      <c r="AO20" s="70" t="n">
        <f aca="false">AO9+AO10+AO15+AO17+AO18+AO19</f>
        <v>153796200</v>
      </c>
      <c r="AP20" s="70" t="n">
        <f aca="false">AP9+AP10+AP15+AP17+AP18+AP19</f>
        <v>158818200</v>
      </c>
      <c r="AQ20" s="70" t="n">
        <f aca="false">AQ9+AQ10+AQ15+AQ17+AQ18+AQ19</f>
        <v>135838500</v>
      </c>
      <c r="AR20" s="70" t="n">
        <f aca="false">AR9+AR10+AR15+AR17+AR18+AR19</f>
        <v>147748875</v>
      </c>
      <c r="AS20" s="70" t="n">
        <f aca="false">AS9+AS10+AS15+AS17+AS18+AS19</f>
        <v>155478750</v>
      </c>
      <c r="AT20" s="70" t="n">
        <f aca="false">AT9+AT10+AT15+AT17+AT18+AT19</f>
        <v>152980125</v>
      </c>
      <c r="AU20" s="70" t="n">
        <f aca="false">AU9+AU10+AU15+AU17+AU18+AU19</f>
        <v>167730000</v>
      </c>
      <c r="AV20" s="70" t="n">
        <f aca="false">AV9+AV10+AV15+AV17+AV18+AV19</f>
        <v>167836875</v>
      </c>
      <c r="AW20" s="70" t="n">
        <f aca="false">AW9+AW10+AW15+AW17+AW18+AW19</f>
        <v>158734500</v>
      </c>
      <c r="AX20" s="70" t="n">
        <f aca="false">AX9+AX10+AX15+AX17+AX18+AX19</f>
        <v>153048750</v>
      </c>
      <c r="AY20" s="70" t="n">
        <f aca="false">AY9+AY10+AY15+AY17+AY18+AY19</f>
        <v>155700375</v>
      </c>
      <c r="AZ20" s="70" t="n">
        <f aca="false">AZ9+AZ10+AZ15+AZ17+AZ18+AZ19</f>
        <v>148715250</v>
      </c>
      <c r="BA20" s="70" t="n">
        <f aca="false">BA9+BA10+BA15+BA17+BA18+BA19</f>
        <v>158818200</v>
      </c>
      <c r="BB20" s="70" t="n">
        <f aca="false">BB9+BB10+BB15+BB17+BB18+BB19</f>
        <v>157010280</v>
      </c>
      <c r="BC20" s="70" t="n">
        <f aca="false">BC9+BC10+BC15+BC17+BC18+BC19</f>
        <v>136733775</v>
      </c>
      <c r="BD20" s="70" t="n">
        <f aca="false">BD9+BD10+BD15+BD17+BD18+BD19</f>
        <v>146158575</v>
      </c>
      <c r="BE20" s="70" t="n">
        <f aca="false">BE9+BE10+BE15+BE17+BE18+BE19</f>
        <v>153615750</v>
      </c>
      <c r="BF20" s="70" t="n">
        <f aca="false">BF9+BF10+BF15+BF17+BF18+BF19</f>
        <v>151222425</v>
      </c>
      <c r="BG20" s="70" t="n">
        <f aca="false">BG9+BG10+BG15+BG17+BG18+BG19</f>
        <v>164814000</v>
      </c>
      <c r="BH20" s="70" t="n">
        <f aca="false">BH9+BH10+BH15+BH17+BH18+BH19</f>
        <v>164949225</v>
      </c>
      <c r="BI20" s="70" t="n">
        <f aca="false">BI9+BI10+BI15+BI17+BI18+BI19</f>
        <v>156223500</v>
      </c>
      <c r="BJ20" s="70" t="n">
        <f aca="false">BJ9+BJ10+BJ15+BJ17+BJ18+BJ19</f>
        <v>150740250</v>
      </c>
    </row>
    <row r="21" customFormat="false" ht="13.5" hidden="false" customHeight="true" outlineLevel="0" collapsed="false">
      <c r="A21" s="59" t="s">
        <v>272</v>
      </c>
      <c r="B21" s="59"/>
      <c r="C21" s="59"/>
      <c r="D21" s="59"/>
      <c r="E21" s="59"/>
      <c r="F21" s="59"/>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71"/>
      <c r="AO21" s="71"/>
      <c r="AP21" s="71"/>
      <c r="AQ21" s="71"/>
      <c r="AR21" s="71"/>
      <c r="AS21" s="71"/>
      <c r="AT21" s="71"/>
      <c r="AU21" s="71"/>
      <c r="AV21" s="71"/>
      <c r="AW21" s="71"/>
      <c r="AX21" s="71"/>
      <c r="AY21" s="71"/>
      <c r="AZ21" s="71"/>
      <c r="BA21" s="71"/>
      <c r="BB21" s="71"/>
      <c r="BC21" s="71"/>
      <c r="BD21" s="71"/>
      <c r="BE21" s="71"/>
      <c r="BF21" s="71"/>
      <c r="BG21" s="71"/>
      <c r="BH21" s="71"/>
      <c r="BI21" s="71"/>
      <c r="BJ21" s="71"/>
    </row>
    <row r="22" customFormat="false" ht="13.5" hidden="false" customHeight="true" outlineLevel="0" collapsed="false">
      <c r="A22" s="38" t="s">
        <v>273</v>
      </c>
      <c r="B22" s="60" t="n">
        <f aca="false">SUM(C22:AL22)</f>
        <v>0</v>
      </c>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4"/>
      <c r="BB22" s="64"/>
      <c r="BC22" s="64"/>
      <c r="BD22" s="64"/>
      <c r="BE22" s="64"/>
      <c r="BF22" s="64"/>
      <c r="BG22" s="64"/>
      <c r="BH22" s="64"/>
      <c r="BI22" s="64"/>
      <c r="BJ22" s="64"/>
    </row>
    <row r="23" customFormat="false" ht="13.5" hidden="false" customHeight="true" outlineLevel="0" collapsed="false">
      <c r="A23" s="37" t="s">
        <v>274</v>
      </c>
      <c r="B23" s="68" t="n">
        <f aca="false">SUM(C23:AL23)</f>
        <v>0</v>
      </c>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4"/>
      <c r="AY23" s="64"/>
      <c r="AZ23" s="64"/>
      <c r="BA23" s="64"/>
      <c r="BB23" s="64"/>
      <c r="BC23" s="64"/>
      <c r="BD23" s="64"/>
      <c r="BE23" s="64"/>
      <c r="BF23" s="64"/>
      <c r="BG23" s="64"/>
      <c r="BH23" s="64"/>
      <c r="BI23" s="64"/>
      <c r="BJ23" s="64"/>
    </row>
    <row r="24" customFormat="false" ht="13.5" hidden="false" customHeight="true" outlineLevel="0" collapsed="false">
      <c r="A24" s="38" t="s">
        <v>275</v>
      </c>
      <c r="B24" s="60" t="n">
        <f aca="false">SUM(C24:AL24)</f>
        <v>4912467531.25</v>
      </c>
      <c r="C24" s="60" t="n">
        <f aca="false">C20+C22+C23</f>
        <v>57500000</v>
      </c>
      <c r="D24" s="60" t="n">
        <f aca="false">D20+D22+D23</f>
        <v>57500000</v>
      </c>
      <c r="E24" s="60" t="n">
        <f aca="false">E20+E22+E23</f>
        <v>118544550</v>
      </c>
      <c r="F24" s="60" t="n">
        <f aca="false">F20+F22+F23</f>
        <v>118544550</v>
      </c>
      <c r="G24" s="60" t="n">
        <f aca="false">G20+G22+G23</f>
        <v>105089156.25</v>
      </c>
      <c r="H24" s="60" t="n">
        <f aca="false">H20+H22+H23</f>
        <v>109796156.25</v>
      </c>
      <c r="I24" s="60" t="n">
        <f aca="false">I20+I22+I23</f>
        <v>133528593.75</v>
      </c>
      <c r="J24" s="60" t="n">
        <f aca="false">J20+J22+J23</f>
        <v>131736890.625</v>
      </c>
      <c r="K24" s="60" t="n">
        <f aca="false">K20+K22+K23</f>
        <v>144780000</v>
      </c>
      <c r="L24" s="60" t="n">
        <f aca="false">L20+L22+L23</f>
        <v>137033531.25</v>
      </c>
      <c r="M24" s="60" t="n">
        <f aca="false">M20+M22+M23</f>
        <v>131148375</v>
      </c>
      <c r="N24" s="60" t="n">
        <f aca="false">N20+N22+N23</f>
        <v>129394218.75</v>
      </c>
      <c r="O24" s="60" t="n">
        <f aca="false">O20+O22+O23</f>
        <v>131257359.375</v>
      </c>
      <c r="P24" s="60" t="n">
        <f aca="false">P20+P22+P23</f>
        <v>123568125</v>
      </c>
      <c r="Q24" s="60" t="n">
        <f aca="false">Q20+Q22+Q23</f>
        <v>129997500</v>
      </c>
      <c r="R24" s="60" t="n">
        <f aca="false">R20+R22+R23</f>
        <v>138367500</v>
      </c>
      <c r="S24" s="60" t="n">
        <f aca="false">S20+S22+S23</f>
        <v>132625500</v>
      </c>
      <c r="T24" s="60" t="n">
        <f aca="false">T20+T22+T23</f>
        <v>143773125</v>
      </c>
      <c r="U24" s="60" t="n">
        <f aca="false">U20+U22+U23</f>
        <v>150821250</v>
      </c>
      <c r="V24" s="60" t="n">
        <f aca="false">V20+V22+V23</f>
        <v>148585875</v>
      </c>
      <c r="W24" s="60" t="n">
        <f aca="false">W20+W22+W23</f>
        <v>162870000</v>
      </c>
      <c r="X24" s="60" t="n">
        <f aca="false">X20+X22+X23</f>
        <v>163024125</v>
      </c>
      <c r="Y24" s="60" t="n">
        <f aca="false">Y20+Y22+Y23</f>
        <v>154549500</v>
      </c>
      <c r="Z24" s="60" t="n">
        <f aca="false">Z20+Z22+Z23</f>
        <v>149201250</v>
      </c>
      <c r="AA24" s="60" t="n">
        <f aca="false">AA20+AA22+AA23</f>
        <v>151724625</v>
      </c>
      <c r="AB24" s="60" t="n">
        <f aca="false">AB20+AB22+AB23</f>
        <v>144462750</v>
      </c>
      <c r="AC24" s="60" t="n">
        <f aca="false">AC20+AC22+AC23</f>
        <v>153796200</v>
      </c>
      <c r="AD24" s="60" t="n">
        <f aca="false">AD20+AD22+AD23</f>
        <v>153796200</v>
      </c>
      <c r="AE24" s="60" t="n">
        <f aca="false">AE20+AE22+AE23</f>
        <v>132625500</v>
      </c>
      <c r="AF24" s="60" t="n">
        <f aca="false">AF20+AF22+AF23</f>
        <v>143773125</v>
      </c>
      <c r="AG24" s="60" t="n">
        <f aca="false">AG20+AG22+AG23</f>
        <v>150821250</v>
      </c>
      <c r="AH24" s="60" t="n">
        <f aca="false">AH20+AH22+AH23</f>
        <v>148585875</v>
      </c>
      <c r="AI24" s="60" t="n">
        <f aca="false">AI20+AI22+AI23</f>
        <v>162870000</v>
      </c>
      <c r="AJ24" s="60" t="n">
        <f aca="false">AJ20+AJ22+AJ23</f>
        <v>163024125</v>
      </c>
      <c r="AK24" s="60" t="n">
        <f aca="false">AK20+AK22+AK23</f>
        <v>154549500</v>
      </c>
      <c r="AL24" s="60" t="n">
        <f aca="false">AL20+AL22+AL23</f>
        <v>149201250</v>
      </c>
      <c r="AM24" s="60" t="n">
        <f aca="false">AM20+AM22+AM23</f>
        <v>151724625</v>
      </c>
      <c r="AN24" s="60" t="n">
        <f aca="false">AN20+AN22+AN23</f>
        <v>144462750</v>
      </c>
      <c r="AO24" s="60" t="n">
        <f aca="false">AO20+AO22+AO23</f>
        <v>153796200</v>
      </c>
      <c r="AP24" s="60" t="n">
        <f aca="false">AP20+AP22+AP23</f>
        <v>158818200</v>
      </c>
      <c r="AQ24" s="60" t="n">
        <f aca="false">AQ20+AQ22+AQ23</f>
        <v>135838500</v>
      </c>
      <c r="AR24" s="60" t="n">
        <f aca="false">AR20+AR22+AR23</f>
        <v>147748875</v>
      </c>
      <c r="AS24" s="60" t="n">
        <f aca="false">AS20+AS22+AS23</f>
        <v>155478750</v>
      </c>
      <c r="AT24" s="60" t="n">
        <f aca="false">AT20+AT22+AT23</f>
        <v>152980125</v>
      </c>
      <c r="AU24" s="60" t="n">
        <f aca="false">AU20+AU22+AU23</f>
        <v>167730000</v>
      </c>
      <c r="AV24" s="60" t="n">
        <f aca="false">AV20+AV22+AV23</f>
        <v>167836875</v>
      </c>
      <c r="AW24" s="60" t="n">
        <f aca="false">AW20+AW22+AW23</f>
        <v>158734500</v>
      </c>
      <c r="AX24" s="60" t="n">
        <f aca="false">AX20+AX22+AX23</f>
        <v>153048750</v>
      </c>
      <c r="AY24" s="60" t="n">
        <f aca="false">AY20+AY22+AY23</f>
        <v>155700375</v>
      </c>
      <c r="AZ24" s="60" t="n">
        <f aca="false">AZ20+AZ22+AZ23</f>
        <v>148715250</v>
      </c>
      <c r="BA24" s="60" t="n">
        <f aca="false">BA20+BA22+BA23</f>
        <v>158818200</v>
      </c>
      <c r="BB24" s="60" t="n">
        <f aca="false">BB20+BB22+BB23</f>
        <v>157010280</v>
      </c>
      <c r="BC24" s="60" t="n">
        <f aca="false">BC20+BC22+BC23</f>
        <v>136733775</v>
      </c>
      <c r="BD24" s="60" t="n">
        <f aca="false">BD20+BD22+BD23</f>
        <v>146158575</v>
      </c>
      <c r="BE24" s="60" t="n">
        <f aca="false">BE20+BE22+BE23</f>
        <v>153615750</v>
      </c>
      <c r="BF24" s="60" t="n">
        <f aca="false">BF20+BF22+BF23</f>
        <v>151222425</v>
      </c>
      <c r="BG24" s="60" t="n">
        <f aca="false">BG20+BG22+BG23</f>
        <v>164814000</v>
      </c>
      <c r="BH24" s="60" t="n">
        <f aca="false">BH20+BH22+BH23</f>
        <v>164949225</v>
      </c>
      <c r="BI24" s="60" t="n">
        <f aca="false">BI20+BI22+BI23</f>
        <v>156223500</v>
      </c>
      <c r="BJ24" s="60" t="n">
        <f aca="false">BJ20+BJ22+BJ23</f>
        <v>150740250</v>
      </c>
    </row>
    <row r="25" s="71" customFormat="true" ht="13.5" hidden="false" customHeight="true" outlineLevel="0" collapsed="false">
      <c r="A25" s="37" t="s">
        <v>276</v>
      </c>
      <c r="B25" s="68" t="n">
        <f aca="false">SUM(C25:AL25)</f>
        <v>98249350.625</v>
      </c>
      <c r="C25" s="68" t="n">
        <f aca="false">C24*0.02</f>
        <v>1150000</v>
      </c>
      <c r="D25" s="68" t="n">
        <f aca="false">D24*0.02</f>
        <v>1150000</v>
      </c>
      <c r="E25" s="68" t="n">
        <f aca="false">E24*0.02</f>
        <v>2370891</v>
      </c>
      <c r="F25" s="68" t="n">
        <f aca="false">F24*0.02</f>
        <v>2370891</v>
      </c>
      <c r="G25" s="68" t="n">
        <f aca="false">G24*0.02</f>
        <v>2101783.125</v>
      </c>
      <c r="H25" s="68" t="n">
        <f aca="false">H24*0.02</f>
        <v>2195923.125</v>
      </c>
      <c r="I25" s="68" t="n">
        <f aca="false">I24*0.02</f>
        <v>2670571.875</v>
      </c>
      <c r="J25" s="68" t="n">
        <f aca="false">J24*0.02</f>
        <v>2634737.8125</v>
      </c>
      <c r="K25" s="68" t="n">
        <f aca="false">K24*0.02</f>
        <v>2895600</v>
      </c>
      <c r="L25" s="68" t="n">
        <f aca="false">L24*0.02</f>
        <v>2740670.625</v>
      </c>
      <c r="M25" s="68" t="n">
        <f aca="false">M24*0.02</f>
        <v>2622967.5</v>
      </c>
      <c r="N25" s="68" t="n">
        <f aca="false">N24*0.02</f>
        <v>2587884.375</v>
      </c>
      <c r="O25" s="68" t="n">
        <f aca="false">O24*0.02</f>
        <v>2625147.1875</v>
      </c>
      <c r="P25" s="68" t="n">
        <f aca="false">P24*0.02</f>
        <v>2471362.5</v>
      </c>
      <c r="Q25" s="68" t="n">
        <f aca="false">Q24*0.02</f>
        <v>2599950</v>
      </c>
      <c r="R25" s="68" t="n">
        <f aca="false">R24*0.02</f>
        <v>2767350</v>
      </c>
      <c r="S25" s="68" t="n">
        <f aca="false">S24*0.02</f>
        <v>2652510</v>
      </c>
      <c r="T25" s="68" t="n">
        <f aca="false">T24*0.02</f>
        <v>2875462.5</v>
      </c>
      <c r="U25" s="68" t="n">
        <f aca="false">U24*0.02</f>
        <v>3016425</v>
      </c>
      <c r="V25" s="68" t="n">
        <f aca="false">V24*0.02</f>
        <v>2971717.5</v>
      </c>
      <c r="W25" s="68" t="n">
        <f aca="false">W24*0.02</f>
        <v>3257400</v>
      </c>
      <c r="X25" s="68" t="n">
        <f aca="false">X24*0.02</f>
        <v>3260482.5</v>
      </c>
      <c r="Y25" s="68" t="n">
        <f aca="false">Y24*0.02</f>
        <v>3090990</v>
      </c>
      <c r="Z25" s="68" t="n">
        <f aca="false">Z24*0.02</f>
        <v>2984025</v>
      </c>
      <c r="AA25" s="68" t="n">
        <f aca="false">AA24*0.02</f>
        <v>3034492.5</v>
      </c>
      <c r="AB25" s="68" t="n">
        <f aca="false">AB24*0.02</f>
        <v>2889255</v>
      </c>
      <c r="AC25" s="68" t="n">
        <f aca="false">AC24*0.02</f>
        <v>3075924</v>
      </c>
      <c r="AD25" s="68" t="n">
        <f aca="false">AD24*0.02</f>
        <v>3075924</v>
      </c>
      <c r="AE25" s="68" t="n">
        <f aca="false">AE24*0.02</f>
        <v>2652510</v>
      </c>
      <c r="AF25" s="68" t="n">
        <f aca="false">AF24*0.02</f>
        <v>2875462.5</v>
      </c>
      <c r="AG25" s="68" t="n">
        <f aca="false">AG24*0.02</f>
        <v>3016425</v>
      </c>
      <c r="AH25" s="68" t="n">
        <f aca="false">AH24*0.02</f>
        <v>2971717.5</v>
      </c>
      <c r="AI25" s="68" t="n">
        <f aca="false">AI24*0.02</f>
        <v>3257400</v>
      </c>
      <c r="AJ25" s="68" t="n">
        <f aca="false">AJ24*0.02</f>
        <v>3260482.5</v>
      </c>
      <c r="AK25" s="68" t="n">
        <f aca="false">AK24*0.02</f>
        <v>3090990</v>
      </c>
      <c r="AL25" s="68" t="n">
        <f aca="false">AL24*0.02</f>
        <v>2984025</v>
      </c>
      <c r="AM25" s="68" t="n">
        <f aca="false">AM24*0.02</f>
        <v>3034492.5</v>
      </c>
      <c r="AN25" s="68" t="n">
        <f aca="false">AN24*0.02</f>
        <v>2889255</v>
      </c>
      <c r="AO25" s="68" t="n">
        <f aca="false">AO24*0.02</f>
        <v>3075924</v>
      </c>
      <c r="AP25" s="68" t="n">
        <f aca="false">AP24*0.02</f>
        <v>3176364</v>
      </c>
      <c r="AQ25" s="68" t="n">
        <f aca="false">AQ24*0.02</f>
        <v>2716770</v>
      </c>
      <c r="AR25" s="68" t="n">
        <f aca="false">AR24*0.02</f>
        <v>2954977.5</v>
      </c>
      <c r="AS25" s="68" t="n">
        <f aca="false">AS24*0.02</f>
        <v>3109575</v>
      </c>
      <c r="AT25" s="68" t="n">
        <f aca="false">AT24*0.02</f>
        <v>3059602.5</v>
      </c>
      <c r="AU25" s="68" t="n">
        <f aca="false">AU24*0.02</f>
        <v>3354600</v>
      </c>
      <c r="AV25" s="68" t="n">
        <f aca="false">AV24*0.02</f>
        <v>3356737.5</v>
      </c>
      <c r="AW25" s="68" t="n">
        <f aca="false">AW24*0.02</f>
        <v>3174690</v>
      </c>
      <c r="AX25" s="68" t="n">
        <f aca="false">AX24*0.02</f>
        <v>3060975</v>
      </c>
      <c r="AY25" s="68" t="n">
        <f aca="false">AY24*0.02</f>
        <v>3114007.5</v>
      </c>
      <c r="AZ25" s="68" t="n">
        <f aca="false">AZ24*0.02</f>
        <v>2974305</v>
      </c>
      <c r="BA25" s="68" t="n">
        <f aca="false">BA24*0.02</f>
        <v>3176364</v>
      </c>
      <c r="BB25" s="68" t="n">
        <f aca="false">BB24*0.02</f>
        <v>3140205.6</v>
      </c>
      <c r="BC25" s="68" t="n">
        <f aca="false">BC24*0.02</f>
        <v>2734675.5</v>
      </c>
      <c r="BD25" s="68" t="n">
        <f aca="false">BD24*0.02</f>
        <v>2923171.5</v>
      </c>
      <c r="BE25" s="68" t="n">
        <f aca="false">BE24*0.02</f>
        <v>3072315</v>
      </c>
      <c r="BF25" s="68" t="n">
        <f aca="false">BF24*0.02</f>
        <v>3024448.5</v>
      </c>
      <c r="BG25" s="68" t="n">
        <f aca="false">BG24*0.02</f>
        <v>3296280</v>
      </c>
      <c r="BH25" s="68" t="n">
        <f aca="false">BH24*0.02</f>
        <v>3298984.5</v>
      </c>
      <c r="BI25" s="68" t="n">
        <f aca="false">BI24*0.02</f>
        <v>3124470</v>
      </c>
      <c r="BJ25" s="68" t="n">
        <f aca="false">BJ24*0.02</f>
        <v>3014805</v>
      </c>
    </row>
    <row r="26" customFormat="false" ht="13.5" hidden="false" customHeight="true" outlineLevel="0" collapsed="false">
      <c r="A26" s="38" t="s">
        <v>277</v>
      </c>
      <c r="B26" s="60" t="n">
        <f aca="false">SUM(C26:AL26)</f>
        <v>147374025.9375</v>
      </c>
      <c r="C26" s="60" t="n">
        <f aca="false">C24*0.03</f>
        <v>1725000</v>
      </c>
      <c r="D26" s="60" t="n">
        <f aca="false">D24*0.03</f>
        <v>1725000</v>
      </c>
      <c r="E26" s="60" t="n">
        <f aca="false">E24*0.03</f>
        <v>3556336.5</v>
      </c>
      <c r="F26" s="60" t="n">
        <f aca="false">F24*0.03</f>
        <v>3556336.5</v>
      </c>
      <c r="G26" s="60" t="n">
        <f aca="false">G24*0.03</f>
        <v>3152674.6875</v>
      </c>
      <c r="H26" s="60" t="n">
        <f aca="false">H24*0.03</f>
        <v>3293884.6875</v>
      </c>
      <c r="I26" s="60" t="n">
        <f aca="false">I24*0.03</f>
        <v>4005857.8125</v>
      </c>
      <c r="J26" s="60" t="n">
        <f aca="false">J24*0.03</f>
        <v>3952106.71875</v>
      </c>
      <c r="K26" s="60" t="n">
        <f aca="false">K24*0.03</f>
        <v>4343400</v>
      </c>
      <c r="L26" s="60" t="n">
        <f aca="false">L24*0.03</f>
        <v>4111005.9375</v>
      </c>
      <c r="M26" s="60" t="n">
        <f aca="false">M24*0.03</f>
        <v>3934451.25</v>
      </c>
      <c r="N26" s="60" t="n">
        <f aca="false">N24*0.03</f>
        <v>3881826.5625</v>
      </c>
      <c r="O26" s="60" t="n">
        <f aca="false">O24*0.03</f>
        <v>3937720.78125</v>
      </c>
      <c r="P26" s="60" t="n">
        <f aca="false">P24*0.03</f>
        <v>3707043.75</v>
      </c>
      <c r="Q26" s="60" t="n">
        <f aca="false">Q24*0.03</f>
        <v>3899925</v>
      </c>
      <c r="R26" s="60" t="n">
        <f aca="false">R24*0.03</f>
        <v>4151025</v>
      </c>
      <c r="S26" s="60" t="n">
        <f aca="false">S24*0.03</f>
        <v>3978765</v>
      </c>
      <c r="T26" s="60" t="n">
        <f aca="false">T24*0.03</f>
        <v>4313193.75</v>
      </c>
      <c r="U26" s="60" t="n">
        <f aca="false">U24*0.03</f>
        <v>4524637.5</v>
      </c>
      <c r="V26" s="60" t="n">
        <f aca="false">V24*0.03</f>
        <v>4457576.25</v>
      </c>
      <c r="W26" s="60" t="n">
        <f aca="false">W24*0.03</f>
        <v>4886100</v>
      </c>
      <c r="X26" s="60" t="n">
        <f aca="false">X24*0.03</f>
        <v>4890723.75</v>
      </c>
      <c r="Y26" s="60" t="n">
        <f aca="false">Y24*0.03</f>
        <v>4636485</v>
      </c>
      <c r="Z26" s="60" t="n">
        <f aca="false">Z24*0.03</f>
        <v>4476037.5</v>
      </c>
      <c r="AA26" s="60" t="n">
        <f aca="false">AA24*0.03</f>
        <v>4551738.75</v>
      </c>
      <c r="AB26" s="60" t="n">
        <f aca="false">AB24*0.03</f>
        <v>4333882.5</v>
      </c>
      <c r="AC26" s="60" t="n">
        <f aca="false">AC24*0.03</f>
        <v>4613886</v>
      </c>
      <c r="AD26" s="60" t="n">
        <f aca="false">AD24*0.03</f>
        <v>4613886</v>
      </c>
      <c r="AE26" s="60" t="n">
        <f aca="false">AE24*0.03</f>
        <v>3978765</v>
      </c>
      <c r="AF26" s="60" t="n">
        <f aca="false">AF24*0.03</f>
        <v>4313193.75</v>
      </c>
      <c r="AG26" s="60" t="n">
        <f aca="false">AG24*0.03</f>
        <v>4524637.5</v>
      </c>
      <c r="AH26" s="60" t="n">
        <f aca="false">AH24*0.03</f>
        <v>4457576.25</v>
      </c>
      <c r="AI26" s="60" t="n">
        <f aca="false">AI24*0.03</f>
        <v>4886100</v>
      </c>
      <c r="AJ26" s="60" t="n">
        <f aca="false">AJ24*0.03</f>
        <v>4890723.75</v>
      </c>
      <c r="AK26" s="60" t="n">
        <f aca="false">AK24*0.03</f>
        <v>4636485</v>
      </c>
      <c r="AL26" s="60" t="n">
        <f aca="false">AL24*0.03</f>
        <v>4476037.5</v>
      </c>
      <c r="AM26" s="60" t="n">
        <f aca="false">AM24*0.03</f>
        <v>4551738.75</v>
      </c>
      <c r="AN26" s="60" t="n">
        <f aca="false">AN24*0.03</f>
        <v>4333882.5</v>
      </c>
      <c r="AO26" s="60" t="n">
        <f aca="false">AO24*0.03</f>
        <v>4613886</v>
      </c>
      <c r="AP26" s="60" t="n">
        <f aca="false">AP24*0.03</f>
        <v>4764546</v>
      </c>
      <c r="AQ26" s="60" t="n">
        <f aca="false">AQ24*0.03</f>
        <v>4075155</v>
      </c>
      <c r="AR26" s="60" t="n">
        <f aca="false">AR24*0.03</f>
        <v>4432466.25</v>
      </c>
      <c r="AS26" s="60" t="n">
        <f aca="false">AS24*0.03</f>
        <v>4664362.5</v>
      </c>
      <c r="AT26" s="60" t="n">
        <f aca="false">AT24*0.03</f>
        <v>4589403.75</v>
      </c>
      <c r="AU26" s="60" t="n">
        <f aca="false">AU24*0.03</f>
        <v>5031900</v>
      </c>
      <c r="AV26" s="60" t="n">
        <f aca="false">AV24*0.03</f>
        <v>5035106.25</v>
      </c>
      <c r="AW26" s="60" t="n">
        <f aca="false">AW24*0.03</f>
        <v>4762035</v>
      </c>
      <c r="AX26" s="60" t="n">
        <f aca="false">AX24*0.03</f>
        <v>4591462.5</v>
      </c>
      <c r="AY26" s="60" t="n">
        <f aca="false">AY24*0.03</f>
        <v>4671011.25</v>
      </c>
      <c r="AZ26" s="60" t="n">
        <f aca="false">AZ24*0.03</f>
        <v>4461457.5</v>
      </c>
      <c r="BA26" s="60" t="n">
        <f aca="false">BA24*0.03</f>
        <v>4764546</v>
      </c>
      <c r="BB26" s="60" t="n">
        <f aca="false">BB24*0.03</f>
        <v>4710308.4</v>
      </c>
      <c r="BC26" s="60" t="n">
        <f aca="false">BC24*0.03</f>
        <v>4102013.25</v>
      </c>
      <c r="BD26" s="60" t="n">
        <f aca="false">BD24*0.03</f>
        <v>4384757.25</v>
      </c>
      <c r="BE26" s="60" t="n">
        <f aca="false">BE24*0.03</f>
        <v>4608472.5</v>
      </c>
      <c r="BF26" s="60" t="n">
        <f aca="false">BF24*0.03</f>
        <v>4536672.75</v>
      </c>
      <c r="BG26" s="60" t="n">
        <f aca="false">BG24*0.03</f>
        <v>4944420</v>
      </c>
      <c r="BH26" s="60" t="n">
        <f aca="false">BH24*0.03</f>
        <v>4948476.75</v>
      </c>
      <c r="BI26" s="60" t="n">
        <f aca="false">BI24*0.03</f>
        <v>4686705</v>
      </c>
      <c r="BJ26" s="60" t="n">
        <f aca="false">BJ24*0.03</f>
        <v>4522207.5</v>
      </c>
    </row>
    <row r="27" customFormat="false" ht="13.5" hidden="false" customHeight="true" outlineLevel="0" collapsed="false">
      <c r="A27" s="66" t="s">
        <v>278</v>
      </c>
      <c r="B27" s="67" t="n">
        <f aca="false">SUM(C27:AL27)</f>
        <v>245623376.5625</v>
      </c>
      <c r="C27" s="67" t="n">
        <f aca="false">C22+C23+C25+C26</f>
        <v>2875000</v>
      </c>
      <c r="D27" s="67" t="n">
        <f aca="false">D22+D23+D25+D26</f>
        <v>2875000</v>
      </c>
      <c r="E27" s="67" t="n">
        <f aca="false">E22+E23+E25+E26</f>
        <v>5927227.5</v>
      </c>
      <c r="F27" s="67" t="n">
        <f aca="false">F22+F23+F25+F26</f>
        <v>5927227.5</v>
      </c>
      <c r="G27" s="67" t="n">
        <f aca="false">G22+G23+G25+G26</f>
        <v>5254457.8125</v>
      </c>
      <c r="H27" s="67" t="n">
        <f aca="false">H22+H23+H25+H26</f>
        <v>5489807.8125</v>
      </c>
      <c r="I27" s="67" t="n">
        <f aca="false">I22+I23+I25+I26</f>
        <v>6676429.6875</v>
      </c>
      <c r="J27" s="67" t="n">
        <f aca="false">J22+J23+J25+J26</f>
        <v>6586844.53125</v>
      </c>
      <c r="K27" s="67" t="n">
        <f aca="false">K22+K23+K25+K26</f>
        <v>7239000</v>
      </c>
      <c r="L27" s="67" t="n">
        <f aca="false">L22+L23+L25+L26</f>
        <v>6851676.5625</v>
      </c>
      <c r="M27" s="67" t="n">
        <f aca="false">M22+M23+M25+M26</f>
        <v>6557418.75</v>
      </c>
      <c r="N27" s="67" t="n">
        <f aca="false">N22+N23+N25+N26</f>
        <v>6469710.9375</v>
      </c>
      <c r="O27" s="67" t="n">
        <f aca="false">O22+O23+O25+O26</f>
        <v>6562867.96875</v>
      </c>
      <c r="P27" s="67" t="n">
        <f aca="false">P22+P23+P25+P26</f>
        <v>6178406.25</v>
      </c>
      <c r="Q27" s="67" t="n">
        <f aca="false">Q22+Q23+Q25+Q26</f>
        <v>6499875</v>
      </c>
      <c r="R27" s="67" t="n">
        <f aca="false">R22+R23+R25+R26</f>
        <v>6918375</v>
      </c>
      <c r="S27" s="67" t="n">
        <f aca="false">S22+S23+S25+S26</f>
        <v>6631275</v>
      </c>
      <c r="T27" s="67" t="n">
        <f aca="false">T22+T23+T25+T26</f>
        <v>7188656.25</v>
      </c>
      <c r="U27" s="67" t="n">
        <f aca="false">U22+U23+U25+U26</f>
        <v>7541062.5</v>
      </c>
      <c r="V27" s="67" t="n">
        <f aca="false">V22+V23+V25+V26</f>
        <v>7429293.75</v>
      </c>
      <c r="W27" s="67" t="n">
        <f aca="false">W22+W23+W25+W26</f>
        <v>8143500</v>
      </c>
      <c r="X27" s="67" t="n">
        <f aca="false">X22+X23+X25+X26</f>
        <v>8151206.25</v>
      </c>
      <c r="Y27" s="67" t="n">
        <f aca="false">Y22+Y23+Y25+Y26</f>
        <v>7727475</v>
      </c>
      <c r="Z27" s="67" t="n">
        <f aca="false">Z22+Z23+Z25+Z26</f>
        <v>7460062.5</v>
      </c>
      <c r="AA27" s="67" t="n">
        <f aca="false">AA22+AA23+AA25+AA26</f>
        <v>7586231.25</v>
      </c>
      <c r="AB27" s="67" t="n">
        <f aca="false">AB22+AB23+AB25+AB26</f>
        <v>7223137.5</v>
      </c>
      <c r="AC27" s="67" t="n">
        <f aca="false">AC22+AC23+AC25+AC26</f>
        <v>7689810</v>
      </c>
      <c r="AD27" s="67" t="n">
        <f aca="false">AD22+AD23+AD25+AD26</f>
        <v>7689810</v>
      </c>
      <c r="AE27" s="67" t="n">
        <f aca="false">AE22+AE23+AE25+AE26</f>
        <v>6631275</v>
      </c>
      <c r="AF27" s="67" t="n">
        <f aca="false">AF22+AF23+AF25+AF26</f>
        <v>7188656.25</v>
      </c>
      <c r="AG27" s="67" t="n">
        <f aca="false">AG22+AG23+AG25+AG26</f>
        <v>7541062.5</v>
      </c>
      <c r="AH27" s="67" t="n">
        <f aca="false">AH22+AH23+AH25+AH26</f>
        <v>7429293.75</v>
      </c>
      <c r="AI27" s="67" t="n">
        <f aca="false">AI22+AI23+AI25+AI26</f>
        <v>8143500</v>
      </c>
      <c r="AJ27" s="67" t="n">
        <f aca="false">AJ22+AJ23+AJ25+AJ26</f>
        <v>8151206.25</v>
      </c>
      <c r="AK27" s="67" t="n">
        <f aca="false">AK22+AK23+AK25+AK26</f>
        <v>7727475</v>
      </c>
      <c r="AL27" s="67" t="n">
        <f aca="false">AL22+AL23+AL25+AL26</f>
        <v>7460062.5</v>
      </c>
      <c r="AM27" s="67" t="n">
        <f aca="false">AM22+AM23+AM25+AM26</f>
        <v>7586231.25</v>
      </c>
      <c r="AN27" s="67" t="n">
        <f aca="false">AN22+AN23+AN25+AN26</f>
        <v>7223137.5</v>
      </c>
      <c r="AO27" s="67" t="n">
        <f aca="false">AO22+AO23+AO25+AO26</f>
        <v>7689810</v>
      </c>
      <c r="AP27" s="67" t="n">
        <f aca="false">AP22+AP23+AP25+AP26</f>
        <v>7940910</v>
      </c>
      <c r="AQ27" s="67" t="n">
        <f aca="false">AQ22+AQ23+AQ25+AQ26</f>
        <v>6791925</v>
      </c>
      <c r="AR27" s="67" t="n">
        <f aca="false">AR22+AR23+AR25+AR26</f>
        <v>7387443.75</v>
      </c>
      <c r="AS27" s="67" t="n">
        <f aca="false">AS22+AS23+AS25+AS26</f>
        <v>7773937.5</v>
      </c>
      <c r="AT27" s="67" t="n">
        <f aca="false">AT22+AT23+AT25+AT26</f>
        <v>7649006.25</v>
      </c>
      <c r="AU27" s="67" t="n">
        <f aca="false">AU22+AU23+AU25+AU26</f>
        <v>8386500</v>
      </c>
      <c r="AV27" s="67" t="n">
        <f aca="false">AV22+AV23+AV25+AV26</f>
        <v>8391843.75</v>
      </c>
      <c r="AW27" s="67" t="n">
        <f aca="false">AW22+AW23+AW25+AW26</f>
        <v>7936725</v>
      </c>
      <c r="AX27" s="67" t="n">
        <f aca="false">AX22+AX23+AX25+AX26</f>
        <v>7652437.5</v>
      </c>
      <c r="AY27" s="67" t="n">
        <f aca="false">AY22+AY23+AY25+AY26</f>
        <v>7785018.75</v>
      </c>
      <c r="AZ27" s="67" t="n">
        <f aca="false">AZ22+AZ23+AZ25+AZ26</f>
        <v>7435762.5</v>
      </c>
      <c r="BA27" s="67" t="n">
        <f aca="false">BA22+BA23+BA25+BA26</f>
        <v>7940910</v>
      </c>
      <c r="BB27" s="67" t="n">
        <f aca="false">BB22+BB23+BB25+BB26</f>
        <v>7850514</v>
      </c>
      <c r="BC27" s="67" t="n">
        <f aca="false">BC22+BC23+BC25+BC26</f>
        <v>6836688.75</v>
      </c>
      <c r="BD27" s="67" t="n">
        <f aca="false">BD22+BD23+BD25+BD26</f>
        <v>7307928.75</v>
      </c>
      <c r="BE27" s="67" t="n">
        <f aca="false">BE22+BE23+BE25+BE26</f>
        <v>7680787.5</v>
      </c>
      <c r="BF27" s="67" t="n">
        <f aca="false">BF22+BF23+BF25+BF26</f>
        <v>7561121.25</v>
      </c>
      <c r="BG27" s="67" t="n">
        <f aca="false">BG22+BG23+BG25+BG26</f>
        <v>8240700</v>
      </c>
      <c r="BH27" s="67" t="n">
        <f aca="false">BH22+BH23+BH25+BH26</f>
        <v>8247461.25</v>
      </c>
      <c r="BI27" s="67" t="n">
        <f aca="false">BI22+BI23+BI25+BI26</f>
        <v>7811175</v>
      </c>
      <c r="BJ27" s="67" t="n">
        <f aca="false">BJ22+BJ23+BJ25+BJ26</f>
        <v>7537012.5</v>
      </c>
    </row>
    <row r="28" customFormat="false" ht="13.5" hidden="false" customHeight="true" outlineLevel="0" collapsed="false">
      <c r="A28" s="59" t="s">
        <v>279</v>
      </c>
      <c r="B28" s="59"/>
      <c r="C28" s="59"/>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71"/>
      <c r="AO28" s="71"/>
      <c r="AP28" s="71"/>
      <c r="AQ28" s="71"/>
      <c r="AR28" s="71"/>
      <c r="AS28" s="71"/>
      <c r="AT28" s="71"/>
      <c r="AU28" s="71"/>
      <c r="AV28" s="71"/>
      <c r="AW28" s="71"/>
      <c r="AX28" s="71"/>
      <c r="AY28" s="71"/>
      <c r="AZ28" s="71"/>
      <c r="BA28" s="71"/>
      <c r="BB28" s="71"/>
      <c r="BC28" s="71"/>
      <c r="BD28" s="71"/>
      <c r="BE28" s="71"/>
      <c r="BF28" s="71"/>
      <c r="BG28" s="71"/>
      <c r="BH28" s="71"/>
      <c r="BI28" s="71"/>
      <c r="BJ28" s="71"/>
    </row>
    <row r="29" customFormat="false" ht="13.5" hidden="false" customHeight="true" outlineLevel="0" collapsed="false">
      <c r="A29" s="37" t="s">
        <v>280</v>
      </c>
      <c r="B29" s="68" t="n">
        <f aca="false">SUM(C29:AL29)</f>
        <v>300000000</v>
      </c>
      <c r="C29" s="64" t="n">
        <f aca="false">'⚙️ Assumptions'!$B$16</f>
        <v>300000000</v>
      </c>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row>
    <row r="30" customFormat="false" ht="13.5" hidden="false" customHeight="true" outlineLevel="0" collapsed="false">
      <c r="A30" s="38" t="s">
        <v>281</v>
      </c>
      <c r="B30" s="60" t="n">
        <f aca="false">SUM(C30:AL30)</f>
        <v>180000000</v>
      </c>
      <c r="C30" s="64" t="n">
        <f aca="false">$C$29/12/5</f>
        <v>5000000</v>
      </c>
      <c r="D30" s="64" t="n">
        <f aca="false">$C$29/12/5</f>
        <v>5000000</v>
      </c>
      <c r="E30" s="64" t="n">
        <f aca="false">$C$29/12/5</f>
        <v>5000000</v>
      </c>
      <c r="F30" s="64" t="n">
        <f aca="false">$C$29/12/5</f>
        <v>5000000</v>
      </c>
      <c r="G30" s="64" t="n">
        <f aca="false">$C$29/12/5</f>
        <v>5000000</v>
      </c>
      <c r="H30" s="64" t="n">
        <f aca="false">$C$29/12/5</f>
        <v>5000000</v>
      </c>
      <c r="I30" s="64" t="n">
        <f aca="false">$C$29/12/5</f>
        <v>5000000</v>
      </c>
      <c r="J30" s="64" t="n">
        <f aca="false">$C$29/12/5</f>
        <v>5000000</v>
      </c>
      <c r="K30" s="64" t="n">
        <f aca="false">$C$29/12/5</f>
        <v>5000000</v>
      </c>
      <c r="L30" s="64" t="n">
        <f aca="false">$C$29/12/5</f>
        <v>5000000</v>
      </c>
      <c r="M30" s="64" t="n">
        <f aca="false">$C$29/12/5</f>
        <v>5000000</v>
      </c>
      <c r="N30" s="64" t="n">
        <f aca="false">$C$29/12/5</f>
        <v>5000000</v>
      </c>
      <c r="O30" s="64" t="n">
        <f aca="false">$C$29/12/5</f>
        <v>5000000</v>
      </c>
      <c r="P30" s="64" t="n">
        <f aca="false">$C$29/12/5</f>
        <v>5000000</v>
      </c>
      <c r="Q30" s="64" t="n">
        <f aca="false">$C$29/12/5</f>
        <v>5000000</v>
      </c>
      <c r="R30" s="64" t="n">
        <f aca="false">$C$29/12/5</f>
        <v>5000000</v>
      </c>
      <c r="S30" s="64" t="n">
        <f aca="false">$C$29/12/5</f>
        <v>5000000</v>
      </c>
      <c r="T30" s="64" t="n">
        <f aca="false">$C$29/12/5</f>
        <v>5000000</v>
      </c>
      <c r="U30" s="64" t="n">
        <f aca="false">$C$29/12/5</f>
        <v>5000000</v>
      </c>
      <c r="V30" s="64" t="n">
        <f aca="false">$C$29/12/5</f>
        <v>5000000</v>
      </c>
      <c r="W30" s="64" t="n">
        <f aca="false">$C$29/12/5</f>
        <v>5000000</v>
      </c>
      <c r="X30" s="64" t="n">
        <f aca="false">$C$29/12/5</f>
        <v>5000000</v>
      </c>
      <c r="Y30" s="64" t="n">
        <f aca="false">$C$29/12/5</f>
        <v>5000000</v>
      </c>
      <c r="Z30" s="64" t="n">
        <f aca="false">$C$29/12/5</f>
        <v>5000000</v>
      </c>
      <c r="AA30" s="64" t="n">
        <f aca="false">$C$29/12/5</f>
        <v>5000000</v>
      </c>
      <c r="AB30" s="64" t="n">
        <f aca="false">$C$29/12/5</f>
        <v>5000000</v>
      </c>
      <c r="AC30" s="64" t="n">
        <f aca="false">$C$29/12/5</f>
        <v>5000000</v>
      </c>
      <c r="AD30" s="64" t="n">
        <f aca="false">$C$29/12/5</f>
        <v>5000000</v>
      </c>
      <c r="AE30" s="64" t="n">
        <f aca="false">$C$29/12/5</f>
        <v>5000000</v>
      </c>
      <c r="AF30" s="64" t="n">
        <f aca="false">$C$29/12/5</f>
        <v>5000000</v>
      </c>
      <c r="AG30" s="64" t="n">
        <f aca="false">$C$29/12/5</f>
        <v>5000000</v>
      </c>
      <c r="AH30" s="64" t="n">
        <f aca="false">$C$29/12/5</f>
        <v>5000000</v>
      </c>
      <c r="AI30" s="64" t="n">
        <f aca="false">$C$29/12/5</f>
        <v>5000000</v>
      </c>
      <c r="AJ30" s="64" t="n">
        <f aca="false">$C$29/12/5</f>
        <v>5000000</v>
      </c>
      <c r="AK30" s="64" t="n">
        <f aca="false">$C$29/12/5</f>
        <v>5000000</v>
      </c>
      <c r="AL30" s="64" t="n">
        <f aca="false">$C$29/12/5</f>
        <v>5000000</v>
      </c>
      <c r="AM30" s="64" t="n">
        <f aca="false">$C$29/12/5</f>
        <v>5000000</v>
      </c>
      <c r="AN30" s="64" t="n">
        <f aca="false">$C$29/12/5</f>
        <v>5000000</v>
      </c>
      <c r="AO30" s="64" t="n">
        <f aca="false">$C$29/12/5</f>
        <v>5000000</v>
      </c>
      <c r="AP30" s="64" t="n">
        <f aca="false">$C$29/12/5</f>
        <v>5000000</v>
      </c>
      <c r="AQ30" s="64" t="n">
        <f aca="false">$C$29/12/5</f>
        <v>5000000</v>
      </c>
      <c r="AR30" s="64" t="n">
        <f aca="false">$C$29/12/5</f>
        <v>5000000</v>
      </c>
      <c r="AS30" s="64" t="n">
        <f aca="false">$C$29/12/5</f>
        <v>5000000</v>
      </c>
      <c r="AT30" s="64" t="n">
        <f aca="false">$C$29/12/5</f>
        <v>5000000</v>
      </c>
      <c r="AU30" s="64" t="n">
        <f aca="false">$C$29/12/5</f>
        <v>5000000</v>
      </c>
      <c r="AV30" s="64" t="n">
        <f aca="false">$C$29/12/5</f>
        <v>5000000</v>
      </c>
      <c r="AW30" s="64" t="n">
        <f aca="false">$C$29/12/5</f>
        <v>5000000</v>
      </c>
      <c r="AX30" s="64" t="n">
        <f aca="false">$C$29/12/5</f>
        <v>5000000</v>
      </c>
      <c r="AY30" s="64" t="n">
        <f aca="false">$C$29/12/5</f>
        <v>5000000</v>
      </c>
      <c r="AZ30" s="64" t="n">
        <f aca="false">$C$29/12/5</f>
        <v>5000000</v>
      </c>
      <c r="BA30" s="64" t="n">
        <f aca="false">$C$29/12/5</f>
        <v>5000000</v>
      </c>
      <c r="BB30" s="64" t="n">
        <f aca="false">$C$29/12/5</f>
        <v>5000000</v>
      </c>
      <c r="BC30" s="64" t="n">
        <f aca="false">$C$29/12/5</f>
        <v>5000000</v>
      </c>
      <c r="BD30" s="64" t="n">
        <f aca="false">$C$29/12/5</f>
        <v>5000000</v>
      </c>
      <c r="BE30" s="64" t="n">
        <f aca="false">$C$29/12/5</f>
        <v>5000000</v>
      </c>
      <c r="BF30" s="64" t="n">
        <f aca="false">$C$29/12/5</f>
        <v>5000000</v>
      </c>
      <c r="BG30" s="64" t="n">
        <f aca="false">$C$29/12/5</f>
        <v>5000000</v>
      </c>
      <c r="BH30" s="64" t="n">
        <f aca="false">$C$29/12/5</f>
        <v>5000000</v>
      </c>
      <c r="BI30" s="64" t="n">
        <f aca="false">$C$29/12/5</f>
        <v>5000000</v>
      </c>
      <c r="BJ30" s="64" t="n">
        <f aca="false">$C$29/12/5</f>
        <v>5000000</v>
      </c>
    </row>
    <row r="31" customFormat="false" ht="13.5" hidden="false" customHeight="true" outlineLevel="0" collapsed="false">
      <c r="A31" s="59" t="s">
        <v>282</v>
      </c>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71"/>
      <c r="AO31" s="71"/>
      <c r="AP31" s="71"/>
      <c r="AQ31" s="71"/>
      <c r="AR31" s="71"/>
      <c r="AS31" s="71"/>
      <c r="AT31" s="71"/>
      <c r="AU31" s="71"/>
      <c r="AV31" s="71"/>
      <c r="AW31" s="71"/>
      <c r="AX31" s="71"/>
      <c r="AY31" s="71"/>
      <c r="AZ31" s="71"/>
      <c r="BA31" s="71"/>
      <c r="BB31" s="71"/>
      <c r="BC31" s="71"/>
      <c r="BD31" s="71"/>
      <c r="BE31" s="71"/>
      <c r="BF31" s="71"/>
      <c r="BG31" s="71"/>
      <c r="BH31" s="71"/>
      <c r="BI31" s="71"/>
      <c r="BJ31" s="71"/>
    </row>
    <row r="32" customFormat="false" ht="13.5" hidden="false" customHeight="true" outlineLevel="0" collapsed="false">
      <c r="A32" s="69" t="s">
        <v>283</v>
      </c>
      <c r="B32" s="70" t="n">
        <f aca="false">SUM(C32:AL32)</f>
        <v>8224514657.8125</v>
      </c>
      <c r="C32" s="70" t="n">
        <f aca="false">C7+C20+C27</f>
        <v>60375000</v>
      </c>
      <c r="D32" s="70" t="n">
        <f aca="false">D7+D20+D27</f>
        <v>60375000</v>
      </c>
      <c r="E32" s="70" t="n">
        <f aca="false">E7+E20+E27</f>
        <v>159625777.5</v>
      </c>
      <c r="F32" s="70" t="n">
        <f aca="false">F7+F20+F27</f>
        <v>157616977.5</v>
      </c>
      <c r="G32" s="70" t="n">
        <f aca="false">G7+G20+G27</f>
        <v>146948864.0625</v>
      </c>
      <c r="H32" s="70" t="n">
        <f aca="false">H7+H20+H27</f>
        <v>159019214.0625</v>
      </c>
      <c r="I32" s="70" t="n">
        <f aca="false">I7+I20+I27</f>
        <v>217053773.4375</v>
      </c>
      <c r="J32" s="70" t="n">
        <f aca="false">J7+J20+J27</f>
        <v>210828860.15625</v>
      </c>
      <c r="K32" s="70" t="n">
        <f aca="false">K7+K20+K27</f>
        <v>237555000</v>
      </c>
      <c r="L32" s="70" t="n">
        <f aca="false">L7+L20+L27</f>
        <v>239177657.8125</v>
      </c>
      <c r="M32" s="70" t="n">
        <f aca="false">M7+M20+M27</f>
        <v>220568793.75</v>
      </c>
      <c r="N32" s="70" t="n">
        <f aca="false">N7+N20+N27</f>
        <v>216276679.6875</v>
      </c>
      <c r="O32" s="70" t="n">
        <f aca="false">O7+O20+O27</f>
        <v>220913402.34375</v>
      </c>
      <c r="P32" s="70" t="n">
        <f aca="false">P7+P20+P27</f>
        <v>223301531.25</v>
      </c>
      <c r="Q32" s="70" t="n">
        <f aca="false">Q7+Q20+Q27</f>
        <v>246981375</v>
      </c>
      <c r="R32" s="70" t="n">
        <f aca="false">R7+R20+R27</f>
        <v>245725875</v>
      </c>
      <c r="S32" s="70" t="n">
        <f aca="false">S7+S20+S27</f>
        <v>216368775</v>
      </c>
      <c r="T32" s="70" t="n">
        <f aca="false">T7+T20+T27</f>
        <v>246379781.25</v>
      </c>
      <c r="U32" s="70" t="n">
        <f aca="false">U7+U20+U27</f>
        <v>270142312.5</v>
      </c>
      <c r="V32" s="70" t="n">
        <f aca="false">V7+V20+V27</f>
        <v>261477168.75</v>
      </c>
      <c r="W32" s="70" t="n">
        <f aca="false">W7+W20+W27</f>
        <v>287653500</v>
      </c>
      <c r="X32" s="70" t="n">
        <f aca="false">X7+X20+X27</f>
        <v>286681331.25</v>
      </c>
      <c r="Y32" s="70" t="n">
        <f aca="false">Y7+Y20+Y27</f>
        <v>262716975</v>
      </c>
      <c r="Z32" s="70" t="n">
        <f aca="false">Z7+Z20+Z27</f>
        <v>249001312.5</v>
      </c>
      <c r="AA32" s="70" t="n">
        <f aca="false">AA7+AA20+AA27</f>
        <v>254728856.25</v>
      </c>
      <c r="AB32" s="70" t="n">
        <f aca="false">AB7+AB20+AB27</f>
        <v>253745887.5</v>
      </c>
      <c r="AC32" s="70" t="n">
        <f aca="false">AC7+AC20+AC27</f>
        <v>282014010</v>
      </c>
      <c r="AD32" s="70" t="n">
        <f aca="false">AD7+AD20+AD27</f>
        <v>277996410</v>
      </c>
      <c r="AE32" s="70" t="n">
        <f aca="false">AE7+AE20+AE27</f>
        <v>213798375</v>
      </c>
      <c r="AF32" s="70" t="n">
        <f aca="false">AF7+AF20+AF27</f>
        <v>243199181.25</v>
      </c>
      <c r="AG32" s="70" t="n">
        <f aca="false">AG7+AG20+AG27</f>
        <v>266416312.5</v>
      </c>
      <c r="AH32" s="70" t="n">
        <f aca="false">AH7+AH20+AH27</f>
        <v>257961768.75</v>
      </c>
      <c r="AI32" s="70" t="n">
        <f aca="false">AI7+AI20+AI27</f>
        <v>283765500</v>
      </c>
      <c r="AJ32" s="70" t="n">
        <f aca="false">AJ7+AJ20+AJ27</f>
        <v>282831131.25</v>
      </c>
      <c r="AK32" s="70" t="n">
        <f aca="false">AK7+AK20+AK27</f>
        <v>259368975</v>
      </c>
      <c r="AL32" s="70" t="n">
        <f aca="false">AL7+AL20+AL27</f>
        <v>245923312.5</v>
      </c>
      <c r="AM32" s="70" t="n">
        <f aca="false">AM7+AM20+AM27</f>
        <v>251548256.25</v>
      </c>
      <c r="AN32" s="70" t="n">
        <f aca="false">AN7+AN20+AN27</f>
        <v>250343887.5</v>
      </c>
      <c r="AO32" s="70" t="n">
        <f aca="false">AO7+AO20+AO27</f>
        <v>277996410</v>
      </c>
      <c r="AP32" s="70" t="n">
        <f aca="false">AP7+AP20+AP27</f>
        <v>283269510</v>
      </c>
      <c r="AQ32" s="70" t="n">
        <f aca="false">AQ7+AQ20+AQ27</f>
        <v>217172025</v>
      </c>
      <c r="AR32" s="70" t="n">
        <f aca="false">AR7+AR20+AR27</f>
        <v>247373718.75</v>
      </c>
      <c r="AS32" s="70" t="n">
        <f aca="false">AS7+AS20+AS27</f>
        <v>271306687.5</v>
      </c>
      <c r="AT32" s="70" t="n">
        <f aca="false">AT7+AT20+AT27</f>
        <v>262575731.25</v>
      </c>
      <c r="AU32" s="70" t="n">
        <f aca="false">AU7+AU20+AU27</f>
        <v>288868500</v>
      </c>
      <c r="AV32" s="70" t="n">
        <f aca="false">AV7+AV20+AV27</f>
        <v>287884518.75</v>
      </c>
      <c r="AW32" s="70" t="n">
        <f aca="false">AW7+AW20+AW27</f>
        <v>263763225</v>
      </c>
      <c r="AX32" s="70" t="n">
        <f aca="false">AX7+AX20+AX27</f>
        <v>249963187.5</v>
      </c>
      <c r="AY32" s="70" t="n">
        <f aca="false">AY7+AY20+AY27</f>
        <v>255722793.75</v>
      </c>
      <c r="AZ32" s="70" t="n">
        <f aca="false">AZ7+AZ20+AZ27</f>
        <v>254809012.5</v>
      </c>
      <c r="BA32" s="70" t="n">
        <f aca="false">BA7+BA20+BA27</f>
        <v>283269510</v>
      </c>
      <c r="BB32" s="70" t="n">
        <f aca="false">BB7+BB20+BB27</f>
        <v>281371194</v>
      </c>
      <c r="BC32" s="70" t="n">
        <f aca="false">BC7+BC20+BC27</f>
        <v>220774263.75</v>
      </c>
      <c r="BD32" s="70" t="n">
        <f aca="false">BD7+BD20+BD27</f>
        <v>245703903.75</v>
      </c>
      <c r="BE32" s="70" t="n">
        <f aca="false">BE7+BE20+BE27</f>
        <v>269350537.5</v>
      </c>
      <c r="BF32" s="70" t="n">
        <f aca="false">BF7+BF20+BF27</f>
        <v>260730146.25</v>
      </c>
      <c r="BG32" s="70" t="n">
        <f aca="false">BG7+BG20+BG27</f>
        <v>285806700</v>
      </c>
      <c r="BH32" s="70" t="n">
        <f aca="false">BH7+BH20+BH27</f>
        <v>284852486.25</v>
      </c>
      <c r="BI32" s="70" t="n">
        <f aca="false">BI7+BI20+BI27</f>
        <v>261126675</v>
      </c>
      <c r="BJ32" s="70" t="n">
        <f aca="false">BJ7+BJ20+BJ27</f>
        <v>247539262.5</v>
      </c>
    </row>
    <row r="33" customFormat="false" ht="13.5" hidden="false" customHeight="true" outlineLevel="0" collapsed="false">
      <c r="A33" s="69" t="s">
        <v>284</v>
      </c>
      <c r="B33" s="70" t="n">
        <f aca="false">SUM(C33:AL33)</f>
        <v>8524514657.8125</v>
      </c>
      <c r="C33" s="70" t="n">
        <f aca="false">C32+C29</f>
        <v>360375000</v>
      </c>
      <c r="D33" s="70" t="n">
        <f aca="false">D32+D29</f>
        <v>60375000</v>
      </c>
      <c r="E33" s="70" t="n">
        <f aca="false">E32+E29</f>
        <v>159625777.5</v>
      </c>
      <c r="F33" s="70" t="n">
        <f aca="false">F32+F29</f>
        <v>157616977.5</v>
      </c>
      <c r="G33" s="70" t="n">
        <f aca="false">G32+G29</f>
        <v>146948864.0625</v>
      </c>
      <c r="H33" s="70" t="n">
        <f aca="false">H32+H29</f>
        <v>159019214.0625</v>
      </c>
      <c r="I33" s="70" t="n">
        <f aca="false">I32+I29</f>
        <v>217053773.4375</v>
      </c>
      <c r="J33" s="70" t="n">
        <f aca="false">J32+J29</f>
        <v>210828860.15625</v>
      </c>
      <c r="K33" s="70" t="n">
        <f aca="false">K32+K29</f>
        <v>237555000</v>
      </c>
      <c r="L33" s="70" t="n">
        <f aca="false">L32+L29</f>
        <v>239177657.8125</v>
      </c>
      <c r="M33" s="70" t="n">
        <f aca="false">M32+M29</f>
        <v>220568793.75</v>
      </c>
      <c r="N33" s="70" t="n">
        <f aca="false">N32+N29</f>
        <v>216276679.6875</v>
      </c>
      <c r="O33" s="70" t="n">
        <f aca="false">O32+O29</f>
        <v>220913402.34375</v>
      </c>
      <c r="P33" s="70" t="n">
        <f aca="false">P32+P29</f>
        <v>223301531.25</v>
      </c>
      <c r="Q33" s="70" t="n">
        <f aca="false">Q32+Q29</f>
        <v>246981375</v>
      </c>
      <c r="R33" s="70" t="n">
        <f aca="false">R32+R29</f>
        <v>245725875</v>
      </c>
      <c r="S33" s="70" t="n">
        <f aca="false">S32+S29</f>
        <v>216368775</v>
      </c>
      <c r="T33" s="70" t="n">
        <f aca="false">T32+T29</f>
        <v>246379781.25</v>
      </c>
      <c r="U33" s="70" t="n">
        <f aca="false">U32+U29</f>
        <v>270142312.5</v>
      </c>
      <c r="V33" s="70" t="n">
        <f aca="false">V32+V29</f>
        <v>261477168.75</v>
      </c>
      <c r="W33" s="70" t="n">
        <f aca="false">W32+W29</f>
        <v>287653500</v>
      </c>
      <c r="X33" s="70" t="n">
        <f aca="false">X32+X29</f>
        <v>286681331.25</v>
      </c>
      <c r="Y33" s="70" t="n">
        <f aca="false">Y32+Y29</f>
        <v>262716975</v>
      </c>
      <c r="Z33" s="70" t="n">
        <f aca="false">Z32+Z29</f>
        <v>249001312.5</v>
      </c>
      <c r="AA33" s="70" t="n">
        <f aca="false">AA32+AA29</f>
        <v>254728856.25</v>
      </c>
      <c r="AB33" s="70" t="n">
        <f aca="false">AB32+AB29</f>
        <v>253745887.5</v>
      </c>
      <c r="AC33" s="70" t="n">
        <f aca="false">AC32+AC29</f>
        <v>282014010</v>
      </c>
      <c r="AD33" s="70" t="n">
        <f aca="false">AD32+AD29</f>
        <v>277996410</v>
      </c>
      <c r="AE33" s="70" t="n">
        <f aca="false">AE32+AE29</f>
        <v>213798375</v>
      </c>
      <c r="AF33" s="70" t="n">
        <f aca="false">AF32+AF29</f>
        <v>243199181.25</v>
      </c>
      <c r="AG33" s="70" t="n">
        <f aca="false">AG32+AG29</f>
        <v>266416312.5</v>
      </c>
      <c r="AH33" s="70" t="n">
        <f aca="false">AH32+AH29</f>
        <v>257961768.75</v>
      </c>
      <c r="AI33" s="70" t="n">
        <f aca="false">AI32+AI29</f>
        <v>283765500</v>
      </c>
      <c r="AJ33" s="70" t="n">
        <f aca="false">AJ32+AJ29</f>
        <v>282831131.25</v>
      </c>
      <c r="AK33" s="70" t="n">
        <f aca="false">AK32+AK29</f>
        <v>259368975</v>
      </c>
      <c r="AL33" s="70" t="n">
        <f aca="false">AL32+AL29</f>
        <v>245923312.5</v>
      </c>
      <c r="AM33" s="70" t="n">
        <f aca="false">AM32+AM29</f>
        <v>251548256.25</v>
      </c>
      <c r="AN33" s="70" t="n">
        <f aca="false">AN32+AN29</f>
        <v>250343887.5</v>
      </c>
      <c r="AO33" s="70" t="n">
        <f aca="false">AO32+AO29</f>
        <v>277996410</v>
      </c>
      <c r="AP33" s="70" t="n">
        <f aca="false">AP32+AP29</f>
        <v>283269510</v>
      </c>
      <c r="AQ33" s="70" t="n">
        <f aca="false">AQ32+AQ29</f>
        <v>217172025</v>
      </c>
      <c r="AR33" s="70" t="n">
        <f aca="false">AR32+AR29</f>
        <v>247373718.75</v>
      </c>
      <c r="AS33" s="70" t="n">
        <f aca="false">AS32+AS29</f>
        <v>271306687.5</v>
      </c>
      <c r="AT33" s="70" t="n">
        <f aca="false">AT32+AT29</f>
        <v>262575731.25</v>
      </c>
      <c r="AU33" s="70" t="n">
        <f aca="false">AU32+AU29</f>
        <v>288868500</v>
      </c>
      <c r="AV33" s="70" t="n">
        <f aca="false">AV32+AV29</f>
        <v>287884518.75</v>
      </c>
      <c r="AW33" s="70" t="n">
        <f aca="false">AW32+AW29</f>
        <v>263763225</v>
      </c>
      <c r="AX33" s="70" t="n">
        <f aca="false">AX32+AX29</f>
        <v>249963187.5</v>
      </c>
      <c r="AY33" s="70" t="n">
        <f aca="false">AY32+AY29</f>
        <v>255722793.75</v>
      </c>
      <c r="AZ33" s="70" t="n">
        <f aca="false">AZ32+AZ29</f>
        <v>254809012.5</v>
      </c>
      <c r="BA33" s="70" t="n">
        <f aca="false">BA32+BA29</f>
        <v>283269510</v>
      </c>
      <c r="BB33" s="70" t="n">
        <f aca="false">BB32+BB29</f>
        <v>281371194</v>
      </c>
      <c r="BC33" s="70" t="n">
        <f aca="false">BC32+BC29</f>
        <v>220774263.75</v>
      </c>
      <c r="BD33" s="70" t="n">
        <f aca="false">BD32+BD29</f>
        <v>245703903.75</v>
      </c>
      <c r="BE33" s="70" t="n">
        <f aca="false">BE32+BE29</f>
        <v>269350537.5</v>
      </c>
      <c r="BF33" s="70" t="n">
        <f aca="false">BF32+BF29</f>
        <v>260730146.25</v>
      </c>
      <c r="BG33" s="70" t="n">
        <f aca="false">BG32+BG29</f>
        <v>285806700</v>
      </c>
      <c r="BH33" s="70" t="n">
        <f aca="false">BH32+BH29</f>
        <v>284852486.25</v>
      </c>
      <c r="BI33" s="70" t="n">
        <f aca="false">BI32+BI29</f>
        <v>261126675</v>
      </c>
      <c r="BJ33" s="70" t="n">
        <f aca="false">BJ32+BJ29</f>
        <v>247539262.5</v>
      </c>
    </row>
    <row r="34" customFormat="false" ht="13.5" hidden="false" customHeight="true" outlineLevel="0" collapsed="false">
      <c r="A34" s="37" t="s">
        <v>285</v>
      </c>
      <c r="B34" s="82" t="str">
        <f aca="false">""</f>
        <v/>
      </c>
      <c r="C34" s="82" t="str">
        <f aca="false">IFERROR(C32/INDEX('💰 Revenue'!$C$19:$BJ$19,MATCH(C3,'💰 Revenue'!$C$5:BJ5,0)),"-")</f>
        <v>-</v>
      </c>
      <c r="D34" s="82" t="str">
        <f aca="false">IFERROR(D32/INDEX('💰 Revenue'!$C$19:$BJ$19,MATCH(D3,'💰 Revenue'!$C$5:BK5,0)),"-")</f>
        <v>-</v>
      </c>
      <c r="E34" s="82" t="n">
        <f aca="false">IFERROR(E32/INDEX('💰 Revenue'!$C$19:$BJ$19,MATCH(E3,'💰 Revenue'!$C$5:BL5,0)),"-")</f>
        <v>1.27141200716846</v>
      </c>
      <c r="F34" s="82" t="n">
        <f aca="false">IFERROR(F32/INDEX('💰 Revenue'!$C$19:$BJ$19,MATCH(F3,'💰 Revenue'!$C$5:BM5,0)),"-")</f>
        <v>1.25541200716846</v>
      </c>
      <c r="G34" s="82" t="n">
        <f aca="false">IFERROR(G32/INDEX('💰 Revenue'!$C$19:$BJ$19,MATCH(G3,'💰 Revenue'!$C$5:BN5,0)),"-")</f>
        <v>1.0598069979716</v>
      </c>
      <c r="H34" s="82" t="n">
        <f aca="false">IFERROR(H32/INDEX('💰 Revenue'!$C$19:$BJ$19,MATCH(H3,'💰 Revenue'!$C$5:BO5,0)),"-")</f>
        <v>0.959934889643464</v>
      </c>
      <c r="I34" s="82" t="n">
        <f aca="false">IFERROR(I32/INDEX('💰 Revenue'!$C$19:$BJ$19,MATCH(I3,'💰 Revenue'!$C$5:BP5,0)),"-")</f>
        <v>0.745649033816425</v>
      </c>
      <c r="J34" s="82" t="n">
        <f aca="false">IFERROR(J32/INDEX('💰 Revenue'!$C$19:$BJ$19,MATCH(J3,'💰 Revenue'!$C$5:BQ5,0)),"-")</f>
        <v>0.767653584229391</v>
      </c>
      <c r="K34" s="82" t="n">
        <f aca="false">IFERROR(K32/INDEX('💰 Revenue'!$C$19:$BJ$19,MATCH(K3,'💰 Revenue'!$C$5:BR5,0)),"-")</f>
        <v>0.733194444444445</v>
      </c>
      <c r="L34" s="82" t="n">
        <f aca="false">IFERROR(L32/INDEX('💰 Revenue'!$C$19:$BJ$19,MATCH(L3,'💰 Revenue'!$C$5:BS5,0)),"-")</f>
        <v>0.662622292348449</v>
      </c>
      <c r="M34" s="82" t="n">
        <f aca="false">IFERROR(M32/INDEX('💰 Revenue'!$C$19:$BJ$19,MATCH(M3,'💰 Revenue'!$C$5:BT5,0)),"-")</f>
        <v>0.702728136200717</v>
      </c>
      <c r="N34" s="82" t="n">
        <f aca="false">IFERROR(N32/INDEX('💰 Revenue'!$C$19:$BJ$19,MATCH(N3,'💰 Revenue'!$C$5:BU5,0)),"-")</f>
        <v>0.710049630655586</v>
      </c>
      <c r="O34" s="82" t="n">
        <f aca="false">IFERROR(O32/INDEX('💰 Revenue'!$C$19:$BJ$19,MATCH(O3,'💰 Revenue'!$C$5:BV5,0)),"-")</f>
        <v>0.701876396211241</v>
      </c>
      <c r="P34" s="82" t="n">
        <f aca="false">IFERROR(P32/INDEX('💰 Revenue'!$C$19:$BJ$19,MATCH(P3,'💰 Revenue'!$C$5:BW5,0)),"-")</f>
        <v>0.630127777777778</v>
      </c>
      <c r="Q34" s="82" t="n">
        <f aca="false">IFERROR(Q32/INDEX('💰 Revenue'!$C$19:$BJ$19,MATCH(Q3,'💰 Revenue'!$C$5:BX5,0)),"-")</f>
        <v>0.590158602150538</v>
      </c>
      <c r="R34" s="82" t="n">
        <f aca="false">IFERROR(R32/INDEX('💰 Revenue'!$C$19:$BJ$19,MATCH(R3,'💰 Revenue'!$C$5:BY5,0)),"-")</f>
        <v>0.587158602150538</v>
      </c>
      <c r="S34" s="82" t="n">
        <f aca="false">IFERROR(S32/INDEX('💰 Revenue'!$C$19:$BJ$19,MATCH(S3,'💰 Revenue'!$C$5:BZ5,0)),"-")</f>
        <v>0.673416666666667</v>
      </c>
      <c r="T34" s="82" t="n">
        <f aca="false">IFERROR(T32/INDEX('💰 Revenue'!$C$19:$BJ$19,MATCH(T3,'💰 Revenue'!$C$5:CA5,0)),"-")</f>
        <v>0.619706423316355</v>
      </c>
      <c r="U34" s="82" t="n">
        <f aca="false">IFERROR(U32/INDEX('💰 Revenue'!$C$19:$BJ$19,MATCH(U3,'💰 Revenue'!$C$5:CB5,0)),"-")</f>
        <v>0.580015700483092</v>
      </c>
      <c r="V34" s="82" t="n">
        <f aca="false">IFERROR(V32/INDEX('💰 Revenue'!$C$19:$BJ$19,MATCH(V3,'💰 Revenue'!$C$5:CC5,0)),"-")</f>
        <v>0.595043906810036</v>
      </c>
      <c r="W34" s="82" t="n">
        <f aca="false">IFERROR(W32/INDEX('💰 Revenue'!$C$19:$BJ$19,MATCH(W3,'💰 Revenue'!$C$5:CD5,0)),"-")</f>
        <v>0.59187962962963</v>
      </c>
      <c r="X34" s="82" t="n">
        <f aca="false">IFERROR(X32/INDEX('💰 Revenue'!$C$19:$BJ$19,MATCH(X3,'💰 Revenue'!$C$5:CE5,0)),"-")</f>
        <v>0.595670523609163</v>
      </c>
      <c r="Y34" s="82" t="n">
        <f aca="false">IFERROR(Y32/INDEX('💰 Revenue'!$C$19:$BJ$19,MATCH(Y3,'💰 Revenue'!$C$5:CF5,0)),"-")</f>
        <v>0.627758602150538</v>
      </c>
      <c r="Z34" s="82" t="n">
        <f aca="false">IFERROR(Z32/INDEX('💰 Revenue'!$C$19:$BJ$19,MATCH(Z3,'💰 Revenue'!$C$5:CG5,0)),"-")</f>
        <v>0.647176900584795</v>
      </c>
      <c r="AA34" s="82" t="n">
        <f aca="false">IFERROR(AA32/INDEX('💰 Revenue'!$C$19:$BJ$19,MATCH(AA3,'💰 Revenue'!$C$5:CH5,0)),"-")</f>
        <v>0.640706423316355</v>
      </c>
      <c r="AB34" s="82" t="n">
        <f aca="false">IFERROR(AB32/INDEX('💰 Revenue'!$C$19:$BJ$19,MATCH(AB3,'💰 Revenue'!$C$5:CI5,0)),"-")</f>
        <v>0.596698148148148</v>
      </c>
      <c r="AC34" s="82" t="n">
        <f aca="false">IFERROR(AC32/INDEX('💰 Revenue'!$C$19:$BJ$19,MATCH(AC3,'💰 Revenue'!$C$5:CJ5,0)),"-")</f>
        <v>0.561557168458781</v>
      </c>
      <c r="AD34" s="82" t="n">
        <f aca="false">IFERROR(AD32/INDEX('💰 Revenue'!$C$19:$BJ$19,MATCH(AD3,'💰 Revenue'!$C$5:CK5,0)),"-")</f>
        <v>0.553557168458781</v>
      </c>
      <c r="AE34" s="82" t="n">
        <f aca="false">IFERROR(AE32/INDEX('💰 Revenue'!$C$19:$BJ$19,MATCH(AE3,'💰 Revenue'!$C$5:CL5,0)),"-")</f>
        <v>0.665416666666667</v>
      </c>
      <c r="AF34" s="82" t="n">
        <f aca="false">IFERROR(AF32/INDEX('💰 Revenue'!$C$19:$BJ$19,MATCH(AF3,'💰 Revenue'!$C$5:CM5,0)),"-")</f>
        <v>0.611706423316355</v>
      </c>
      <c r="AG34" s="82" t="n">
        <f aca="false">IFERROR(AG32/INDEX('💰 Revenue'!$C$19:$BJ$19,MATCH(AG3,'💰 Revenue'!$C$5:CN5,0)),"-")</f>
        <v>0.572015700483092</v>
      </c>
      <c r="AH34" s="82" t="n">
        <f aca="false">IFERROR(AH32/INDEX('💰 Revenue'!$C$19:$BJ$19,MATCH(AH3,'💰 Revenue'!$C$5:CO5,0)),"-")</f>
        <v>0.587043906810036</v>
      </c>
      <c r="AI34" s="82" t="n">
        <f aca="false">IFERROR(AI32/INDEX('💰 Revenue'!$C$19:$BJ$19,MATCH(AI3,'💰 Revenue'!$C$5:CP5,0)),"-")</f>
        <v>0.58387962962963</v>
      </c>
      <c r="AJ34" s="82" t="n">
        <f aca="false">IFERROR(AJ32/INDEX('💰 Revenue'!$C$19:$BJ$19,MATCH(AJ3,'💰 Revenue'!$C$5:CQ5,0)),"-")</f>
        <v>0.587670523609163</v>
      </c>
      <c r="AK34" s="82" t="n">
        <f aca="false">IFERROR(AK32/INDEX('💰 Revenue'!$C$19:$BJ$19,MATCH(AK3,'💰 Revenue'!$C$5:CR5,0)),"-")</f>
        <v>0.619758602150538</v>
      </c>
      <c r="AL34" s="82" t="n">
        <f aca="false">IFERROR(AL32/INDEX('💰 Revenue'!$C$19:$BJ$19,MATCH(AL3,'💰 Revenue'!$C$5:CS5,0)),"-")</f>
        <v>0.639176900584795</v>
      </c>
      <c r="AM34" s="82" t="n">
        <f aca="false">IFERROR(AM32/INDEX('💰 Revenue'!$C$19:$BJ$19,MATCH(AM3,'💰 Revenue'!$C$5:CT5,0)),"-")</f>
        <v>0.632706423316355</v>
      </c>
      <c r="AN34" s="82" t="n">
        <f aca="false">IFERROR(AN32/INDEX('💰 Revenue'!$C$19:$BJ$19,MATCH(AN3,'💰 Revenue'!$C$5:CU5,0)),"-")</f>
        <v>0.588698148148148</v>
      </c>
      <c r="AO34" s="82" t="n">
        <f aca="false">IFERROR(AO32/INDEX('💰 Revenue'!$C$19:$BJ$19,MATCH(AO3,'💰 Revenue'!$C$5:CV5,0)),"-")</f>
        <v>0.553557168458781</v>
      </c>
      <c r="AP34" s="82" t="n">
        <f aca="false">IFERROR(AP32/INDEX('💰 Revenue'!$C$19:$BJ$19,MATCH(AP3,'💰 Revenue'!$C$5:CW5,0)),"-")</f>
        <v>0.564057168458781</v>
      </c>
      <c r="AQ34" s="82" t="n">
        <f aca="false">IFERROR(AQ32/INDEX('💰 Revenue'!$C$19:$BJ$19,MATCH(AQ3,'💰 Revenue'!$C$5:CX5,0)),"-")</f>
        <v>0.675916666666667</v>
      </c>
      <c r="AR34" s="82" t="n">
        <f aca="false">IFERROR(AR32/INDEX('💰 Revenue'!$C$19:$BJ$19,MATCH(AR3,'💰 Revenue'!$C$5:CY5,0)),"-")</f>
        <v>0.622206423316356</v>
      </c>
      <c r="AS34" s="82" t="n">
        <f aca="false">IFERROR(AS32/INDEX('💰 Revenue'!$C$19:$BJ$19,MATCH(AS3,'💰 Revenue'!$C$5:CZ5,0)),"-")</f>
        <v>0.582515700483092</v>
      </c>
      <c r="AT34" s="82" t="n">
        <f aca="false">IFERROR(AT32/INDEX('💰 Revenue'!$C$19:$BJ$19,MATCH(AT3,'💰 Revenue'!$C$5:DA5,0)),"-")</f>
        <v>0.597543906810036</v>
      </c>
      <c r="AU34" s="82" t="n">
        <f aca="false">IFERROR(AU32/INDEX('💰 Revenue'!$C$19:$BJ$19,MATCH(AU3,'💰 Revenue'!$C$5:DB5,0)),"-")</f>
        <v>0.59437962962963</v>
      </c>
      <c r="AV34" s="82" t="n">
        <f aca="false">IFERROR(AV32/INDEX('💰 Revenue'!$C$19:$BJ$19,MATCH(AV3,'💰 Revenue'!$C$5:DC5,0)),"-")</f>
        <v>0.598170523609163</v>
      </c>
      <c r="AW34" s="82" t="n">
        <f aca="false">IFERROR(AW32/INDEX('💰 Revenue'!$C$19:$BJ$19,MATCH(AW3,'💰 Revenue'!$C$5:DD5,0)),"-")</f>
        <v>0.630258602150538</v>
      </c>
      <c r="AX34" s="82" t="n">
        <f aca="false">IFERROR(AX32/INDEX('💰 Revenue'!$C$19:$BJ$19,MATCH(AX3,'💰 Revenue'!$C$5:DE5,0)),"-")</f>
        <v>0.649676900584795</v>
      </c>
      <c r="AY34" s="82" t="n">
        <f aca="false">IFERROR(AY32/INDEX('💰 Revenue'!$C$19:$BJ$19,MATCH(AY3,'💰 Revenue'!$C$5:DF5,0)),"-")</f>
        <v>0.643206423316355</v>
      </c>
      <c r="AZ34" s="82" t="n">
        <f aca="false">IFERROR(AZ32/INDEX('💰 Revenue'!$C$19:$BJ$19,MATCH(AZ3,'💰 Revenue'!$C$5:DG5,0)),"-")</f>
        <v>0.599198148148148</v>
      </c>
      <c r="BA34" s="82" t="n">
        <f aca="false">IFERROR(BA32/INDEX('💰 Revenue'!$C$19:$BJ$19,MATCH(BA3,'💰 Revenue'!$C$5:DH5,0)),"-")</f>
        <v>0.564057168458781</v>
      </c>
      <c r="BB34" s="82" t="n">
        <f aca="false">IFERROR(BB32/INDEX('💰 Revenue'!$C$19:$BJ$19,MATCH(BB3,'💰 Revenue'!$C$5:DI5,0)),"-")</f>
        <v>0.560277168458781</v>
      </c>
      <c r="BC34" s="82" t="n">
        <f aca="false">IFERROR(BC32/INDEX('💰 Revenue'!$C$19:$BJ$19,MATCH(BC3,'💰 Revenue'!$C$5:DJ5,0)),"-")</f>
        <v>0.663434043272482</v>
      </c>
      <c r="BD34" s="82" t="n">
        <f aca="false">IFERROR(BD32/INDEX('💰 Revenue'!$C$19:$BJ$19,MATCH(BD3,'💰 Revenue'!$C$5:DK5,0)),"-")</f>
        <v>0.618006423316355</v>
      </c>
      <c r="BE34" s="82" t="n">
        <f aca="false">IFERROR(BE32/INDEX('💰 Revenue'!$C$19:$BJ$19,MATCH(BE3,'💰 Revenue'!$C$5:DL5,0)),"-")</f>
        <v>0.578315700483092</v>
      </c>
      <c r="BF34" s="82" t="n">
        <f aca="false">IFERROR(BF32/INDEX('💰 Revenue'!$C$19:$BJ$19,MATCH(BF3,'💰 Revenue'!$C$5:DM5,0)),"-")</f>
        <v>0.593343906810036</v>
      </c>
      <c r="BG34" s="82" t="n">
        <f aca="false">IFERROR(BG32/INDEX('💰 Revenue'!$C$19:$BJ$19,MATCH(BG3,'💰 Revenue'!$C$5:DN5,0)),"-")</f>
        <v>0.58807962962963</v>
      </c>
      <c r="BH34" s="82" t="n">
        <f aca="false">IFERROR(BH32/INDEX('💰 Revenue'!$C$19:$BJ$19,MATCH(BH3,'💰 Revenue'!$C$5:DO5,0)),"-")</f>
        <v>0.591870523609163</v>
      </c>
      <c r="BI34" s="82" t="n">
        <f aca="false">IFERROR(BI32/INDEX('💰 Revenue'!$C$19:$BJ$19,MATCH(BI3,'💰 Revenue'!$C$5:DP5,0)),"-")</f>
        <v>0.623958602150538</v>
      </c>
      <c r="BJ34" s="82" t="n">
        <f aca="false">IFERROR(BJ32/INDEX('💰 Revenue'!$C$19:$BJ$19,MATCH(BJ3,'💰 Revenue'!$C$5:DQ5,0)),"-")</f>
        <v>0.643376900584795</v>
      </c>
    </row>
  </sheetData>
  <mergeCells count="9">
    <mergeCell ref="A1:AM1"/>
    <mergeCell ref="C2:N2"/>
    <mergeCell ref="O2:Z2"/>
    <mergeCell ref="AA2:AL2"/>
    <mergeCell ref="A4:AM4"/>
    <mergeCell ref="A8:AM8"/>
    <mergeCell ref="A21:AM21"/>
    <mergeCell ref="A28:AM28"/>
    <mergeCell ref="A31:AM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47A1"/>
    <pageSetUpPr fitToPage="false"/>
  </sheetPr>
  <dimension ref="A1:BI1048576"/>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selection pane="topLeft" activeCell="D22" activeCellId="0" sqref="D22"/>
    </sheetView>
  </sheetViews>
  <sheetFormatPr defaultColWidth="8.71484375" defaultRowHeight="13.8" customHeight="false" zeroHeight="false" outlineLevelRow="0" outlineLevelCol="0"/>
  <cols>
    <col collapsed="false" customWidth="true" hidden="false" outlineLevel="0" max="1" min="1" style="83" width="30"/>
    <col collapsed="false" customWidth="true" hidden="false" outlineLevel="0" max="37" min="2" style="83" width="15.13"/>
    <col collapsed="false" customWidth="true" hidden="false" outlineLevel="0" max="61" min="38" style="83" width="14.82"/>
    <col collapsed="false" customWidth="true" hidden="false" outlineLevel="0" max="64" min="62" style="83" width="11.53"/>
    <col collapsed="false" customWidth="false" hidden="false" outlineLevel="0" max="16384" min="65" style="83" width="8.71"/>
  </cols>
  <sheetData>
    <row r="1" customFormat="false" ht="30" hidden="false" customHeight="true" outlineLevel="0" collapsed="false">
      <c r="A1" s="84" t="s">
        <v>286</v>
      </c>
      <c r="B1" s="84"/>
      <c r="C1" s="84"/>
      <c r="D1" s="84"/>
      <c r="E1" s="84"/>
      <c r="F1" s="84"/>
      <c r="G1" s="84"/>
    </row>
    <row r="2" customFormat="false" ht="47.75" hidden="false" customHeight="true" outlineLevel="0" collapsed="false">
      <c r="A2" s="85" t="s">
        <v>287</v>
      </c>
      <c r="B2" s="85" t="s">
        <v>288</v>
      </c>
      <c r="C2" s="86" t="s">
        <v>289</v>
      </c>
      <c r="D2" s="85" t="s">
        <v>290</v>
      </c>
      <c r="E2" s="85"/>
      <c r="F2" s="85" t="s">
        <v>291</v>
      </c>
      <c r="G2" s="85" t="s">
        <v>93</v>
      </c>
    </row>
    <row r="3" customFormat="false" ht="15" hidden="false" customHeight="true" outlineLevel="0" collapsed="false">
      <c r="A3" s="87" t="s">
        <v>292</v>
      </c>
      <c r="B3" s="88" t="n">
        <v>1</v>
      </c>
      <c r="C3" s="89" t="n">
        <f aca="false">12*10^6</f>
        <v>12000000</v>
      </c>
      <c r="D3" s="89"/>
      <c r="E3" s="88"/>
      <c r="F3" s="88"/>
      <c r="G3" s="90"/>
    </row>
    <row r="4" customFormat="false" ht="15" hidden="false" customHeight="true" outlineLevel="0" collapsed="false">
      <c r="A4" s="87" t="s">
        <v>293</v>
      </c>
      <c r="B4" s="88"/>
      <c r="C4" s="89"/>
      <c r="D4" s="89" t="n">
        <v>33000</v>
      </c>
      <c r="E4" s="88"/>
      <c r="F4" s="88" t="s">
        <v>294</v>
      </c>
      <c r="G4" s="90"/>
      <c r="I4" s="91"/>
    </row>
    <row r="5" customFormat="false" ht="15" hidden="false" customHeight="true" outlineLevel="0" collapsed="false">
      <c r="A5" s="87" t="s">
        <v>295</v>
      </c>
      <c r="B5" s="88" t="n">
        <v>0</v>
      </c>
      <c r="C5" s="89" t="n">
        <v>8500000</v>
      </c>
      <c r="D5" s="89"/>
      <c r="E5" s="88"/>
      <c r="F5" s="88"/>
      <c r="G5" s="90"/>
    </row>
    <row r="6" customFormat="false" ht="15" hidden="false" customHeight="true" outlineLevel="0" collapsed="false">
      <c r="A6" s="87" t="s">
        <v>296</v>
      </c>
      <c r="B6" s="88"/>
      <c r="C6" s="89" t="n">
        <f aca="false">4*10^6</f>
        <v>4000000</v>
      </c>
      <c r="D6" s="89"/>
      <c r="E6" s="88"/>
      <c r="F6" s="88"/>
      <c r="G6" s="90"/>
    </row>
    <row r="7" customFormat="false" ht="13.8" hidden="false" customHeight="false" outlineLevel="0" collapsed="false">
      <c r="C7" s="88"/>
      <c r="D7" s="88"/>
    </row>
    <row r="8" customFormat="false" ht="15.75" hidden="false" customHeight="true" outlineLevel="0" collapsed="false">
      <c r="A8" s="92" t="s">
        <v>297</v>
      </c>
      <c r="B8" s="93" t="n">
        <f aca="false">SUMPRODUCT((LEN(A3:A6)&gt;0)*(B3:B6))</f>
        <v>1</v>
      </c>
      <c r="C8" s="93" t="n">
        <f aca="false">SUMPRODUCT((LEN(A3:A6)&gt;0)*(C3:C6))</f>
        <v>24500000</v>
      </c>
      <c r="D8" s="93" t="n">
        <f aca="false">SUMPRODUCT((LEN(A3:A6)&gt;0)*(D3:D6))</f>
        <v>33000</v>
      </c>
    </row>
    <row r="10" customFormat="false" ht="13.8" hidden="false" customHeight="false" outlineLevel="0" collapsed="false">
      <c r="B10" s="83" t="n">
        <v>1</v>
      </c>
      <c r="C10" s="83" t="n">
        <v>2</v>
      </c>
      <c r="D10" s="83" t="n">
        <v>3</v>
      </c>
      <c r="E10" s="83" t="n">
        <v>4</v>
      </c>
      <c r="F10" s="83" t="n">
        <v>5</v>
      </c>
      <c r="G10" s="83" t="n">
        <v>6</v>
      </c>
      <c r="H10" s="83" t="n">
        <v>7</v>
      </c>
      <c r="I10" s="83" t="n">
        <v>8</v>
      </c>
      <c r="J10" s="83" t="n">
        <v>9</v>
      </c>
      <c r="K10" s="83" t="n">
        <v>10</v>
      </c>
      <c r="L10" s="83" t="n">
        <v>11</v>
      </c>
      <c r="M10" s="83" t="n">
        <v>12</v>
      </c>
      <c r="N10" s="83" t="n">
        <v>13</v>
      </c>
      <c r="O10" s="83" t="n">
        <v>14</v>
      </c>
      <c r="P10" s="83" t="n">
        <v>15</v>
      </c>
      <c r="Q10" s="83" t="n">
        <v>16</v>
      </c>
      <c r="R10" s="83" t="n">
        <v>17</v>
      </c>
      <c r="S10" s="83" t="n">
        <v>18</v>
      </c>
      <c r="T10" s="83" t="n">
        <v>19</v>
      </c>
      <c r="U10" s="83" t="n">
        <v>20</v>
      </c>
      <c r="V10" s="83" t="n">
        <v>21</v>
      </c>
      <c r="W10" s="83" t="n">
        <v>22</v>
      </c>
      <c r="X10" s="83" t="n">
        <v>23</v>
      </c>
      <c r="Y10" s="83" t="n">
        <v>24</v>
      </c>
      <c r="Z10" s="83" t="n">
        <v>25</v>
      </c>
      <c r="AA10" s="83" t="n">
        <v>26</v>
      </c>
      <c r="AB10" s="83" t="n">
        <v>27</v>
      </c>
      <c r="AC10" s="83" t="n">
        <v>28</v>
      </c>
      <c r="AD10" s="83" t="n">
        <v>29</v>
      </c>
      <c r="AE10" s="83" t="n">
        <v>30</v>
      </c>
      <c r="AF10" s="83" t="n">
        <v>31</v>
      </c>
      <c r="AG10" s="83" t="n">
        <v>32</v>
      </c>
      <c r="AH10" s="83" t="n">
        <v>33</v>
      </c>
      <c r="AI10" s="83" t="n">
        <v>34</v>
      </c>
      <c r="AJ10" s="83" t="n">
        <v>35</v>
      </c>
      <c r="AK10" s="83" t="n">
        <v>36</v>
      </c>
      <c r="AL10" s="83" t="n">
        <v>37</v>
      </c>
      <c r="AM10" s="83" t="n">
        <v>38</v>
      </c>
      <c r="AN10" s="83" t="n">
        <v>39</v>
      </c>
      <c r="AO10" s="83" t="n">
        <v>40</v>
      </c>
      <c r="AP10" s="83" t="n">
        <v>41</v>
      </c>
      <c r="AQ10" s="83" t="n">
        <v>42</v>
      </c>
      <c r="AR10" s="83" t="n">
        <v>43</v>
      </c>
      <c r="AS10" s="83" t="n">
        <v>44</v>
      </c>
      <c r="AT10" s="83" t="n">
        <v>45</v>
      </c>
      <c r="AU10" s="83" t="n">
        <v>46</v>
      </c>
      <c r="AV10" s="83" t="n">
        <v>47</v>
      </c>
      <c r="AW10" s="83" t="n">
        <v>48</v>
      </c>
      <c r="AX10" s="83" t="n">
        <v>49</v>
      </c>
      <c r="AY10" s="83" t="n">
        <v>50</v>
      </c>
      <c r="AZ10" s="83" t="n">
        <v>51</v>
      </c>
      <c r="BA10" s="83" t="n">
        <v>52</v>
      </c>
      <c r="BB10" s="83" t="n">
        <v>53</v>
      </c>
      <c r="BC10" s="83" t="n">
        <v>54</v>
      </c>
      <c r="BD10" s="83" t="n">
        <v>55</v>
      </c>
      <c r="BE10" s="83" t="n">
        <v>56</v>
      </c>
      <c r="BF10" s="83" t="n">
        <v>57</v>
      </c>
      <c r="BG10" s="83" t="n">
        <v>58</v>
      </c>
      <c r="BH10" s="83" t="n">
        <v>59</v>
      </c>
      <c r="BI10" s="83" t="n">
        <v>60</v>
      </c>
    </row>
    <row r="11" customFormat="false" ht="13.8" hidden="false" customHeight="false" outlineLevel="0" collapsed="false">
      <c r="B11" s="94" t="n">
        <f aca="false">'⚙️ Assumptions'!B6</f>
        <v>46661</v>
      </c>
      <c r="C11" s="94" t="n">
        <f aca="false">EDATE($B$11,'💰 Revenue'!D2)</f>
        <v>46692</v>
      </c>
      <c r="D11" s="94" t="n">
        <f aca="false">EDATE($B$11,'💰 Revenue'!E2)</f>
        <v>46722</v>
      </c>
      <c r="E11" s="94" t="n">
        <f aca="false">EDATE($B$11,'💰 Revenue'!F2)</f>
        <v>46753</v>
      </c>
      <c r="F11" s="94" t="n">
        <f aca="false">EDATE($B$11,'💰 Revenue'!G2)</f>
        <v>46784</v>
      </c>
      <c r="G11" s="94" t="n">
        <f aca="false">EDATE($B$11,'💰 Revenue'!H2)</f>
        <v>46813</v>
      </c>
      <c r="H11" s="94" t="n">
        <f aca="false">EDATE($B$11,'💰 Revenue'!I2)</f>
        <v>46844</v>
      </c>
      <c r="I11" s="94" t="n">
        <f aca="false">EDATE($B$11,'💰 Revenue'!J2)</f>
        <v>46874</v>
      </c>
      <c r="J11" s="94" t="n">
        <f aca="false">EDATE($B$11,'💰 Revenue'!K2)</f>
        <v>46905</v>
      </c>
      <c r="K11" s="94" t="n">
        <f aca="false">EDATE($B$11,'💰 Revenue'!L2)</f>
        <v>46935</v>
      </c>
      <c r="L11" s="94" t="n">
        <f aca="false">EDATE($B$11,'💰 Revenue'!M2)</f>
        <v>46966</v>
      </c>
      <c r="M11" s="94" t="n">
        <f aca="false">EDATE($B$11,'💰 Revenue'!N2)</f>
        <v>46997</v>
      </c>
      <c r="N11" s="94" t="n">
        <f aca="false">EDATE($B$11,'💰 Revenue'!O2)</f>
        <v>47027</v>
      </c>
      <c r="O11" s="94" t="n">
        <f aca="false">EDATE($B$11,'💰 Revenue'!P2)</f>
        <v>47058</v>
      </c>
      <c r="P11" s="94" t="n">
        <f aca="false">EDATE($B$11,'💰 Revenue'!Q2)</f>
        <v>47088</v>
      </c>
      <c r="Q11" s="94" t="n">
        <f aca="false">EDATE($B$11,'💰 Revenue'!R2)</f>
        <v>47119</v>
      </c>
      <c r="R11" s="94" t="n">
        <f aca="false">EDATE($B$11,'💰 Revenue'!S2)</f>
        <v>47150</v>
      </c>
      <c r="S11" s="94" t="n">
        <f aca="false">EDATE($B$11,'💰 Revenue'!T2)</f>
        <v>47178</v>
      </c>
      <c r="T11" s="94" t="n">
        <f aca="false">EDATE($B$11,'💰 Revenue'!U2)</f>
        <v>47209</v>
      </c>
      <c r="U11" s="94" t="n">
        <f aca="false">EDATE($B$11,'💰 Revenue'!V2)</f>
        <v>47239</v>
      </c>
      <c r="V11" s="94" t="n">
        <f aca="false">EDATE($B$11,'💰 Revenue'!W2)</f>
        <v>47270</v>
      </c>
      <c r="W11" s="94" t="n">
        <f aca="false">EDATE($B$11,'💰 Revenue'!X2)</f>
        <v>47300</v>
      </c>
      <c r="X11" s="94" t="n">
        <f aca="false">EDATE($B$11,'💰 Revenue'!Y2)</f>
        <v>47331</v>
      </c>
      <c r="Y11" s="94" t="n">
        <f aca="false">EDATE($B$11,'💰 Revenue'!Z2)</f>
        <v>47362</v>
      </c>
      <c r="Z11" s="94" t="n">
        <f aca="false">EDATE($B$11,'💰 Revenue'!AA2)</f>
        <v>47392</v>
      </c>
      <c r="AA11" s="94" t="n">
        <f aca="false">EDATE($B$11,'💰 Revenue'!AB2)</f>
        <v>47423</v>
      </c>
      <c r="AB11" s="94" t="n">
        <f aca="false">EDATE($B$11,'💰 Revenue'!AC2)</f>
        <v>47453</v>
      </c>
      <c r="AC11" s="94" t="n">
        <f aca="false">EDATE($B$11,'💰 Revenue'!AD2)</f>
        <v>47484</v>
      </c>
      <c r="AD11" s="94" t="n">
        <f aca="false">EDATE($B$11,'💰 Revenue'!AE2)</f>
        <v>47515</v>
      </c>
      <c r="AE11" s="94" t="n">
        <f aca="false">EDATE($B$11,'💰 Revenue'!AF2)</f>
        <v>47543</v>
      </c>
      <c r="AF11" s="94" t="n">
        <f aca="false">EDATE($B$11,'💰 Revenue'!AG2)</f>
        <v>47574</v>
      </c>
      <c r="AG11" s="94" t="n">
        <f aca="false">EDATE($B$11,'💰 Revenue'!AH2)</f>
        <v>47604</v>
      </c>
      <c r="AH11" s="94" t="n">
        <f aca="false">EDATE($B$11,'💰 Revenue'!AI2)</f>
        <v>47635</v>
      </c>
      <c r="AI11" s="94" t="n">
        <f aca="false">EDATE($B$11,'💰 Revenue'!AJ2)</f>
        <v>47665</v>
      </c>
      <c r="AJ11" s="94" t="n">
        <f aca="false">EDATE($B$11,'💰 Revenue'!AK2)</f>
        <v>47696</v>
      </c>
      <c r="AK11" s="94" t="n">
        <f aca="false">EDATE($B$11,'💰 Revenue'!AL2)</f>
        <v>47727</v>
      </c>
      <c r="AL11" s="94" t="n">
        <f aca="false">EDATE($B$11,'💰 Revenue'!AM2)</f>
        <v>47757</v>
      </c>
      <c r="AM11" s="94" t="n">
        <f aca="false">EDATE($B$11,'💰 Revenue'!AN2)</f>
        <v>47788</v>
      </c>
      <c r="AN11" s="94" t="n">
        <f aca="false">EDATE($B$11,'💰 Revenue'!AO2)</f>
        <v>47818</v>
      </c>
      <c r="AO11" s="94" t="n">
        <f aca="false">EDATE($B$11,'💰 Revenue'!AP2)</f>
        <v>47849</v>
      </c>
      <c r="AP11" s="94" t="n">
        <f aca="false">EDATE($B$11,'💰 Revenue'!AQ2)</f>
        <v>47880</v>
      </c>
      <c r="AQ11" s="94" t="n">
        <f aca="false">EDATE($B$11,'💰 Revenue'!AR2)</f>
        <v>47908</v>
      </c>
      <c r="AR11" s="94" t="n">
        <f aca="false">EDATE($B$11,'💰 Revenue'!AS2)</f>
        <v>47939</v>
      </c>
      <c r="AS11" s="94" t="n">
        <f aca="false">EDATE($B$11,'💰 Revenue'!AT2)</f>
        <v>47969</v>
      </c>
      <c r="AT11" s="94" t="n">
        <f aca="false">EDATE($B$11,'💰 Revenue'!AU2)</f>
        <v>48000</v>
      </c>
      <c r="AU11" s="94" t="n">
        <f aca="false">EDATE($B$11,'💰 Revenue'!AV2)</f>
        <v>48030</v>
      </c>
      <c r="AV11" s="94" t="n">
        <f aca="false">EDATE($B$11,'💰 Revenue'!AW2)</f>
        <v>48061</v>
      </c>
      <c r="AW11" s="94" t="n">
        <f aca="false">EDATE($B$11,'💰 Revenue'!AX2)</f>
        <v>48092</v>
      </c>
      <c r="AX11" s="94" t="n">
        <f aca="false">EDATE($B$11,'💰 Revenue'!AY2)</f>
        <v>48122</v>
      </c>
      <c r="AY11" s="94" t="n">
        <f aca="false">EDATE($B$11,'💰 Revenue'!AZ2)</f>
        <v>48153</v>
      </c>
      <c r="AZ11" s="94" t="n">
        <f aca="false">EDATE($B$11,'💰 Revenue'!BA2)</f>
        <v>48183</v>
      </c>
      <c r="BA11" s="94" t="n">
        <f aca="false">EDATE($B$11,'💰 Revenue'!BB2)</f>
        <v>48214</v>
      </c>
      <c r="BB11" s="94" t="n">
        <f aca="false">EDATE($B$11,'💰 Revenue'!BC2)</f>
        <v>48245</v>
      </c>
      <c r="BC11" s="94" t="n">
        <f aca="false">EDATE($B$11,'💰 Revenue'!BD2)</f>
        <v>48274</v>
      </c>
      <c r="BD11" s="94" t="n">
        <f aca="false">EDATE($B$11,'💰 Revenue'!BE2)</f>
        <v>48305</v>
      </c>
      <c r="BE11" s="94" t="n">
        <f aca="false">EDATE($B$11,'💰 Revenue'!BF2)</f>
        <v>48335</v>
      </c>
      <c r="BF11" s="94" t="n">
        <f aca="false">EDATE($B$11,'💰 Revenue'!BG2)</f>
        <v>48366</v>
      </c>
      <c r="BG11" s="94" t="n">
        <f aca="false">EDATE($B$11,'💰 Revenue'!BH2)</f>
        <v>48396</v>
      </c>
      <c r="BH11" s="94" t="n">
        <f aca="false">EDATE($B$11,'💰 Revenue'!BI2)</f>
        <v>48427</v>
      </c>
      <c r="BI11" s="94" t="n">
        <f aca="false">EDATE($B$11,'💰 Revenue'!BJ2)</f>
        <v>48458</v>
      </c>
    </row>
    <row r="12" customFormat="false" ht="13.8" hidden="false" customHeight="false" outlineLevel="0" collapsed="false">
      <c r="A12" s="95" t="s">
        <v>298</v>
      </c>
      <c r="B12" s="96" t="n">
        <f aca="false">_xlfn.LET(
_xlpm.prep_month, INDEX('⚙️ Other Assumptions'!$B$18:$AK$18,MATCH(B$10,'⚙️ Other Assumptions'!$B$14:$AK$14,0)), 
IF(B$10&gt; 10, $C$3, IF( _xlpm.prep_month  &gt;0, $C$3,0)))</f>
        <v>0</v>
      </c>
      <c r="C12" s="96" t="n">
        <f aca="false">_xlfn.LET(
_xlpm.prep_month, INDEX('⚙️ Other Assumptions'!$B$18:$AK$18,MATCH(C$10,'⚙️ Other Assumptions'!$B$14:$AK$14,0)), 
IF(C$10&gt; 10, $C$3, IF( _xlpm.prep_month  &gt;0, $C$3,0)))</f>
        <v>0</v>
      </c>
      <c r="D12" s="96" t="n">
        <f aca="false">_xlfn.LET(
_xlpm.prep_month, INDEX('⚙️ Other Assumptions'!$B$18:$AK$18,MATCH(D$10,'⚙️ Other Assumptions'!$B$14:$AK$14,0)), 
IF(D$10&gt; 10, $C$3, IF( _xlpm.prep_month  &gt;0, $C$3,0)))</f>
        <v>12000000</v>
      </c>
      <c r="E12" s="96" t="n">
        <f aca="false">_xlfn.LET(
_xlpm.prep_month, INDEX('⚙️ Other Assumptions'!$B$18:$AK$18,MATCH(E$10,'⚙️ Other Assumptions'!$B$14:$AK$14,0)), 
IF(E$10&gt; 10, $C$3, IF( _xlpm.prep_month  &gt;0, $C$3,0)))</f>
        <v>12000000</v>
      </c>
      <c r="F12" s="96" t="n">
        <f aca="false">_xlfn.LET(
_xlpm.prep_month, INDEX('⚙️ Other Assumptions'!$B$18:$AK$18,MATCH(F$10,'⚙️ Other Assumptions'!$B$14:$AK$14,0)), 
IF(F$10&gt; 10, $C$3, IF( _xlpm.prep_month  &gt;0, $C$3,0)))</f>
        <v>12000000</v>
      </c>
      <c r="G12" s="96" t="n">
        <f aca="false">_xlfn.LET(
_xlpm.prep_month, INDEX('⚙️ Other Assumptions'!$B$18:$AK$18,MATCH(G$10,'⚙️ Other Assumptions'!$B$14:$AK$14,0)), 
IF(G$10&gt; 10, $C$3, IF( _xlpm.prep_month  &gt;0, $C$3,0)))</f>
        <v>12000000</v>
      </c>
      <c r="H12" s="96" t="n">
        <f aca="false">_xlfn.LET(
_xlpm.prep_month, INDEX('⚙️ Other Assumptions'!$B$18:$AK$18,MATCH(H$10,'⚙️ Other Assumptions'!$B$14:$AK$14,0)), 
IF(H$10&gt; 10, $C$3, IF( _xlpm.prep_month  &gt;0, $C$3,0)))</f>
        <v>12000000</v>
      </c>
      <c r="I12" s="96" t="n">
        <f aca="false">_xlfn.LET(
_xlpm.prep_month, INDEX('⚙️ Other Assumptions'!$B$18:$AK$18,MATCH(I$10,'⚙️ Other Assumptions'!$B$14:$AK$14,0)), 
IF(I$10&gt; 10, $C$3, IF( _xlpm.prep_month  &gt;0, $C$3,0)))</f>
        <v>12000000</v>
      </c>
      <c r="J12" s="96" t="n">
        <f aca="false">_xlfn.LET(
_xlpm.prep_month, INDEX('⚙️ Other Assumptions'!$B$18:$AK$18,MATCH(J$10,'⚙️ Other Assumptions'!$B$14:$AK$14,0)), 
IF(J$10&gt; 10, $C$3, IF( _xlpm.prep_month  &gt;0, $C$3,0)))</f>
        <v>12000000</v>
      </c>
      <c r="K12" s="96" t="n">
        <f aca="false">_xlfn.LET(
_xlpm.prep_month, INDEX('⚙️ Other Assumptions'!$B$18:$AK$18,MATCH(K$10,'⚙️ Other Assumptions'!$B$14:$AK$14,0)), 
IF(K$10&gt; 10, $C$3, IF( _xlpm.prep_month  &gt;0, $C$3,0)))</f>
        <v>12000000</v>
      </c>
      <c r="L12" s="96" t="n">
        <f aca="false">_xlfn.LET(
_xlpm.prep_month, INDEX('⚙️ Other Assumptions'!$B$18:$AK$18,MATCH(L$10,'⚙️ Other Assumptions'!$B$14:$AK$14,0)), 
IF(L$10&gt; 10, $C$3, IF( _xlpm.prep_month  &gt;0, $C$3,0)))</f>
        <v>12000000</v>
      </c>
      <c r="M12" s="96" t="n">
        <f aca="false">_xlfn.LET(
_xlpm.prep_month, INDEX('⚙️ Other Assumptions'!$B$18:$AK$18,MATCH(M$10,'⚙️ Other Assumptions'!$B$14:$AK$14,0)), 
IF(M$10&gt; 10, $C$3, IF( _xlpm.prep_month  &gt;0, $C$3,0)))</f>
        <v>12000000</v>
      </c>
      <c r="N12" s="96" t="n">
        <f aca="false">_xlfn.LET(
_xlpm.prep_month, INDEX('⚙️ Other Assumptions'!$B$18:$AK$18,MATCH(N$10,'⚙️ Other Assumptions'!$B$14:$AK$14,0)), 
IF(N$10&gt; 10, $C$3, IF( _xlpm.prep_month  &gt;0, $C$3,0)))</f>
        <v>12000000</v>
      </c>
      <c r="O12" s="96" t="n">
        <f aca="false">_xlfn.LET(
_xlpm.prep_month, INDEX('⚙️ Other Assumptions'!$B$18:$AK$18,MATCH(O$10,'⚙️ Other Assumptions'!$B$14:$AK$14,0)), 
IF(O$10&gt; 10, $C$3, IF( _xlpm.prep_month  &gt;0, $C$3,0)))</f>
        <v>12000000</v>
      </c>
      <c r="P12" s="96" t="n">
        <f aca="false">_xlfn.LET(
_xlpm.prep_month, INDEX('⚙️ Other Assumptions'!$B$18:$AK$18,MATCH(P$10,'⚙️ Other Assumptions'!$B$14:$AK$14,0)), 
IF(P$10&gt; 10, $C$3, IF( _xlpm.prep_month  &gt;0, $C$3,0)))</f>
        <v>12000000</v>
      </c>
      <c r="Q12" s="96" t="n">
        <f aca="false">_xlfn.LET(
_xlpm.prep_month, INDEX('⚙️ Other Assumptions'!$B$18:$AK$18,MATCH(Q$10,'⚙️ Other Assumptions'!$B$14:$AK$14,0)), 
IF(Q$10&gt; 10, $C$3, IF( _xlpm.prep_month  &gt;0, $C$3,0)))</f>
        <v>12000000</v>
      </c>
      <c r="R12" s="96" t="n">
        <f aca="false">_xlfn.LET(
_xlpm.prep_month, INDEX('⚙️ Other Assumptions'!$B$18:$AK$18,MATCH(R$10,'⚙️ Other Assumptions'!$B$14:$AK$14,0)), 
IF(R$10&gt; 10, $C$3, IF( _xlpm.prep_month  &gt;0, $C$3,0)))</f>
        <v>12000000</v>
      </c>
      <c r="S12" s="96" t="n">
        <f aca="false">_xlfn.LET(
_xlpm.prep_month, INDEX('⚙️ Other Assumptions'!$B$18:$AK$18,MATCH(S$10,'⚙️ Other Assumptions'!$B$14:$AK$14,0)), 
IF(S$10&gt; 10, $C$3, IF( _xlpm.prep_month  &gt;0, $C$3,0)))</f>
        <v>12000000</v>
      </c>
      <c r="T12" s="96" t="n">
        <f aca="false">_xlfn.LET(
_xlpm.prep_month, INDEX('⚙️ Other Assumptions'!$B$18:$AK$18,MATCH(T$10,'⚙️ Other Assumptions'!$B$14:$AK$14,0)), 
IF(T$10&gt; 10, $C$3, IF( _xlpm.prep_month  &gt;0, $C$3,0)))</f>
        <v>12000000</v>
      </c>
      <c r="U12" s="96" t="n">
        <f aca="false">_xlfn.LET(
_xlpm.prep_month, INDEX('⚙️ Other Assumptions'!$B$18:$AK$18,MATCH(U$10,'⚙️ Other Assumptions'!$B$14:$AK$14,0)), 
IF(U$10&gt; 10, $C$3, IF( _xlpm.prep_month  &gt;0, $C$3,0)))</f>
        <v>12000000</v>
      </c>
      <c r="V12" s="96" t="n">
        <f aca="false">_xlfn.LET(
_xlpm.prep_month, INDEX('⚙️ Other Assumptions'!$B$18:$AK$18,MATCH(V$10,'⚙️ Other Assumptions'!$B$14:$AK$14,0)), 
IF(V$10&gt; 10, $C$3, IF( _xlpm.prep_month  &gt;0, $C$3,0)))</f>
        <v>12000000</v>
      </c>
      <c r="W12" s="96" t="n">
        <f aca="false">_xlfn.LET(
_xlpm.prep_month, INDEX('⚙️ Other Assumptions'!$B$18:$AK$18,MATCH(W$10,'⚙️ Other Assumptions'!$B$14:$AK$14,0)), 
IF(W$10&gt; 10, $C$3, IF( _xlpm.prep_month  &gt;0, $C$3,0)))</f>
        <v>12000000</v>
      </c>
      <c r="X12" s="96" t="n">
        <f aca="false">_xlfn.LET(
_xlpm.prep_month, INDEX('⚙️ Other Assumptions'!$B$18:$AK$18,MATCH(X$10,'⚙️ Other Assumptions'!$B$14:$AK$14,0)), 
IF(X$10&gt; 10, $C$3, IF( _xlpm.prep_month  &gt;0, $C$3,0)))</f>
        <v>12000000</v>
      </c>
      <c r="Y12" s="96" t="n">
        <f aca="false">_xlfn.LET(
_xlpm.prep_month, INDEX('⚙️ Other Assumptions'!$B$18:$AK$18,MATCH(Y$10,'⚙️ Other Assumptions'!$B$14:$AK$14,0)), 
IF(Y$10&gt; 10, $C$3, IF( _xlpm.prep_month  &gt;0, $C$3,0)))</f>
        <v>12000000</v>
      </c>
      <c r="Z12" s="96" t="n">
        <f aca="false">_xlfn.LET(
_xlpm.prep_month, INDEX('⚙️ Other Assumptions'!$B$18:$AK$18,MATCH(Z$10,'⚙️ Other Assumptions'!$B$14:$AK$14,0)), 
IF(Z$10&gt; 10, $C$3, IF( _xlpm.prep_month  &gt;0, $C$3,0)))</f>
        <v>12000000</v>
      </c>
      <c r="AA12" s="96" t="n">
        <f aca="false">_xlfn.LET(
_xlpm.prep_month, INDEX('⚙️ Other Assumptions'!$B$18:$AK$18,MATCH(AA$10,'⚙️ Other Assumptions'!$B$14:$AK$14,0)), 
IF(AA$10&gt; 10, $C$3, IF( _xlpm.prep_month  &gt;0, $C$3,0)))</f>
        <v>12000000</v>
      </c>
      <c r="AB12" s="96" t="n">
        <f aca="false">_xlfn.LET(
_xlpm.prep_month, INDEX('⚙️ Other Assumptions'!$B$18:$AK$18,MATCH(AB$10,'⚙️ Other Assumptions'!$B$14:$AK$14,0)), 
IF(AB$10&gt; 10, $C$3, IF( _xlpm.prep_month  &gt;0, $C$3,0)))</f>
        <v>12000000</v>
      </c>
      <c r="AC12" s="96" t="n">
        <f aca="false">_xlfn.LET(
_xlpm.prep_month, INDEX('⚙️ Other Assumptions'!$B$18:$AK$18,MATCH(AC$10,'⚙️ Other Assumptions'!$B$14:$AK$14,0)), 
IF(AC$10&gt; 10, $C$3, IF( _xlpm.prep_month  &gt;0, $C$3,0)))</f>
        <v>12000000</v>
      </c>
      <c r="AD12" s="96" t="n">
        <f aca="false">_xlfn.LET(
_xlpm.prep_month, INDEX('⚙️ Other Assumptions'!$B$18:$AK$18,MATCH(AD$10,'⚙️ Other Assumptions'!$B$14:$AK$14,0)), 
IF(AD$10&gt; 10, $C$3, IF( _xlpm.prep_month  &gt;0, $C$3,0)))</f>
        <v>12000000</v>
      </c>
      <c r="AE12" s="96" t="n">
        <f aca="false">_xlfn.LET(
_xlpm.prep_month, INDEX('⚙️ Other Assumptions'!$B$18:$AK$18,MATCH(AE$10,'⚙️ Other Assumptions'!$B$14:$AK$14,0)), 
IF(AE$10&gt; 10, $C$3, IF( _xlpm.prep_month  &gt;0, $C$3,0)))</f>
        <v>12000000</v>
      </c>
      <c r="AF12" s="96" t="n">
        <f aca="false">_xlfn.LET(
_xlpm.prep_month, INDEX('⚙️ Other Assumptions'!$B$18:$AK$18,MATCH(AF$10,'⚙️ Other Assumptions'!$B$14:$AK$14,0)), 
IF(AF$10&gt; 10, $C$3, IF( _xlpm.prep_month  &gt;0, $C$3,0)))</f>
        <v>12000000</v>
      </c>
      <c r="AG12" s="96" t="n">
        <f aca="false">_xlfn.LET(
_xlpm.prep_month, INDEX('⚙️ Other Assumptions'!$B$18:$AK$18,MATCH(AG$10,'⚙️ Other Assumptions'!$B$14:$AK$14,0)), 
IF(AG$10&gt; 10, $C$3, IF( _xlpm.prep_month  &gt;0, $C$3,0)))</f>
        <v>12000000</v>
      </c>
      <c r="AH12" s="96" t="n">
        <f aca="false">_xlfn.LET(
_xlpm.prep_month, INDEX('⚙️ Other Assumptions'!$B$18:$AK$18,MATCH(AH$10,'⚙️ Other Assumptions'!$B$14:$AK$14,0)), 
IF(AH$10&gt; 10, $C$3, IF( _xlpm.prep_month  &gt;0, $C$3,0)))</f>
        <v>12000000</v>
      </c>
      <c r="AI12" s="96" t="n">
        <f aca="false">_xlfn.LET(
_xlpm.prep_month, INDEX('⚙️ Other Assumptions'!$B$18:$AK$18,MATCH(AI$10,'⚙️ Other Assumptions'!$B$14:$AK$14,0)), 
IF(AI$10&gt; 10, $C$3, IF( _xlpm.prep_month  &gt;0, $C$3,0)))</f>
        <v>12000000</v>
      </c>
      <c r="AJ12" s="96" t="n">
        <f aca="false">_xlfn.LET(
_xlpm.prep_month, INDEX('⚙️ Other Assumptions'!$B$18:$AK$18,MATCH(AJ$10,'⚙️ Other Assumptions'!$B$14:$AK$14,0)), 
IF(AJ$10&gt; 10, $C$3, IF( _xlpm.prep_month  &gt;0, $C$3,0)))</f>
        <v>12000000</v>
      </c>
      <c r="AK12" s="96" t="n">
        <f aca="false">_xlfn.LET(
_xlpm.prep_month, INDEX('⚙️ Other Assumptions'!$B$18:$AK$18,MATCH(AK$10,'⚙️ Other Assumptions'!$B$14:$AK$14,0)), 
IF(AK$10&gt; 10, $C$3, IF( _xlpm.prep_month  &gt;0, $C$3,0)))</f>
        <v>12000000</v>
      </c>
      <c r="AL12" s="96" t="n">
        <f aca="false">_xlfn.LET(
_xlpm.prep_month, INDEX('⚙️ Other Assumptions'!$B$18:$AK$18,MATCH(AL$10,'⚙️ Other Assumptions'!$B$14:$AK$14,0)), 
IF(AL$10&gt; 10, $C$3, IF( _xlpm.prep_month  &gt;0, $C$3,0)))</f>
        <v>12000000</v>
      </c>
      <c r="AM12" s="96" t="n">
        <f aca="false">_xlfn.LET(
_xlpm.prep_month, INDEX('⚙️ Other Assumptions'!$B$18:$AK$18,MATCH(AM$10,'⚙️ Other Assumptions'!$B$14:$AK$14,0)), 
IF(AM$10&gt; 10, $C$3, IF( _xlpm.prep_month  &gt;0, $C$3,0)))</f>
        <v>12000000</v>
      </c>
      <c r="AN12" s="96" t="n">
        <f aca="false">_xlfn.LET(
_xlpm.prep_month, INDEX('⚙️ Other Assumptions'!$B$18:$AK$18,MATCH(AN$10,'⚙️ Other Assumptions'!$B$14:$AK$14,0)), 
IF(AN$10&gt; 10, $C$3, IF( _xlpm.prep_month  &gt;0, $C$3,0)))</f>
        <v>12000000</v>
      </c>
      <c r="AO12" s="96" t="n">
        <f aca="false">_xlfn.LET(
_xlpm.prep_month, INDEX('⚙️ Other Assumptions'!$B$18:$AK$18,MATCH(AO$10,'⚙️ Other Assumptions'!$B$14:$AK$14,0)), 
IF(AO$10&gt; 10, $C$3, IF( _xlpm.prep_month  &gt;0, $C$3,0)))</f>
        <v>12000000</v>
      </c>
      <c r="AP12" s="96" t="n">
        <f aca="false">_xlfn.LET(
_xlpm.prep_month, INDEX('⚙️ Other Assumptions'!$B$18:$AK$18,MATCH(AP$10,'⚙️ Other Assumptions'!$B$14:$AK$14,0)), 
IF(AP$10&gt; 10, $C$3, IF( _xlpm.prep_month  &gt;0, $C$3,0)))</f>
        <v>12000000</v>
      </c>
      <c r="AQ12" s="96" t="n">
        <f aca="false">_xlfn.LET(
_xlpm.prep_month, INDEX('⚙️ Other Assumptions'!$B$18:$AK$18,MATCH(AQ$10,'⚙️ Other Assumptions'!$B$14:$AK$14,0)), 
IF(AQ$10&gt; 10, $C$3, IF( _xlpm.prep_month  &gt;0, $C$3,0)))</f>
        <v>12000000</v>
      </c>
      <c r="AR12" s="96" t="n">
        <f aca="false">_xlfn.LET(
_xlpm.prep_month, INDEX('⚙️ Other Assumptions'!$B$18:$AK$18,MATCH(AR$10,'⚙️ Other Assumptions'!$B$14:$AK$14,0)), 
IF(AR$10&gt; 10, $C$3, IF( _xlpm.prep_month  &gt;0, $C$3,0)))</f>
        <v>12000000</v>
      </c>
      <c r="AS12" s="96" t="n">
        <f aca="false">_xlfn.LET(
_xlpm.prep_month, INDEX('⚙️ Other Assumptions'!$B$18:$AK$18,MATCH(AS$10,'⚙️ Other Assumptions'!$B$14:$AK$14,0)), 
IF(AS$10&gt; 10, $C$3, IF( _xlpm.prep_month  &gt;0, $C$3,0)))</f>
        <v>12000000</v>
      </c>
      <c r="AT12" s="96" t="n">
        <f aca="false">_xlfn.LET(
_xlpm.prep_month, INDEX('⚙️ Other Assumptions'!$B$18:$AK$18,MATCH(AT$10,'⚙️ Other Assumptions'!$B$14:$AK$14,0)), 
IF(AT$10&gt; 10, $C$3, IF( _xlpm.prep_month  &gt;0, $C$3,0)))</f>
        <v>12000000</v>
      </c>
      <c r="AU12" s="96" t="n">
        <f aca="false">_xlfn.LET(
_xlpm.prep_month, INDEX('⚙️ Other Assumptions'!$B$18:$AK$18,MATCH(AU$10,'⚙️ Other Assumptions'!$B$14:$AK$14,0)), 
IF(AU$10&gt; 10, $C$3, IF( _xlpm.prep_month  &gt;0, $C$3,0)))</f>
        <v>12000000</v>
      </c>
      <c r="AV12" s="96" t="n">
        <f aca="false">_xlfn.LET(
_xlpm.prep_month, INDEX('⚙️ Other Assumptions'!$B$18:$AK$18,MATCH(AV$10,'⚙️ Other Assumptions'!$B$14:$AK$14,0)), 
IF(AV$10&gt; 10, $C$3, IF( _xlpm.prep_month  &gt;0, $C$3,0)))</f>
        <v>12000000</v>
      </c>
      <c r="AW12" s="96" t="n">
        <f aca="false">_xlfn.LET(
_xlpm.prep_month, INDEX('⚙️ Other Assumptions'!$B$18:$AK$18,MATCH(AW$10,'⚙️ Other Assumptions'!$B$14:$AK$14,0)), 
IF(AW$10&gt; 10, $C$3, IF( _xlpm.prep_month  &gt;0, $C$3,0)))</f>
        <v>12000000</v>
      </c>
      <c r="AX12" s="96" t="n">
        <f aca="false">_xlfn.LET(
_xlpm.prep_month, INDEX('⚙️ Other Assumptions'!$B$18:$AK$18,MATCH(AX$10,'⚙️ Other Assumptions'!$B$14:$AK$14,0)), 
IF(AX$10&gt; 10, $C$3, IF( _xlpm.prep_month  &gt;0, $C$3,0)))</f>
        <v>12000000</v>
      </c>
      <c r="AY12" s="96" t="n">
        <f aca="false">_xlfn.LET(
_xlpm.prep_month, INDEX('⚙️ Other Assumptions'!$B$18:$AK$18,MATCH(AY$10,'⚙️ Other Assumptions'!$B$14:$AK$14,0)), 
IF(AY$10&gt; 10, $C$3, IF( _xlpm.prep_month  &gt;0, $C$3,0)))</f>
        <v>12000000</v>
      </c>
      <c r="AZ12" s="96" t="n">
        <f aca="false">_xlfn.LET(
_xlpm.prep_month, INDEX('⚙️ Other Assumptions'!$B$18:$AK$18,MATCH(AZ$10,'⚙️ Other Assumptions'!$B$14:$AK$14,0)), 
IF(AZ$10&gt; 10, $C$3, IF( _xlpm.prep_month  &gt;0, $C$3,0)))</f>
        <v>12000000</v>
      </c>
      <c r="BA12" s="96" t="n">
        <f aca="false">_xlfn.LET(
_xlpm.prep_month, INDEX('⚙️ Other Assumptions'!$B$18:$AK$18,MATCH(BA$10,'⚙️ Other Assumptions'!$B$14:$AK$14,0)), 
IF(BA$10&gt; 10, $C$3, IF( _xlpm.prep_month  &gt;0, $C$3,0)))</f>
        <v>12000000</v>
      </c>
      <c r="BB12" s="96" t="n">
        <f aca="false">_xlfn.LET(
_xlpm.prep_month, INDEX('⚙️ Other Assumptions'!$B$18:$AK$18,MATCH(BB$10,'⚙️ Other Assumptions'!$B$14:$AK$14,0)), 
IF(BB$10&gt; 10, $C$3, IF( _xlpm.prep_month  &gt;0, $C$3,0)))</f>
        <v>12000000</v>
      </c>
      <c r="BC12" s="96" t="n">
        <f aca="false">_xlfn.LET(
_xlpm.prep_month, INDEX('⚙️ Other Assumptions'!$B$18:$AK$18,MATCH(BC$10,'⚙️ Other Assumptions'!$B$14:$AK$14,0)), 
IF(BC$10&gt; 10, $C$3, IF( _xlpm.prep_month  &gt;0, $C$3,0)))</f>
        <v>12000000</v>
      </c>
      <c r="BD12" s="96" t="n">
        <f aca="false">_xlfn.LET(
_xlpm.prep_month, INDEX('⚙️ Other Assumptions'!$B$18:$AK$18,MATCH(BD$10,'⚙️ Other Assumptions'!$B$14:$AK$14,0)), 
IF(BD$10&gt; 10, $C$3, IF( _xlpm.prep_month  &gt;0, $C$3,0)))</f>
        <v>12000000</v>
      </c>
      <c r="BE12" s="96" t="n">
        <f aca="false">_xlfn.LET(
_xlpm.prep_month, INDEX('⚙️ Other Assumptions'!$B$18:$AK$18,MATCH(BE$10,'⚙️ Other Assumptions'!$B$14:$AK$14,0)), 
IF(BE$10&gt; 10, $C$3, IF( _xlpm.prep_month  &gt;0, $C$3,0)))</f>
        <v>12000000</v>
      </c>
      <c r="BF12" s="96" t="n">
        <f aca="false">_xlfn.LET(
_xlpm.prep_month, INDEX('⚙️ Other Assumptions'!$B$18:$AK$18,MATCH(BF$10,'⚙️ Other Assumptions'!$B$14:$AK$14,0)), 
IF(BF$10&gt; 10, $C$3, IF( _xlpm.prep_month  &gt;0, $C$3,0)))</f>
        <v>12000000</v>
      </c>
      <c r="BG12" s="96" t="n">
        <f aca="false">_xlfn.LET(
_xlpm.prep_month, INDEX('⚙️ Other Assumptions'!$B$18:$AK$18,MATCH(BG$10,'⚙️ Other Assumptions'!$B$14:$AK$14,0)), 
IF(BG$10&gt; 10, $C$3, IF( _xlpm.prep_month  &gt;0, $C$3,0)))</f>
        <v>12000000</v>
      </c>
      <c r="BH12" s="96" t="n">
        <f aca="false">_xlfn.LET(
_xlpm.prep_month, INDEX('⚙️ Other Assumptions'!$B$18:$AK$18,MATCH(BH$10,'⚙️ Other Assumptions'!$B$14:$AK$14,0)), 
IF(BH$10&gt; 10, $C$3, IF( _xlpm.prep_month  &gt;0, $C$3,0)))</f>
        <v>12000000</v>
      </c>
      <c r="BI12" s="96" t="n">
        <f aca="false">_xlfn.LET(
_xlpm.prep_month, INDEX('⚙️ Other Assumptions'!$B$18:$AK$18,MATCH(BI$10,'⚙️ Other Assumptions'!$B$14:$AK$14,0)), 
IF(BI$10&gt; 10, $C$3, IF( _xlpm.prep_month  &gt;0, $C$3,0)))</f>
        <v>12000000</v>
      </c>
    </row>
    <row r="13" customFormat="false" ht="13.8" hidden="false" customHeight="false" outlineLevel="0" collapsed="false">
      <c r="A13" s="97" t="s">
        <v>299</v>
      </c>
      <c r="B13" s="91" t="n">
        <f aca="false">IF(B14&gt;150,4,IF(B14&gt;100,3,IF(B14&gt;0,2,0)))</f>
        <v>0</v>
      </c>
      <c r="C13" s="91" t="n">
        <f aca="false">IF(C14&gt;150,4,IF(C14&gt;100,3,IF(C14&gt;0,2,0)))</f>
        <v>0</v>
      </c>
      <c r="D13" s="91" t="n">
        <f aca="false">IF(D14&gt;150,4,IF(D14&gt;100,3,IF(D14&gt;0,2,0)))</f>
        <v>2</v>
      </c>
      <c r="E13" s="91" t="n">
        <f aca="false">IF(E14&gt;150,4,IF(E14&gt;100,3,IF(E14&gt;0,2,0)))</f>
        <v>2</v>
      </c>
      <c r="F13" s="91" t="n">
        <f aca="false">IF(F14&gt;150,4,IF(F14&gt;100,3,IF(F14&gt;0,2,0)))</f>
        <v>2</v>
      </c>
      <c r="G13" s="91" t="n">
        <f aca="false">IF(G14&gt;150,4,IF(G14&gt;100,3,IF(G14&gt;0,2,0)))</f>
        <v>2</v>
      </c>
      <c r="H13" s="91" t="n">
        <f aca="false">IF(H14&gt;150,4,IF(H14&gt;100,3,IF(H14&gt;0,2,0)))</f>
        <v>3</v>
      </c>
      <c r="I13" s="91" t="n">
        <f aca="false">IF(I14&gt;150,4,IF(I14&gt;100,3,IF(I14&gt;0,2,0)))</f>
        <v>3</v>
      </c>
      <c r="J13" s="91" t="n">
        <f aca="false">IF(J14&gt;150,4,IF(J14&gt;100,3,IF(J14&gt;0,2,0)))</f>
        <v>3</v>
      </c>
      <c r="K13" s="91" t="n">
        <f aca="false">IF(K14&gt;150,4,IF(K14&gt;100,3,IF(K14&gt;0,2,0)))</f>
        <v>3</v>
      </c>
      <c r="L13" s="91" t="n">
        <f aca="false">IF(L14&gt;150,4,IF(L14&gt;100,3,IF(L14&gt;0,2,0)))</f>
        <v>3</v>
      </c>
      <c r="M13" s="91" t="n">
        <f aca="false">IF(M14&gt;150,4,IF(M14&gt;100,3,IF(M14&gt;0,2,0)))</f>
        <v>3</v>
      </c>
      <c r="N13" s="91" t="n">
        <f aca="false">IF(N14&gt;150,4,IF(N14&gt;100,3,IF(N14&gt;0,2,0)))</f>
        <v>3</v>
      </c>
      <c r="O13" s="91" t="n">
        <f aca="false">IF(O14&gt;150,4,IF(O14&gt;100,3,IF(O14&gt;0,2,0)))</f>
        <v>3</v>
      </c>
      <c r="P13" s="91" t="n">
        <f aca="false">IF(P14&gt;150,4,IF(P14&gt;100,3,IF(P14&gt;0,2,0)))</f>
        <v>3</v>
      </c>
      <c r="Q13" s="91" t="n">
        <f aca="false">IF(Q14&gt;150,4,IF(Q14&gt;100,3,IF(Q14&gt;0,2,0)))</f>
        <v>3</v>
      </c>
      <c r="R13" s="91" t="n">
        <f aca="false">IF(R14&gt;150,4,IF(R14&gt;100,3,IF(R14&gt;0,2,0)))</f>
        <v>4</v>
      </c>
      <c r="S13" s="91" t="n">
        <f aca="false">IF(S14&gt;150,4,IF(S14&gt;100,3,IF(S14&gt;0,2,0)))</f>
        <v>4</v>
      </c>
      <c r="T13" s="91" t="n">
        <f aca="false">IF(T14&gt;150,4,IF(T14&gt;100,3,IF(T14&gt;0,2,0)))</f>
        <v>4</v>
      </c>
      <c r="U13" s="91" t="n">
        <f aca="false">IF(U14&gt;150,4,IF(U14&gt;100,3,IF(U14&gt;0,2,0)))</f>
        <v>4</v>
      </c>
      <c r="V13" s="91" t="n">
        <f aca="false">IF(V14&gt;150,4,IF(V14&gt;100,3,IF(V14&gt;0,2,0)))</f>
        <v>4</v>
      </c>
      <c r="W13" s="91" t="n">
        <f aca="false">IF(W14&gt;150,4,IF(W14&gt;100,3,IF(W14&gt;0,2,0)))</f>
        <v>4</v>
      </c>
      <c r="X13" s="91" t="n">
        <f aca="false">IF(X14&gt;150,4,IF(X14&gt;100,3,IF(X14&gt;0,2,0)))</f>
        <v>4</v>
      </c>
      <c r="Y13" s="91" t="n">
        <f aca="false">IF(Y14&gt;150,4,IF(Y14&gt;100,3,IF(Y14&gt;0,2,0)))</f>
        <v>4</v>
      </c>
      <c r="Z13" s="91" t="n">
        <f aca="false">IF(Z14&gt;150,4,IF(Z14&gt;100,3,IF(Z14&gt;0,2,0)))</f>
        <v>4</v>
      </c>
      <c r="AA13" s="91" t="n">
        <f aca="false">IF(AA14&gt;150,4,IF(AA14&gt;100,3,IF(AA14&gt;0,2,0)))</f>
        <v>4</v>
      </c>
      <c r="AB13" s="91" t="n">
        <f aca="false">IF(AB14&gt;150,4,IF(AB14&gt;100,3,IF(AB14&gt;0,2,0)))</f>
        <v>4</v>
      </c>
      <c r="AC13" s="91" t="n">
        <f aca="false">IF(AC14&gt;150,4,IF(AC14&gt;100,3,IF(AC14&gt;0,2,0)))</f>
        <v>4</v>
      </c>
      <c r="AD13" s="91" t="n">
        <f aca="false">IF(AD14&gt;150,4,IF(AD14&gt;100,3,IF(AD14&gt;0,2,0)))</f>
        <v>4</v>
      </c>
      <c r="AE13" s="91" t="n">
        <f aca="false">IF(AE14&gt;150,4,IF(AE14&gt;100,3,IF(AE14&gt;0,2,0)))</f>
        <v>4</v>
      </c>
      <c r="AF13" s="91" t="n">
        <f aca="false">IF(AF14&gt;150,4,IF(AF14&gt;100,3,IF(AF14&gt;0,2,0)))</f>
        <v>4</v>
      </c>
      <c r="AG13" s="91" t="n">
        <f aca="false">IF(AG14&gt;150,4,IF(AG14&gt;100,3,IF(AG14&gt;0,2,0)))</f>
        <v>4</v>
      </c>
      <c r="AH13" s="91" t="n">
        <f aca="false">IF(AH14&gt;150,4,IF(AH14&gt;100,3,IF(AH14&gt;0,2,0)))</f>
        <v>4</v>
      </c>
      <c r="AI13" s="91" t="n">
        <f aca="false">IF(AI14&gt;150,4,IF(AI14&gt;100,3,IF(AI14&gt;0,2,0)))</f>
        <v>4</v>
      </c>
      <c r="AJ13" s="91" t="n">
        <f aca="false">IF(AJ14&gt;150,4,IF(AJ14&gt;100,3,IF(AJ14&gt;0,2,0)))</f>
        <v>4</v>
      </c>
      <c r="AK13" s="91" t="n">
        <f aca="false">IF(AK14&gt;150,4,IF(AK14&gt;100,3,IF(AK14&gt;0,2,0)))</f>
        <v>4</v>
      </c>
      <c r="AL13" s="91" t="n">
        <f aca="false">IF(AL14&gt;150,4,IF(AL14&gt;100,3,IF(AL14&gt;0,2,0)))</f>
        <v>4</v>
      </c>
      <c r="AM13" s="91" t="n">
        <f aca="false">IF(AM14&gt;150,4,IF(AM14&gt;100,3,IF(AM14&gt;0,2,0)))</f>
        <v>4</v>
      </c>
      <c r="AN13" s="91" t="n">
        <f aca="false">IF(AN14&gt;150,4,IF(AN14&gt;100,3,IF(AN14&gt;0,2,0)))</f>
        <v>4</v>
      </c>
      <c r="AO13" s="91" t="n">
        <f aca="false">IF(AO14&gt;150,4,IF(AO14&gt;100,3,IF(AO14&gt;0,2,0)))</f>
        <v>4</v>
      </c>
      <c r="AP13" s="91" t="n">
        <f aca="false">IF(AP14&gt;150,4,IF(AP14&gt;100,3,IF(AP14&gt;0,2,0)))</f>
        <v>4</v>
      </c>
      <c r="AQ13" s="91" t="n">
        <f aca="false">IF(AQ14&gt;150,4,IF(AQ14&gt;100,3,IF(AQ14&gt;0,2,0)))</f>
        <v>4</v>
      </c>
      <c r="AR13" s="91" t="n">
        <f aca="false">IF(AR14&gt;150,4,IF(AR14&gt;100,3,IF(AR14&gt;0,2,0)))</f>
        <v>4</v>
      </c>
      <c r="AS13" s="91" t="n">
        <f aca="false">IF(AS14&gt;150,4,IF(AS14&gt;100,3,IF(AS14&gt;0,2,0)))</f>
        <v>4</v>
      </c>
      <c r="AT13" s="91" t="n">
        <f aca="false">IF(AT14&gt;150,4,IF(AT14&gt;100,3,IF(AT14&gt;0,2,0)))</f>
        <v>4</v>
      </c>
      <c r="AU13" s="91" t="n">
        <f aca="false">IF(AU14&gt;150,4,IF(AU14&gt;100,3,IF(AU14&gt;0,2,0)))</f>
        <v>4</v>
      </c>
      <c r="AV13" s="91" t="n">
        <f aca="false">IF(AV14&gt;150,4,IF(AV14&gt;100,3,IF(AV14&gt;0,2,0)))</f>
        <v>4</v>
      </c>
      <c r="AW13" s="91" t="n">
        <f aca="false">IF(AW14&gt;150,4,IF(AW14&gt;100,3,IF(AW14&gt;0,2,0)))</f>
        <v>4</v>
      </c>
      <c r="AX13" s="91" t="n">
        <f aca="false">IF(AX14&gt;150,4,IF(AX14&gt;100,3,IF(AX14&gt;0,2,0)))</f>
        <v>4</v>
      </c>
      <c r="AY13" s="91" t="n">
        <f aca="false">IF(AY14&gt;150,4,IF(AY14&gt;100,3,IF(AY14&gt;0,2,0)))</f>
        <v>4</v>
      </c>
      <c r="AZ13" s="91" t="n">
        <f aca="false">IF(AZ14&gt;150,4,IF(AZ14&gt;100,3,IF(AZ14&gt;0,2,0)))</f>
        <v>4</v>
      </c>
      <c r="BA13" s="91" t="n">
        <f aca="false">IF(BA14&gt;150,4,IF(BA14&gt;100,3,IF(BA14&gt;0,2,0)))</f>
        <v>4</v>
      </c>
      <c r="BB13" s="91" t="n">
        <f aca="false">IF(BB14&gt;150,4,IF(BB14&gt;100,3,IF(BB14&gt;0,2,0)))</f>
        <v>4</v>
      </c>
      <c r="BC13" s="91" t="n">
        <f aca="false">IF(BC14&gt;150,4,IF(BC14&gt;100,3,IF(BC14&gt;0,2,0)))</f>
        <v>4</v>
      </c>
      <c r="BD13" s="91" t="n">
        <f aca="false">IF(BD14&gt;150,4,IF(BD14&gt;100,3,IF(BD14&gt;0,2,0)))</f>
        <v>4</v>
      </c>
      <c r="BE13" s="91" t="n">
        <f aca="false">IF(BE14&gt;150,4,IF(BE14&gt;100,3,IF(BE14&gt;0,2,0)))</f>
        <v>4</v>
      </c>
      <c r="BF13" s="91" t="n">
        <f aca="false">IF(BF14&gt;150,4,IF(BF14&gt;100,3,IF(BF14&gt;0,2,0)))</f>
        <v>4</v>
      </c>
      <c r="BG13" s="91" t="n">
        <f aca="false">IF(BG14&gt;150,4,IF(BG14&gt;100,3,IF(BG14&gt;0,2,0)))</f>
        <v>4</v>
      </c>
      <c r="BH13" s="91" t="n">
        <f aca="false">IF(BH14&gt;150,4,IF(BH14&gt;100,3,IF(BH14&gt;0,2,0)))</f>
        <v>4</v>
      </c>
      <c r="BI13" s="91" t="n">
        <f aca="false">IF(BI14&gt;150,4,IF(BI14&gt;100,3,IF(BI14&gt;0,2,0)))</f>
        <v>4</v>
      </c>
    </row>
    <row r="14" customFormat="false" ht="13.8" hidden="false" customHeight="false" outlineLevel="0" collapsed="false">
      <c r="A14" s="97" t="s">
        <v>300</v>
      </c>
      <c r="B14" s="91" t="n">
        <f aca="false">INDEX('💰 Revenue'!$C$7:$BJ$7, MATCH(B11,'💰 Revenue'!$C$5:$BJ$5,0))</f>
        <v>0</v>
      </c>
      <c r="C14" s="91" t="n">
        <f aca="false">INDEX('💰 Revenue'!$C$7:$BJ$7, MATCH(C11,'💰 Revenue'!$C$5:$BJ$5,0))</f>
        <v>0</v>
      </c>
      <c r="D14" s="91" t="n">
        <f aca="false">INDEX('💰 Revenue'!$C$7:$BJ$7, MATCH(D11,'💰 Revenue'!$C$5:$BJ$5,0))</f>
        <v>45</v>
      </c>
      <c r="E14" s="91" t="n">
        <f aca="false">INDEX('💰 Revenue'!$C$7:$BJ$7, MATCH(E11,'💰 Revenue'!$C$5:$BJ$5,0))</f>
        <v>45</v>
      </c>
      <c r="F14" s="91" t="n">
        <f aca="false">INDEX('💰 Revenue'!$C$7:$BJ$7, MATCH(F11,'💰 Revenue'!$C$5:$BJ$5,0))</f>
        <v>75</v>
      </c>
      <c r="G14" s="91" t="n">
        <f aca="false">INDEX('💰 Revenue'!$C$7:$BJ$7, MATCH(G11,'💰 Revenue'!$C$5:$BJ$5,0))</f>
        <v>75</v>
      </c>
      <c r="H14" s="91" t="n">
        <f aca="false">INDEX('💰 Revenue'!$C$7:$BJ$7, MATCH(H11,'💰 Revenue'!$C$5:$BJ$5,0))</f>
        <v>112.5</v>
      </c>
      <c r="I14" s="91" t="n">
        <f aca="false">INDEX('💰 Revenue'!$C$7:$BJ$7, MATCH(I11,'💰 Revenue'!$C$5:$BJ$5,0))</f>
        <v>112.5</v>
      </c>
      <c r="J14" s="91" t="n">
        <f aca="false">INDEX('💰 Revenue'!$C$7:$BJ$7, MATCH(J11,'💰 Revenue'!$C$5:$BJ$5,0))</f>
        <v>120</v>
      </c>
      <c r="K14" s="91" t="n">
        <f aca="false">INDEX('💰 Revenue'!$C$7:$BJ$7, MATCH(K11,'💰 Revenue'!$C$5:$BJ$5,0))</f>
        <v>135</v>
      </c>
      <c r="L14" s="91" t="n">
        <f aca="false">INDEX('💰 Revenue'!$C$7:$BJ$7, MATCH(L11,'💰 Revenue'!$C$5:$BJ$5,0))</f>
        <v>135</v>
      </c>
      <c r="M14" s="91" t="n">
        <f aca="false">INDEX('💰 Revenue'!$C$7:$BJ$7, MATCH(M11,'💰 Revenue'!$C$5:$BJ$5,0))</f>
        <v>142.5</v>
      </c>
      <c r="N14" s="91" t="n">
        <f aca="false">INDEX('💰 Revenue'!$C$7:$BJ$7, MATCH(N11,'💰 Revenue'!$C$5:$BJ$5,0))</f>
        <v>142.5</v>
      </c>
      <c r="O14" s="91" t="n">
        <f aca="false">INDEX('💰 Revenue'!$C$7:$BJ$7, MATCH(O11,'💰 Revenue'!$C$5:$BJ$5,0))</f>
        <v>150</v>
      </c>
      <c r="P14" s="91" t="n">
        <f aca="false">INDEX('💰 Revenue'!$C$7:$BJ$7, MATCH(P11,'💰 Revenue'!$C$5:$BJ$5,0))</f>
        <v>150</v>
      </c>
      <c r="Q14" s="91" t="n">
        <f aca="false">INDEX('💰 Revenue'!$C$7:$BJ$7, MATCH(Q11,'💰 Revenue'!$C$5:$BJ$5,0))</f>
        <v>150</v>
      </c>
      <c r="R14" s="91" t="n">
        <f aca="false">INDEX('💰 Revenue'!$C$7:$BJ$7, MATCH(R11,'💰 Revenue'!$C$5:$BJ$5,0))</f>
        <v>180</v>
      </c>
      <c r="S14" s="91" t="n">
        <f aca="false">INDEX('💰 Revenue'!$C$7:$BJ$7, MATCH(S11,'💰 Revenue'!$C$5:$BJ$5,0))</f>
        <v>180</v>
      </c>
      <c r="T14" s="91" t="n">
        <f aca="false">INDEX('💰 Revenue'!$C$7:$BJ$7, MATCH(T11,'💰 Revenue'!$C$5:$BJ$5,0))</f>
        <v>180</v>
      </c>
      <c r="U14" s="91" t="n">
        <f aca="false">INDEX('💰 Revenue'!$C$7:$BJ$7, MATCH(U11,'💰 Revenue'!$C$5:$BJ$5,0))</f>
        <v>180</v>
      </c>
      <c r="V14" s="91" t="n">
        <f aca="false">INDEX('💰 Revenue'!$C$7:$BJ$7, MATCH(V11,'💰 Revenue'!$C$5:$BJ$5,0))</f>
        <v>180</v>
      </c>
      <c r="W14" s="91" t="n">
        <f aca="false">INDEX('💰 Revenue'!$C$7:$BJ$7, MATCH(W11,'💰 Revenue'!$C$5:$BJ$5,0))</f>
        <v>180</v>
      </c>
      <c r="X14" s="91" t="n">
        <f aca="false">INDEX('💰 Revenue'!$C$7:$BJ$7, MATCH(X11,'💰 Revenue'!$C$5:$BJ$5,0))</f>
        <v>180</v>
      </c>
      <c r="Y14" s="91" t="n">
        <f aca="false">INDEX('💰 Revenue'!$C$7:$BJ$7, MATCH(Y11,'💰 Revenue'!$C$5:$BJ$5,0))</f>
        <v>180</v>
      </c>
      <c r="Z14" s="91" t="n">
        <f aca="false">INDEX('💰 Revenue'!$C$7:$BJ$7, MATCH(Z11,'💰 Revenue'!$C$5:$BJ$5,0))</f>
        <v>180</v>
      </c>
      <c r="AA14" s="91" t="n">
        <f aca="false">INDEX('💰 Revenue'!$C$7:$BJ$7, MATCH(AA11,'💰 Revenue'!$C$5:$BJ$5,0))</f>
        <v>180</v>
      </c>
      <c r="AB14" s="91" t="n">
        <f aca="false">INDEX('💰 Revenue'!$C$7:$BJ$7, MATCH(AB11,'💰 Revenue'!$C$5:$BJ$5,0))</f>
        <v>180</v>
      </c>
      <c r="AC14" s="91" t="n">
        <f aca="false">INDEX('💰 Revenue'!$C$7:$BJ$7, MATCH(AC11,'💰 Revenue'!$C$5:$BJ$5,0))</f>
        <v>180</v>
      </c>
      <c r="AD14" s="91" t="n">
        <f aca="false">INDEX('💰 Revenue'!$C$7:$BJ$7, MATCH(AD11,'💰 Revenue'!$C$5:$BJ$5,0))</f>
        <v>180</v>
      </c>
      <c r="AE14" s="91" t="n">
        <f aca="false">INDEX('💰 Revenue'!$C$7:$BJ$7, MATCH(AE11,'💰 Revenue'!$C$5:$BJ$5,0))</f>
        <v>180</v>
      </c>
      <c r="AF14" s="91" t="n">
        <f aca="false">INDEX('💰 Revenue'!$C$7:$BJ$7, MATCH(AF11,'💰 Revenue'!$C$5:$BJ$5,0))</f>
        <v>180</v>
      </c>
      <c r="AG14" s="91" t="n">
        <f aca="false">INDEX('💰 Revenue'!$C$7:$BJ$7, MATCH(AG11,'💰 Revenue'!$C$5:$BJ$5,0))</f>
        <v>180</v>
      </c>
      <c r="AH14" s="91" t="n">
        <f aca="false">INDEX('💰 Revenue'!$C$7:$BJ$7, MATCH(AH11,'💰 Revenue'!$C$5:$BJ$5,0))</f>
        <v>180</v>
      </c>
      <c r="AI14" s="91" t="n">
        <f aca="false">INDEX('💰 Revenue'!$C$7:$BJ$7, MATCH(AI11,'💰 Revenue'!$C$5:$BJ$5,0))</f>
        <v>180</v>
      </c>
      <c r="AJ14" s="91" t="n">
        <f aca="false">INDEX('💰 Revenue'!$C$7:$BJ$7, MATCH(AJ11,'💰 Revenue'!$C$5:$BJ$5,0))</f>
        <v>180</v>
      </c>
      <c r="AK14" s="91" t="n">
        <f aca="false">INDEX('💰 Revenue'!$C$7:$BJ$7, MATCH(AK11,'💰 Revenue'!$C$5:$BJ$5,0))</f>
        <v>180</v>
      </c>
      <c r="AL14" s="91" t="n">
        <f aca="false">INDEX('💰 Revenue'!$C$7:$BJ$7, MATCH(AL11,'💰 Revenue'!$C$5:$BJ$5,0))</f>
        <v>180</v>
      </c>
      <c r="AM14" s="91" t="n">
        <f aca="false">INDEX('💰 Revenue'!$C$7:$BJ$7, MATCH(AM11,'💰 Revenue'!$C$5:$BJ$5,0))</f>
        <v>180</v>
      </c>
      <c r="AN14" s="91" t="n">
        <f aca="false">INDEX('💰 Revenue'!$C$7:$BJ$7, MATCH(AN11,'💰 Revenue'!$C$5:$BJ$5,0))</f>
        <v>180</v>
      </c>
      <c r="AO14" s="91" t="n">
        <f aca="false">INDEX('💰 Revenue'!$C$7:$BJ$7, MATCH(AO11,'💰 Revenue'!$C$5:$BJ$5,0))</f>
        <v>180</v>
      </c>
      <c r="AP14" s="91" t="n">
        <f aca="false">INDEX('💰 Revenue'!$C$7:$BJ$7, MATCH(AP11,'💰 Revenue'!$C$5:$BJ$5,0))</f>
        <v>180</v>
      </c>
      <c r="AQ14" s="91" t="n">
        <f aca="false">INDEX('💰 Revenue'!$C$7:$BJ$7, MATCH(AQ11,'💰 Revenue'!$C$5:$BJ$5,0))</f>
        <v>180</v>
      </c>
      <c r="AR14" s="91" t="n">
        <f aca="false">INDEX('💰 Revenue'!$C$7:$BJ$7, MATCH(AR11,'💰 Revenue'!$C$5:$BJ$5,0))</f>
        <v>180</v>
      </c>
      <c r="AS14" s="91" t="n">
        <f aca="false">INDEX('💰 Revenue'!$C$7:$BJ$7, MATCH(AS11,'💰 Revenue'!$C$5:$BJ$5,0))</f>
        <v>180</v>
      </c>
      <c r="AT14" s="91" t="n">
        <f aca="false">INDEX('💰 Revenue'!$C$7:$BJ$7, MATCH(AT11,'💰 Revenue'!$C$5:$BJ$5,0))</f>
        <v>180</v>
      </c>
      <c r="AU14" s="91" t="n">
        <f aca="false">INDEX('💰 Revenue'!$C$7:$BJ$7, MATCH(AU11,'💰 Revenue'!$C$5:$BJ$5,0))</f>
        <v>180</v>
      </c>
      <c r="AV14" s="91" t="n">
        <f aca="false">INDEX('💰 Revenue'!$C$7:$BJ$7, MATCH(AV11,'💰 Revenue'!$C$5:$BJ$5,0))</f>
        <v>180</v>
      </c>
      <c r="AW14" s="91" t="n">
        <f aca="false">INDEX('💰 Revenue'!$C$7:$BJ$7, MATCH(AW11,'💰 Revenue'!$C$5:$BJ$5,0))</f>
        <v>180</v>
      </c>
      <c r="AX14" s="91" t="n">
        <f aca="false">INDEX('💰 Revenue'!$C$7:$BJ$7, MATCH(AX11,'💰 Revenue'!$C$5:$BJ$5,0))</f>
        <v>180</v>
      </c>
      <c r="AY14" s="91" t="n">
        <f aca="false">INDEX('💰 Revenue'!$C$7:$BJ$7, MATCH(AY11,'💰 Revenue'!$C$5:$BJ$5,0))</f>
        <v>180</v>
      </c>
      <c r="AZ14" s="91" t="n">
        <f aca="false">INDEX('💰 Revenue'!$C$7:$BJ$7, MATCH(AZ11,'💰 Revenue'!$C$5:$BJ$5,0))</f>
        <v>180</v>
      </c>
      <c r="BA14" s="91" t="n">
        <f aca="false">INDEX('💰 Revenue'!$C$7:$BJ$7, MATCH(BA11,'💰 Revenue'!$C$5:$BJ$5,0))</f>
        <v>180</v>
      </c>
      <c r="BB14" s="91" t="n">
        <f aca="false">INDEX('💰 Revenue'!$C$7:$BJ$7, MATCH(BB11,'💰 Revenue'!$C$5:$BJ$5,0))</f>
        <v>180</v>
      </c>
      <c r="BC14" s="91" t="n">
        <f aca="false">INDEX('💰 Revenue'!$C$7:$BJ$7, MATCH(BC11,'💰 Revenue'!$C$5:$BJ$5,0))</f>
        <v>180</v>
      </c>
      <c r="BD14" s="91" t="n">
        <f aca="false">INDEX('💰 Revenue'!$C$7:$BJ$7, MATCH(BD11,'💰 Revenue'!$C$5:$BJ$5,0))</f>
        <v>180</v>
      </c>
      <c r="BE14" s="91" t="n">
        <f aca="false">INDEX('💰 Revenue'!$C$7:$BJ$7, MATCH(BE11,'💰 Revenue'!$C$5:$BJ$5,0))</f>
        <v>180</v>
      </c>
      <c r="BF14" s="91" t="n">
        <f aca="false">INDEX('💰 Revenue'!$C$7:$BJ$7, MATCH(BF11,'💰 Revenue'!$C$5:$BJ$5,0))</f>
        <v>180</v>
      </c>
      <c r="BG14" s="91" t="n">
        <f aca="false">INDEX('💰 Revenue'!$C$7:$BJ$7, MATCH(BG11,'💰 Revenue'!$C$5:$BJ$5,0))</f>
        <v>180</v>
      </c>
      <c r="BH14" s="91" t="n">
        <f aca="false">INDEX('💰 Revenue'!$C$7:$BJ$7, MATCH(BH11,'💰 Revenue'!$C$5:$BJ$5,0))</f>
        <v>180</v>
      </c>
      <c r="BI14" s="91" t="n">
        <f aca="false">INDEX('💰 Revenue'!$C$7:$BJ$7, MATCH(BI11,'💰 Revenue'!$C$5:$BJ$5,0))</f>
        <v>180</v>
      </c>
    </row>
    <row r="15" customFormat="false" ht="13.8" hidden="false" customHeight="false" outlineLevel="0" collapsed="false">
      <c r="A15" s="97" t="s">
        <v>301</v>
      </c>
      <c r="B15" s="98" t="n">
        <f aca="false">_xlfn.LET(
_xlpm.prep_month, INDEX('⚙️ Other Assumptions'!$B$18:$AK$18,MATCH(B$10,'⚙️ Other Assumptions'!$B$14:$AK$14,0)), 
_xlpm.days_per_month, INDEX('💰 Revenue'!$C$8:$BJ$8,MATCH(B11,'💰 Revenue'!$C$5:$BJ5,0)),
_xlpm.number_of_worker, B13,
_xlpm.hourly_rate,$D$4,
_xlpm.6hrs_pershift, 6 ,
_xlpm.waiter_sal, _xlpm.days_per_month * _xlpm.number_of_worker * _xlpm.hourly_rate * _xlpm.6hrs_pershift, 
IF(B$10&gt; 10, _xlpm.waiter_sal, IF(_xlpm.prep_month &gt; 0, _xlpm.waiter_sal,0)))</f>
        <v>0</v>
      </c>
      <c r="C15" s="98" t="n">
        <f aca="false">_xlfn.LET(
_xlpm.prep_month, INDEX('⚙️ Other Assumptions'!$B$18:$AK$18,MATCH(C$10,'⚙️ Other Assumptions'!$B$14:$AK$14,0)), 
_xlpm.days_per_month, INDEX('💰 Revenue'!$C$8:$BJ$8,MATCH(C11,'💰 Revenue'!$C$5:$BJ5,0)),
_xlpm.number_of_worker, C13,
_xlpm.hourly_rate,$D$4,
_xlpm.6hrs_pershift, 6 ,
_xlpm.waiter_sal, _xlpm.days_per_month * _xlpm.number_of_worker * _xlpm.hourly_rate * _xlpm.6hrs_pershift, 
IF(C$10&gt; 10, _xlpm.waiter_sal, IF(_xlpm.prep_month &gt; 0, _xlpm.waiter_sal,0)))</f>
        <v>0</v>
      </c>
      <c r="D15" s="98" t="n">
        <f aca="false">_xlfn.LET(
_xlpm.prep_month, INDEX('⚙️ Other Assumptions'!$B$18:$AK$18,MATCH(D$10,'⚙️ Other Assumptions'!$B$14:$AK$14,0)), 
_xlpm.days_per_month, INDEX('💰 Revenue'!$C$8:$BJ$8,MATCH(D11,'💰 Revenue'!$C$5:$BJ5,0)),
_xlpm.number_of_worker, D13,
_xlpm.hourly_rate,$D$4,
_xlpm.6hrs_pershift, 6 ,
_xlpm.waiter_sal, _xlpm.days_per_month * _xlpm.number_of_worker * _xlpm.hourly_rate * _xlpm.6hrs_pershift, 
IF(D$10&gt; 10, _xlpm.waiter_sal, IF(_xlpm.prep_month &gt; 0, _xlpm.waiter_sal,0)))</f>
        <v>12276000</v>
      </c>
      <c r="E15" s="98" t="n">
        <f aca="false">_xlfn.LET(
_xlpm.prep_month, INDEX('⚙️ Other Assumptions'!$B$18:$AK$18,MATCH(E$10,'⚙️ Other Assumptions'!$B$14:$AK$14,0)), 
_xlpm.days_per_month, INDEX('💰 Revenue'!$C$8:$BJ$8,MATCH(E11,'💰 Revenue'!$C$5:$BJ5,0)),
_xlpm.number_of_worker, E13,
_xlpm.hourly_rate,$D$4,
_xlpm.6hrs_pershift, 6 ,
_xlpm.waiter_sal, _xlpm.days_per_month * _xlpm.number_of_worker * _xlpm.hourly_rate * _xlpm.6hrs_pershift, 
IF(E$10&gt; 10, _xlpm.waiter_sal, IF(_xlpm.prep_month &gt; 0, _xlpm.waiter_sal,0)))</f>
        <v>12276000</v>
      </c>
      <c r="F15" s="98" t="n">
        <f aca="false">_xlfn.LET(
_xlpm.prep_month, INDEX('⚙️ Other Assumptions'!$B$18:$AK$18,MATCH(F$10,'⚙️ Other Assumptions'!$B$14:$AK$14,0)), 
_xlpm.days_per_month, INDEX('💰 Revenue'!$C$8:$BJ$8,MATCH(F11,'💰 Revenue'!$C$5:$BJ5,0)),
_xlpm.number_of_worker, F13,
_xlpm.hourly_rate,$D$4,
_xlpm.6hrs_pershift, 6 ,
_xlpm.waiter_sal, _xlpm.days_per_month * _xlpm.number_of_worker * _xlpm.hourly_rate * _xlpm.6hrs_pershift, 
IF(F$10&gt; 10, _xlpm.waiter_sal, IF(_xlpm.prep_month &gt; 0, _xlpm.waiter_sal,0)))</f>
        <v>11484000</v>
      </c>
      <c r="G15" s="98" t="n">
        <f aca="false">_xlfn.LET(
_xlpm.prep_month, INDEX('⚙️ Other Assumptions'!$B$18:$AK$18,MATCH(G$10,'⚙️ Other Assumptions'!$B$14:$AK$14,0)), 
_xlpm.days_per_month, INDEX('💰 Revenue'!$C$8:$BJ$8,MATCH(G11,'💰 Revenue'!$C$5:$BJ5,0)),
_xlpm.number_of_worker, G13,
_xlpm.hourly_rate,$D$4,
_xlpm.6hrs_pershift, 6 ,
_xlpm.waiter_sal, _xlpm.days_per_month * _xlpm.number_of_worker * _xlpm.hourly_rate * _xlpm.6hrs_pershift, 
IF(G$10&gt; 10, _xlpm.waiter_sal, IF(_xlpm.prep_month &gt; 0, _xlpm.waiter_sal,0)))</f>
        <v>12276000</v>
      </c>
      <c r="H15" s="98" t="n">
        <f aca="false">_xlfn.LET(
_xlpm.prep_month, INDEX('⚙️ Other Assumptions'!$B$18:$AK$18,MATCH(H$10,'⚙️ Other Assumptions'!$B$14:$AK$14,0)), 
_xlpm.days_per_month, INDEX('💰 Revenue'!$C$8:$BJ$8,MATCH(H11,'💰 Revenue'!$C$5:$BJ5,0)),
_xlpm.number_of_worker, H13,
_xlpm.hourly_rate,$D$4,
_xlpm.6hrs_pershift, 6 ,
_xlpm.waiter_sal, _xlpm.days_per_month * _xlpm.number_of_worker * _xlpm.hourly_rate * _xlpm.6hrs_pershift, 
IF(H$10&gt; 10, _xlpm.waiter_sal, IF(_xlpm.prep_month &gt; 0, _xlpm.waiter_sal,0)))</f>
        <v>17820000</v>
      </c>
      <c r="I15" s="98" t="n">
        <f aca="false">_xlfn.LET(
_xlpm.prep_month, INDEX('⚙️ Other Assumptions'!$B$18:$AK$18,MATCH(I$10,'⚙️ Other Assumptions'!$B$14:$AK$14,0)), 
_xlpm.days_per_month, INDEX('💰 Revenue'!$C$8:$BJ$8,MATCH(I11,'💰 Revenue'!$C$5:$BJ5,0)),
_xlpm.number_of_worker, I13,
_xlpm.hourly_rate,$D$4,
_xlpm.6hrs_pershift, 6 ,
_xlpm.waiter_sal, _xlpm.days_per_month * _xlpm.number_of_worker * _xlpm.hourly_rate * _xlpm.6hrs_pershift, 
IF(I$10&gt; 10, _xlpm.waiter_sal, IF(_xlpm.prep_month &gt; 0, _xlpm.waiter_sal,0)))</f>
        <v>18414000</v>
      </c>
      <c r="J15" s="98" t="n">
        <f aca="false">_xlfn.LET(
_xlpm.prep_month, INDEX('⚙️ Other Assumptions'!$B$18:$AK$18,MATCH(J$10,'⚙️ Other Assumptions'!$B$14:$AK$14,0)), 
_xlpm.days_per_month, INDEX('💰 Revenue'!$C$8:$BJ$8,MATCH(J11,'💰 Revenue'!$C$5:$BJ5,0)),
_xlpm.number_of_worker, J13,
_xlpm.hourly_rate,$D$4,
_xlpm.6hrs_pershift, 6 ,
_xlpm.waiter_sal, _xlpm.days_per_month * _xlpm.number_of_worker * _xlpm.hourly_rate * _xlpm.6hrs_pershift, 
IF(J$10&gt; 10, _xlpm.waiter_sal, IF(_xlpm.prep_month &gt; 0, _xlpm.waiter_sal,0)))</f>
        <v>17820000</v>
      </c>
      <c r="K15" s="98" t="n">
        <f aca="false">_xlfn.LET(
_xlpm.prep_month, INDEX('⚙️ Other Assumptions'!$B$18:$AK$18,MATCH(K$10,'⚙️ Other Assumptions'!$B$14:$AK$14,0)), 
_xlpm.days_per_month, INDEX('💰 Revenue'!$C$8:$BJ$8,MATCH(K11,'💰 Revenue'!$C$5:$BJ5,0)),
_xlpm.number_of_worker, K13,
_xlpm.hourly_rate,$D$4,
_xlpm.6hrs_pershift, 6 ,
_xlpm.waiter_sal, _xlpm.days_per_month * _xlpm.number_of_worker * _xlpm.hourly_rate * _xlpm.6hrs_pershift, 
IF(K$10&gt; 10, _xlpm.waiter_sal, IF(_xlpm.prep_month &gt; 0, _xlpm.waiter_sal,0)))</f>
        <v>18414000</v>
      </c>
      <c r="L15" s="98" t="n">
        <f aca="false">_xlfn.LET(
_xlpm.prep_month, INDEX('⚙️ Other Assumptions'!$B$18:$AK$18,MATCH(L$10,'⚙️ Other Assumptions'!$B$14:$AK$14,0)), 
_xlpm.days_per_month, INDEX('💰 Revenue'!$C$8:$BJ$8,MATCH(L11,'💰 Revenue'!$C$5:$BJ5,0)),
_xlpm.number_of_worker, L13,
_xlpm.hourly_rate,$D$4,
_xlpm.6hrs_pershift, 6 ,
_xlpm.waiter_sal, _xlpm.days_per_month * _xlpm.number_of_worker * _xlpm.hourly_rate * _xlpm.6hrs_pershift, 
IF(L$10&gt; 10, _xlpm.waiter_sal, IF(_xlpm.prep_month &gt; 0, _xlpm.waiter_sal,0)))</f>
        <v>18414000</v>
      </c>
      <c r="M15" s="98" t="n">
        <f aca="false">_xlfn.LET(
_xlpm.prep_month, INDEX('⚙️ Other Assumptions'!$B$18:$AK$18,MATCH(M$10,'⚙️ Other Assumptions'!$B$14:$AK$14,0)), 
_xlpm.days_per_month, INDEX('💰 Revenue'!$C$8:$BJ$8,MATCH(M11,'💰 Revenue'!$C$5:$BJ5,0)),
_xlpm.number_of_worker, M13,
_xlpm.hourly_rate,$D$4,
_xlpm.6hrs_pershift, 6 ,
_xlpm.waiter_sal, _xlpm.days_per_month * _xlpm.number_of_worker * _xlpm.hourly_rate * _xlpm.6hrs_pershift, 
IF(M$10&gt; 10, _xlpm.waiter_sal, IF(_xlpm.prep_month &gt; 0, _xlpm.waiter_sal,0)))</f>
        <v>17820000</v>
      </c>
      <c r="N15" s="98" t="n">
        <f aca="false">_xlfn.LET(
_xlpm.prep_month, INDEX('⚙️ Other Assumptions'!$B$18:$AK$18,MATCH(N$10,'⚙️ Other Assumptions'!$B$14:$AK$14,0)), 
_xlpm.days_per_month, INDEX('💰 Revenue'!$C$8:$BJ$8,MATCH(N11,'💰 Revenue'!$C$5:$BJ5,0)),
_xlpm.number_of_worker, N13,
_xlpm.hourly_rate,$D$4,
_xlpm.6hrs_pershift, 6 ,
_xlpm.waiter_sal, _xlpm.days_per_month * _xlpm.number_of_worker * _xlpm.hourly_rate * _xlpm.6hrs_pershift, 
IF(N$10&gt; 10, _xlpm.waiter_sal, IF(_xlpm.prep_month &gt; 0, _xlpm.waiter_sal,0)))</f>
        <v>18414000</v>
      </c>
      <c r="O15" s="98" t="n">
        <f aca="false">_xlfn.LET(
_xlpm.prep_month, INDEX('⚙️ Other Assumptions'!$B$18:$AK$18,MATCH(O$10,'⚙️ Other Assumptions'!$B$14:$AK$14,0)), 
_xlpm.days_per_month, INDEX('💰 Revenue'!$C$8:$BJ$8,MATCH(O11,'💰 Revenue'!$C$5:$BJ5,0)),
_xlpm.number_of_worker, O13,
_xlpm.hourly_rate,$D$4,
_xlpm.6hrs_pershift, 6 ,
_xlpm.waiter_sal, _xlpm.days_per_month * _xlpm.number_of_worker * _xlpm.hourly_rate * _xlpm.6hrs_pershift, 
IF(O$10&gt; 10, _xlpm.waiter_sal, IF(_xlpm.prep_month &gt; 0, _xlpm.waiter_sal,0)))</f>
        <v>17820000</v>
      </c>
      <c r="P15" s="98" t="n">
        <f aca="false">_xlfn.LET(
_xlpm.prep_month, INDEX('⚙️ Other Assumptions'!$B$18:$AK$18,MATCH(P$10,'⚙️ Other Assumptions'!$B$14:$AK$14,0)), 
_xlpm.days_per_month, INDEX('💰 Revenue'!$C$8:$BJ$8,MATCH(P11,'💰 Revenue'!$C$5:$BJ5,0)),
_xlpm.number_of_worker, P13,
_xlpm.hourly_rate,$D$4,
_xlpm.6hrs_pershift, 6 ,
_xlpm.waiter_sal, _xlpm.days_per_month * _xlpm.number_of_worker * _xlpm.hourly_rate * _xlpm.6hrs_pershift, 
IF(P$10&gt; 10, _xlpm.waiter_sal, IF(_xlpm.prep_month &gt; 0, _xlpm.waiter_sal,0)))</f>
        <v>18414000</v>
      </c>
      <c r="Q15" s="98" t="n">
        <f aca="false">_xlfn.LET(
_xlpm.prep_month, INDEX('⚙️ Other Assumptions'!$B$18:$AK$18,MATCH(Q$10,'⚙️ Other Assumptions'!$B$14:$AK$14,0)), 
_xlpm.days_per_month, INDEX('💰 Revenue'!$C$8:$BJ$8,MATCH(Q11,'💰 Revenue'!$C$5:$BJ5,0)),
_xlpm.number_of_worker, Q13,
_xlpm.hourly_rate,$D$4,
_xlpm.6hrs_pershift, 6 ,
_xlpm.waiter_sal, _xlpm.days_per_month * _xlpm.number_of_worker * _xlpm.hourly_rate * _xlpm.6hrs_pershift, 
IF(Q$10&gt; 10, _xlpm.waiter_sal, IF(_xlpm.prep_month &gt; 0, _xlpm.waiter_sal,0)))</f>
        <v>18414000</v>
      </c>
      <c r="R15" s="98" t="n">
        <f aca="false">_xlfn.LET(
_xlpm.prep_month, INDEX('⚙️ Other Assumptions'!$B$18:$AK$18,MATCH(R$10,'⚙️ Other Assumptions'!$B$14:$AK$14,0)), 
_xlpm.days_per_month, INDEX('💰 Revenue'!$C$8:$BJ$8,MATCH(R11,'💰 Revenue'!$C$5:$BJ5,0)),
_xlpm.number_of_worker, R13,
_xlpm.hourly_rate,$D$4,
_xlpm.6hrs_pershift, 6 ,
_xlpm.waiter_sal, _xlpm.days_per_month * _xlpm.number_of_worker * _xlpm.hourly_rate * _xlpm.6hrs_pershift, 
IF(R$10&gt; 10, _xlpm.waiter_sal, IF(_xlpm.prep_month &gt; 0, _xlpm.waiter_sal,0)))</f>
        <v>22176000</v>
      </c>
      <c r="S15" s="98" t="n">
        <f aca="false">_xlfn.LET(
_xlpm.prep_month, INDEX('⚙️ Other Assumptions'!$B$18:$AK$18,MATCH(S$10,'⚙️ Other Assumptions'!$B$14:$AK$14,0)), 
_xlpm.days_per_month, INDEX('💰 Revenue'!$C$8:$BJ$8,MATCH(S11,'💰 Revenue'!$C$5:$BJ5,0)),
_xlpm.number_of_worker, S13,
_xlpm.hourly_rate,$D$4,
_xlpm.6hrs_pershift, 6 ,
_xlpm.waiter_sal, _xlpm.days_per_month * _xlpm.number_of_worker * _xlpm.hourly_rate * _xlpm.6hrs_pershift, 
IF(S$10&gt; 10, _xlpm.waiter_sal, IF(_xlpm.prep_month &gt; 0, _xlpm.waiter_sal,0)))</f>
        <v>24552000</v>
      </c>
      <c r="T15" s="98" t="n">
        <f aca="false">_xlfn.LET(
_xlpm.prep_month, INDEX('⚙️ Other Assumptions'!$B$18:$AK$18,MATCH(T$10,'⚙️ Other Assumptions'!$B$14:$AK$14,0)), 
_xlpm.days_per_month, INDEX('💰 Revenue'!$C$8:$BJ$8,MATCH(T11,'💰 Revenue'!$C$5:$BJ5,0)),
_xlpm.number_of_worker, T13,
_xlpm.hourly_rate,$D$4,
_xlpm.6hrs_pershift, 6 ,
_xlpm.waiter_sal, _xlpm.days_per_month * _xlpm.number_of_worker * _xlpm.hourly_rate * _xlpm.6hrs_pershift, 
IF(T$10&gt; 10, _xlpm.waiter_sal, IF(_xlpm.prep_month &gt; 0, _xlpm.waiter_sal,0)))</f>
        <v>23760000</v>
      </c>
      <c r="U15" s="98" t="n">
        <f aca="false">_xlfn.LET(
_xlpm.prep_month, INDEX('⚙️ Other Assumptions'!$B$18:$AK$18,MATCH(U$10,'⚙️ Other Assumptions'!$B$14:$AK$14,0)), 
_xlpm.days_per_month, INDEX('💰 Revenue'!$C$8:$BJ$8,MATCH(U11,'💰 Revenue'!$C$5:$BJ5,0)),
_xlpm.number_of_worker, U13,
_xlpm.hourly_rate,$D$4,
_xlpm.6hrs_pershift, 6 ,
_xlpm.waiter_sal, _xlpm.days_per_month * _xlpm.number_of_worker * _xlpm.hourly_rate * _xlpm.6hrs_pershift, 
IF(U$10&gt; 10, _xlpm.waiter_sal, IF(_xlpm.prep_month &gt; 0, _xlpm.waiter_sal,0)))</f>
        <v>24552000</v>
      </c>
      <c r="V15" s="98" t="n">
        <f aca="false">_xlfn.LET(
_xlpm.prep_month, INDEX('⚙️ Other Assumptions'!$B$18:$AK$18,MATCH(V$10,'⚙️ Other Assumptions'!$B$14:$AK$14,0)), 
_xlpm.days_per_month, INDEX('💰 Revenue'!$C$8:$BJ$8,MATCH(V11,'💰 Revenue'!$C$5:$BJ5,0)),
_xlpm.number_of_worker, V13,
_xlpm.hourly_rate,$D$4,
_xlpm.6hrs_pershift, 6 ,
_xlpm.waiter_sal, _xlpm.days_per_month * _xlpm.number_of_worker * _xlpm.hourly_rate * _xlpm.6hrs_pershift, 
IF(V$10&gt; 10, _xlpm.waiter_sal, IF(_xlpm.prep_month &gt; 0, _xlpm.waiter_sal,0)))</f>
        <v>23760000</v>
      </c>
      <c r="W15" s="98" t="n">
        <f aca="false">_xlfn.LET(
_xlpm.prep_month, INDEX('⚙️ Other Assumptions'!$B$18:$AK$18,MATCH(W$10,'⚙️ Other Assumptions'!$B$14:$AK$14,0)), 
_xlpm.days_per_month, INDEX('💰 Revenue'!$C$8:$BJ$8,MATCH(W11,'💰 Revenue'!$C$5:$BJ5,0)),
_xlpm.number_of_worker, W13,
_xlpm.hourly_rate,$D$4,
_xlpm.6hrs_pershift, 6 ,
_xlpm.waiter_sal, _xlpm.days_per_month * _xlpm.number_of_worker * _xlpm.hourly_rate * _xlpm.6hrs_pershift, 
IF(W$10&gt; 10, _xlpm.waiter_sal, IF(_xlpm.prep_month &gt; 0, _xlpm.waiter_sal,0)))</f>
        <v>24552000</v>
      </c>
      <c r="X15" s="98" t="n">
        <f aca="false">_xlfn.LET(
_xlpm.prep_month, INDEX('⚙️ Other Assumptions'!$B$18:$AK$18,MATCH(X$10,'⚙️ Other Assumptions'!$B$14:$AK$14,0)), 
_xlpm.days_per_month, INDEX('💰 Revenue'!$C$8:$BJ$8,MATCH(X11,'💰 Revenue'!$C$5:$BJ5,0)),
_xlpm.number_of_worker, X13,
_xlpm.hourly_rate,$D$4,
_xlpm.6hrs_pershift, 6 ,
_xlpm.waiter_sal, _xlpm.days_per_month * _xlpm.number_of_worker * _xlpm.hourly_rate * _xlpm.6hrs_pershift, 
IF(X$10&gt; 10, _xlpm.waiter_sal, IF(_xlpm.prep_month &gt; 0, _xlpm.waiter_sal,0)))</f>
        <v>24552000</v>
      </c>
      <c r="Y15" s="98" t="n">
        <f aca="false">_xlfn.LET(
_xlpm.prep_month, INDEX('⚙️ Other Assumptions'!$B$18:$AK$18,MATCH(Y$10,'⚙️ Other Assumptions'!$B$14:$AK$14,0)), 
_xlpm.days_per_month, INDEX('💰 Revenue'!$C$8:$BJ$8,MATCH(Y11,'💰 Revenue'!$C$5:$BJ5,0)),
_xlpm.number_of_worker, Y13,
_xlpm.hourly_rate,$D$4,
_xlpm.6hrs_pershift, 6 ,
_xlpm.waiter_sal, _xlpm.days_per_month * _xlpm.number_of_worker * _xlpm.hourly_rate * _xlpm.6hrs_pershift, 
IF(Y$10&gt; 10, _xlpm.waiter_sal, IF(_xlpm.prep_month &gt; 0, _xlpm.waiter_sal,0)))</f>
        <v>23760000</v>
      </c>
      <c r="Z15" s="98" t="n">
        <f aca="false">_xlfn.LET(
_xlpm.prep_month, INDEX('⚙️ Other Assumptions'!$B$18:$AK$18,MATCH(Z$10,'⚙️ Other Assumptions'!$B$14:$AK$14,0)), 
_xlpm.days_per_month, INDEX('💰 Revenue'!$C$8:$BJ$8,MATCH(Z11,'💰 Revenue'!$C$5:$BJ5,0)),
_xlpm.number_of_worker, Z13,
_xlpm.hourly_rate,$D$4,
_xlpm.6hrs_pershift, 6 ,
_xlpm.waiter_sal, _xlpm.days_per_month * _xlpm.number_of_worker * _xlpm.hourly_rate * _xlpm.6hrs_pershift, 
IF(Z$10&gt; 10, _xlpm.waiter_sal, IF(_xlpm.prep_month &gt; 0, _xlpm.waiter_sal,0)))</f>
        <v>24552000</v>
      </c>
      <c r="AA15" s="98" t="n">
        <f aca="false">_xlfn.LET(
_xlpm.prep_month, INDEX('⚙️ Other Assumptions'!$B$18:$AK$18,MATCH(AA$10,'⚙️ Other Assumptions'!$B$14:$AK$14,0)), 
_xlpm.days_per_month, INDEX('💰 Revenue'!$C$8:$BJ$8,MATCH(AA11,'💰 Revenue'!$C$5:$BJ5,0)),
_xlpm.number_of_worker, AA13,
_xlpm.hourly_rate,$D$4,
_xlpm.6hrs_pershift, 6 ,
_xlpm.waiter_sal, _xlpm.days_per_month * _xlpm.number_of_worker * _xlpm.hourly_rate * _xlpm.6hrs_pershift, 
IF(AA$10&gt; 10, _xlpm.waiter_sal, IF(_xlpm.prep_month &gt; 0, _xlpm.waiter_sal,0)))</f>
        <v>23760000</v>
      </c>
      <c r="AB15" s="98" t="n">
        <f aca="false">_xlfn.LET(
_xlpm.prep_month, INDEX('⚙️ Other Assumptions'!$B$18:$AK$18,MATCH(AB$10,'⚙️ Other Assumptions'!$B$14:$AK$14,0)), 
_xlpm.days_per_month, INDEX('💰 Revenue'!$C$8:$BJ$8,MATCH(AB11,'💰 Revenue'!$C$5:$BJ5,0)),
_xlpm.number_of_worker, AB13,
_xlpm.hourly_rate,$D$4,
_xlpm.6hrs_pershift, 6 ,
_xlpm.waiter_sal, _xlpm.days_per_month * _xlpm.number_of_worker * _xlpm.hourly_rate * _xlpm.6hrs_pershift, 
IF(AB$10&gt; 10, _xlpm.waiter_sal, IF(_xlpm.prep_month &gt; 0, _xlpm.waiter_sal,0)))</f>
        <v>24552000</v>
      </c>
      <c r="AC15" s="98" t="n">
        <f aca="false">_xlfn.LET(
_xlpm.prep_month, INDEX('⚙️ Other Assumptions'!$B$18:$AK$18,MATCH(AC$10,'⚙️ Other Assumptions'!$B$14:$AK$14,0)), 
_xlpm.days_per_month, INDEX('💰 Revenue'!$C$8:$BJ$8,MATCH(AC11,'💰 Revenue'!$C$5:$BJ5,0)),
_xlpm.number_of_worker, AC13,
_xlpm.hourly_rate,$D$4,
_xlpm.6hrs_pershift, 6 ,
_xlpm.waiter_sal, _xlpm.days_per_month * _xlpm.number_of_worker * _xlpm.hourly_rate * _xlpm.6hrs_pershift, 
IF(AC$10&gt; 10, _xlpm.waiter_sal, IF(_xlpm.prep_month &gt; 0, _xlpm.waiter_sal,0)))</f>
        <v>24552000</v>
      </c>
      <c r="AD15" s="98" t="n">
        <f aca="false">_xlfn.LET(
_xlpm.prep_month, INDEX('⚙️ Other Assumptions'!$B$18:$AK$18,MATCH(AD$10,'⚙️ Other Assumptions'!$B$14:$AK$14,0)), 
_xlpm.days_per_month, INDEX('💰 Revenue'!$C$8:$BJ$8,MATCH(AD11,'💰 Revenue'!$C$5:$BJ5,0)),
_xlpm.number_of_worker, AD13,
_xlpm.hourly_rate,$D$4,
_xlpm.6hrs_pershift, 6 ,
_xlpm.waiter_sal, _xlpm.days_per_month * _xlpm.number_of_worker * _xlpm.hourly_rate * _xlpm.6hrs_pershift, 
IF(AD$10&gt; 10, _xlpm.waiter_sal, IF(_xlpm.prep_month &gt; 0, _xlpm.waiter_sal,0)))</f>
        <v>22176000</v>
      </c>
      <c r="AE15" s="98" t="n">
        <f aca="false">_xlfn.LET(
_xlpm.prep_month, INDEX('⚙️ Other Assumptions'!$B$18:$AK$18,MATCH(AE$10,'⚙️ Other Assumptions'!$B$14:$AK$14,0)), 
_xlpm.days_per_month, INDEX('💰 Revenue'!$C$8:$BJ$8,MATCH(AE11,'💰 Revenue'!$C$5:$BJ5,0)),
_xlpm.number_of_worker, AE13,
_xlpm.hourly_rate,$D$4,
_xlpm.6hrs_pershift, 6 ,
_xlpm.waiter_sal, _xlpm.days_per_month * _xlpm.number_of_worker * _xlpm.hourly_rate * _xlpm.6hrs_pershift, 
IF(AE$10&gt; 10, _xlpm.waiter_sal, IF(_xlpm.prep_month &gt; 0, _xlpm.waiter_sal,0)))</f>
        <v>24552000</v>
      </c>
      <c r="AF15" s="98" t="n">
        <f aca="false">_xlfn.LET(
_xlpm.prep_month, INDEX('⚙️ Other Assumptions'!$B$18:$AK$18,MATCH(AF$10,'⚙️ Other Assumptions'!$B$14:$AK$14,0)), 
_xlpm.days_per_month, INDEX('💰 Revenue'!$C$8:$BJ$8,MATCH(AF11,'💰 Revenue'!$C$5:$BJ5,0)),
_xlpm.number_of_worker, AF13,
_xlpm.hourly_rate,$D$4,
_xlpm.6hrs_pershift, 6 ,
_xlpm.waiter_sal, _xlpm.days_per_month * _xlpm.number_of_worker * _xlpm.hourly_rate * _xlpm.6hrs_pershift, 
IF(AF$10&gt; 10, _xlpm.waiter_sal, IF(_xlpm.prep_month &gt; 0, _xlpm.waiter_sal,0)))</f>
        <v>23760000</v>
      </c>
      <c r="AG15" s="98" t="n">
        <f aca="false">_xlfn.LET(
_xlpm.prep_month, INDEX('⚙️ Other Assumptions'!$B$18:$AK$18,MATCH(AG$10,'⚙️ Other Assumptions'!$B$14:$AK$14,0)), 
_xlpm.days_per_month, INDEX('💰 Revenue'!$C$8:$BJ$8,MATCH(AG11,'💰 Revenue'!$C$5:$BJ5,0)),
_xlpm.number_of_worker, AG13,
_xlpm.hourly_rate,$D$4,
_xlpm.6hrs_pershift, 6 ,
_xlpm.waiter_sal, _xlpm.days_per_month * _xlpm.number_of_worker * _xlpm.hourly_rate * _xlpm.6hrs_pershift, 
IF(AG$10&gt; 10, _xlpm.waiter_sal, IF(_xlpm.prep_month &gt; 0, _xlpm.waiter_sal,0)))</f>
        <v>24552000</v>
      </c>
      <c r="AH15" s="98" t="n">
        <f aca="false">_xlfn.LET(
_xlpm.prep_month, INDEX('⚙️ Other Assumptions'!$B$18:$AK$18,MATCH(AH$10,'⚙️ Other Assumptions'!$B$14:$AK$14,0)), 
_xlpm.days_per_month, INDEX('💰 Revenue'!$C$8:$BJ$8,MATCH(AH11,'💰 Revenue'!$C$5:$BJ5,0)),
_xlpm.number_of_worker, AH13,
_xlpm.hourly_rate,$D$4,
_xlpm.6hrs_pershift, 6 ,
_xlpm.waiter_sal, _xlpm.days_per_month * _xlpm.number_of_worker * _xlpm.hourly_rate * _xlpm.6hrs_pershift, 
IF(AH$10&gt; 10, _xlpm.waiter_sal, IF(_xlpm.prep_month &gt; 0, _xlpm.waiter_sal,0)))</f>
        <v>23760000</v>
      </c>
      <c r="AI15" s="98" t="n">
        <f aca="false">_xlfn.LET(
_xlpm.prep_month, INDEX('⚙️ Other Assumptions'!$B$18:$AK$18,MATCH(AI$10,'⚙️ Other Assumptions'!$B$14:$AK$14,0)), 
_xlpm.days_per_month, INDEX('💰 Revenue'!$C$8:$BJ$8,MATCH(AI11,'💰 Revenue'!$C$5:$BJ5,0)),
_xlpm.number_of_worker, AI13,
_xlpm.hourly_rate,$D$4,
_xlpm.6hrs_pershift, 6 ,
_xlpm.waiter_sal, _xlpm.days_per_month * _xlpm.number_of_worker * _xlpm.hourly_rate * _xlpm.6hrs_pershift, 
IF(AI$10&gt; 10, _xlpm.waiter_sal, IF(_xlpm.prep_month &gt; 0, _xlpm.waiter_sal,0)))</f>
        <v>24552000</v>
      </c>
      <c r="AJ15" s="98" t="n">
        <f aca="false">_xlfn.LET(
_xlpm.prep_month, INDEX('⚙️ Other Assumptions'!$B$18:$AK$18,MATCH(AJ$10,'⚙️ Other Assumptions'!$B$14:$AK$14,0)), 
_xlpm.days_per_month, INDEX('💰 Revenue'!$C$8:$BJ$8,MATCH(AJ11,'💰 Revenue'!$C$5:$BJ5,0)),
_xlpm.number_of_worker, AJ13,
_xlpm.hourly_rate,$D$4,
_xlpm.6hrs_pershift, 6 ,
_xlpm.waiter_sal, _xlpm.days_per_month * _xlpm.number_of_worker * _xlpm.hourly_rate * _xlpm.6hrs_pershift, 
IF(AJ$10&gt; 10, _xlpm.waiter_sal, IF(_xlpm.prep_month &gt; 0, _xlpm.waiter_sal,0)))</f>
        <v>24552000</v>
      </c>
      <c r="AK15" s="98" t="n">
        <f aca="false">_xlfn.LET(
_xlpm.prep_month, INDEX('⚙️ Other Assumptions'!$B$18:$AK$18,MATCH(AK$10,'⚙️ Other Assumptions'!$B$14:$AK$14,0)), 
_xlpm.days_per_month, INDEX('💰 Revenue'!$C$8:$BJ$8,MATCH(AK11,'💰 Revenue'!$C$5:$BJ5,0)),
_xlpm.number_of_worker, AK13,
_xlpm.hourly_rate,$D$4,
_xlpm.6hrs_pershift, 6 ,
_xlpm.waiter_sal, _xlpm.days_per_month * _xlpm.number_of_worker * _xlpm.hourly_rate * _xlpm.6hrs_pershift, 
IF(AK$10&gt; 10, _xlpm.waiter_sal, IF(_xlpm.prep_month &gt; 0, _xlpm.waiter_sal,0)))</f>
        <v>23760000</v>
      </c>
      <c r="AL15" s="98" t="n">
        <f aca="false">_xlfn.LET(
_xlpm.prep_month, INDEX('⚙️ Other Assumptions'!$B$18:$AK$18,MATCH(AL$10,'⚙️ Other Assumptions'!$B$14:$AK$14,0)), 
_xlpm.days_per_month, INDEX('💰 Revenue'!$C$8:$BJ$8,MATCH(AL11,'💰 Revenue'!$C$5:$BJ5,0)),
_xlpm.number_of_worker, AL13,
_xlpm.hourly_rate,$D$4,
_xlpm.6hrs_pershift, 6 ,
_xlpm.waiter_sal, _xlpm.days_per_month * _xlpm.number_of_worker * _xlpm.hourly_rate * _xlpm.6hrs_pershift, 
IF(AL$10&gt; 10, _xlpm.waiter_sal, IF(_xlpm.prep_month &gt; 0, _xlpm.waiter_sal,0)))</f>
        <v>24552000</v>
      </c>
      <c r="AM15" s="98" t="n">
        <f aca="false">_xlfn.LET(
_xlpm.prep_month, INDEX('⚙️ Other Assumptions'!$B$18:$AK$18,MATCH(AM$10,'⚙️ Other Assumptions'!$B$14:$AK$14,0)), 
_xlpm.days_per_month, INDEX('💰 Revenue'!$C$8:$BJ$8,MATCH(AM11,'💰 Revenue'!$C$5:$BJ5,0)),
_xlpm.number_of_worker, AM13,
_xlpm.hourly_rate,$D$4,
_xlpm.6hrs_pershift, 6 ,
_xlpm.waiter_sal, _xlpm.days_per_month * _xlpm.number_of_worker * _xlpm.hourly_rate * _xlpm.6hrs_pershift, 
IF(AM$10&gt; 10, _xlpm.waiter_sal, IF(_xlpm.prep_month &gt; 0, _xlpm.waiter_sal,0)))</f>
        <v>23760000</v>
      </c>
      <c r="AN15" s="98" t="n">
        <f aca="false">_xlfn.LET(
_xlpm.prep_month, INDEX('⚙️ Other Assumptions'!$B$18:$AK$18,MATCH(AN$10,'⚙️ Other Assumptions'!$B$14:$AK$14,0)), 
_xlpm.days_per_month, INDEX('💰 Revenue'!$C$8:$BJ$8,MATCH(AN11,'💰 Revenue'!$C$5:$BJ5,0)),
_xlpm.number_of_worker, AN13,
_xlpm.hourly_rate,$D$4,
_xlpm.6hrs_pershift, 6 ,
_xlpm.waiter_sal, _xlpm.days_per_month * _xlpm.number_of_worker * _xlpm.hourly_rate * _xlpm.6hrs_pershift, 
IF(AN$10&gt; 10, _xlpm.waiter_sal, IF(_xlpm.prep_month &gt; 0, _xlpm.waiter_sal,0)))</f>
        <v>24552000</v>
      </c>
      <c r="AO15" s="98" t="n">
        <f aca="false">_xlfn.LET(
_xlpm.prep_month, INDEX('⚙️ Other Assumptions'!$B$18:$AK$18,MATCH(AO$10,'⚙️ Other Assumptions'!$B$14:$AK$14,0)), 
_xlpm.days_per_month, INDEX('💰 Revenue'!$C$8:$BJ$8,MATCH(AO11,'💰 Revenue'!$C$5:$BJ5,0)),
_xlpm.number_of_worker, AO13,
_xlpm.hourly_rate,$D$4,
_xlpm.6hrs_pershift, 6 ,
_xlpm.waiter_sal, _xlpm.days_per_month * _xlpm.number_of_worker * _xlpm.hourly_rate * _xlpm.6hrs_pershift, 
IF(AO$10&gt; 10, _xlpm.waiter_sal, IF(_xlpm.prep_month &gt; 0, _xlpm.waiter_sal,0)))</f>
        <v>24552000</v>
      </c>
      <c r="AP15" s="98" t="n">
        <f aca="false">_xlfn.LET(
_xlpm.prep_month, INDEX('⚙️ Other Assumptions'!$B$18:$AK$18,MATCH(AP$10,'⚙️ Other Assumptions'!$B$14:$AK$14,0)), 
_xlpm.days_per_month, INDEX('💰 Revenue'!$C$8:$BJ$8,MATCH(AP11,'💰 Revenue'!$C$5:$BJ5,0)),
_xlpm.number_of_worker, AP13,
_xlpm.hourly_rate,$D$4,
_xlpm.6hrs_pershift, 6 ,
_xlpm.waiter_sal, _xlpm.days_per_month * _xlpm.number_of_worker * _xlpm.hourly_rate * _xlpm.6hrs_pershift, 
IF(AP$10&gt; 10, _xlpm.waiter_sal, IF(_xlpm.prep_month &gt; 0, _xlpm.waiter_sal,0)))</f>
        <v>22176000</v>
      </c>
      <c r="AQ15" s="98" t="n">
        <f aca="false">_xlfn.LET(
_xlpm.prep_month, INDEX('⚙️ Other Assumptions'!$B$18:$AK$18,MATCH(AQ$10,'⚙️ Other Assumptions'!$B$14:$AK$14,0)), 
_xlpm.days_per_month, INDEX('💰 Revenue'!$C$8:$BJ$8,MATCH(AQ11,'💰 Revenue'!$C$5:$BJ5,0)),
_xlpm.number_of_worker, AQ13,
_xlpm.hourly_rate,$D$4,
_xlpm.6hrs_pershift, 6 ,
_xlpm.waiter_sal, _xlpm.days_per_month * _xlpm.number_of_worker * _xlpm.hourly_rate * _xlpm.6hrs_pershift, 
IF(AQ$10&gt; 10, _xlpm.waiter_sal, IF(_xlpm.prep_month &gt; 0, _xlpm.waiter_sal,0)))</f>
        <v>24552000</v>
      </c>
      <c r="AR15" s="98" t="n">
        <f aca="false">_xlfn.LET(
_xlpm.prep_month, INDEX('⚙️ Other Assumptions'!$B$18:$AK$18,MATCH(AR$10,'⚙️ Other Assumptions'!$B$14:$AK$14,0)), 
_xlpm.days_per_month, INDEX('💰 Revenue'!$C$8:$BJ$8,MATCH(AR11,'💰 Revenue'!$C$5:$BJ5,0)),
_xlpm.number_of_worker, AR13,
_xlpm.hourly_rate,$D$4,
_xlpm.6hrs_pershift, 6 ,
_xlpm.waiter_sal, _xlpm.days_per_month * _xlpm.number_of_worker * _xlpm.hourly_rate * _xlpm.6hrs_pershift, 
IF(AR$10&gt; 10, _xlpm.waiter_sal, IF(_xlpm.prep_month &gt; 0, _xlpm.waiter_sal,0)))</f>
        <v>23760000</v>
      </c>
      <c r="AS15" s="98" t="n">
        <f aca="false">_xlfn.LET(
_xlpm.prep_month, INDEX('⚙️ Other Assumptions'!$B$18:$AK$18,MATCH(AS$10,'⚙️ Other Assumptions'!$B$14:$AK$14,0)), 
_xlpm.days_per_month, INDEX('💰 Revenue'!$C$8:$BJ$8,MATCH(AS11,'💰 Revenue'!$C$5:$BJ5,0)),
_xlpm.number_of_worker, AS13,
_xlpm.hourly_rate,$D$4,
_xlpm.6hrs_pershift, 6 ,
_xlpm.waiter_sal, _xlpm.days_per_month * _xlpm.number_of_worker * _xlpm.hourly_rate * _xlpm.6hrs_pershift, 
IF(AS$10&gt; 10, _xlpm.waiter_sal, IF(_xlpm.prep_month &gt; 0, _xlpm.waiter_sal,0)))</f>
        <v>24552000</v>
      </c>
      <c r="AT15" s="98" t="n">
        <f aca="false">_xlfn.LET(
_xlpm.prep_month, INDEX('⚙️ Other Assumptions'!$B$18:$AK$18,MATCH(AT$10,'⚙️ Other Assumptions'!$B$14:$AK$14,0)), 
_xlpm.days_per_month, INDEX('💰 Revenue'!$C$8:$BJ$8,MATCH(AT11,'💰 Revenue'!$C$5:$BJ5,0)),
_xlpm.number_of_worker, AT13,
_xlpm.hourly_rate,$D$4,
_xlpm.6hrs_pershift, 6 ,
_xlpm.waiter_sal, _xlpm.days_per_month * _xlpm.number_of_worker * _xlpm.hourly_rate * _xlpm.6hrs_pershift, 
IF(AT$10&gt; 10, _xlpm.waiter_sal, IF(_xlpm.prep_month &gt; 0, _xlpm.waiter_sal,0)))</f>
        <v>23760000</v>
      </c>
      <c r="AU15" s="98" t="n">
        <f aca="false">_xlfn.LET(
_xlpm.prep_month, INDEX('⚙️ Other Assumptions'!$B$18:$AK$18,MATCH(AU$10,'⚙️ Other Assumptions'!$B$14:$AK$14,0)), 
_xlpm.days_per_month, INDEX('💰 Revenue'!$C$8:$BJ$8,MATCH(AU11,'💰 Revenue'!$C$5:$BJ5,0)),
_xlpm.number_of_worker, AU13,
_xlpm.hourly_rate,$D$4,
_xlpm.6hrs_pershift, 6 ,
_xlpm.waiter_sal, _xlpm.days_per_month * _xlpm.number_of_worker * _xlpm.hourly_rate * _xlpm.6hrs_pershift, 
IF(AU$10&gt; 10, _xlpm.waiter_sal, IF(_xlpm.prep_month &gt; 0, _xlpm.waiter_sal,0)))</f>
        <v>24552000</v>
      </c>
      <c r="AV15" s="98" t="n">
        <f aca="false">_xlfn.LET(
_xlpm.prep_month, INDEX('⚙️ Other Assumptions'!$B$18:$AK$18,MATCH(AV$10,'⚙️ Other Assumptions'!$B$14:$AK$14,0)), 
_xlpm.days_per_month, INDEX('💰 Revenue'!$C$8:$BJ$8,MATCH(AV11,'💰 Revenue'!$C$5:$BJ5,0)),
_xlpm.number_of_worker, AV13,
_xlpm.hourly_rate,$D$4,
_xlpm.6hrs_pershift, 6 ,
_xlpm.waiter_sal, _xlpm.days_per_month * _xlpm.number_of_worker * _xlpm.hourly_rate * _xlpm.6hrs_pershift, 
IF(AV$10&gt; 10, _xlpm.waiter_sal, IF(_xlpm.prep_month &gt; 0, _xlpm.waiter_sal,0)))</f>
        <v>24552000</v>
      </c>
      <c r="AW15" s="98" t="n">
        <f aca="false">_xlfn.LET(
_xlpm.prep_month, INDEX('⚙️ Other Assumptions'!$B$18:$AK$18,MATCH(AW$10,'⚙️ Other Assumptions'!$B$14:$AK$14,0)), 
_xlpm.days_per_month, INDEX('💰 Revenue'!$C$8:$BJ$8,MATCH(AW11,'💰 Revenue'!$C$5:$BJ5,0)),
_xlpm.number_of_worker, AW13,
_xlpm.hourly_rate,$D$4,
_xlpm.6hrs_pershift, 6 ,
_xlpm.waiter_sal, _xlpm.days_per_month * _xlpm.number_of_worker * _xlpm.hourly_rate * _xlpm.6hrs_pershift, 
IF(AW$10&gt; 10, _xlpm.waiter_sal, IF(_xlpm.prep_month &gt; 0, _xlpm.waiter_sal,0)))</f>
        <v>23760000</v>
      </c>
      <c r="AX15" s="98" t="n">
        <f aca="false">_xlfn.LET(
_xlpm.prep_month, INDEX('⚙️ Other Assumptions'!$B$18:$AK$18,MATCH(AX$10,'⚙️ Other Assumptions'!$B$14:$AK$14,0)), 
_xlpm.days_per_month, INDEX('💰 Revenue'!$C$8:$BJ$8,MATCH(AX11,'💰 Revenue'!$C$5:$BJ5,0)),
_xlpm.number_of_worker, AX13,
_xlpm.hourly_rate,$D$4,
_xlpm.6hrs_pershift, 6 ,
_xlpm.waiter_sal, _xlpm.days_per_month * _xlpm.number_of_worker * _xlpm.hourly_rate * _xlpm.6hrs_pershift, 
IF(AX$10&gt; 10, _xlpm.waiter_sal, IF(_xlpm.prep_month &gt; 0, _xlpm.waiter_sal,0)))</f>
        <v>24552000</v>
      </c>
      <c r="AY15" s="98" t="n">
        <f aca="false">_xlfn.LET(
_xlpm.prep_month, INDEX('⚙️ Other Assumptions'!$B$18:$AK$18,MATCH(AY$10,'⚙️ Other Assumptions'!$B$14:$AK$14,0)), 
_xlpm.days_per_month, INDEX('💰 Revenue'!$C$8:$BJ$8,MATCH(AY11,'💰 Revenue'!$C$5:$BJ5,0)),
_xlpm.number_of_worker, AY13,
_xlpm.hourly_rate,$D$4,
_xlpm.6hrs_pershift, 6 ,
_xlpm.waiter_sal, _xlpm.days_per_month * _xlpm.number_of_worker * _xlpm.hourly_rate * _xlpm.6hrs_pershift, 
IF(AY$10&gt; 10, _xlpm.waiter_sal, IF(_xlpm.prep_month &gt; 0, _xlpm.waiter_sal,0)))</f>
        <v>23760000</v>
      </c>
      <c r="AZ15" s="98" t="n">
        <f aca="false">_xlfn.LET(
_xlpm.prep_month, INDEX('⚙️ Other Assumptions'!$B$18:$AK$18,MATCH(AZ$10,'⚙️ Other Assumptions'!$B$14:$AK$14,0)), 
_xlpm.days_per_month, INDEX('💰 Revenue'!$C$8:$BJ$8,MATCH(AZ11,'💰 Revenue'!$C$5:$BJ5,0)),
_xlpm.number_of_worker, AZ13,
_xlpm.hourly_rate,$D$4,
_xlpm.6hrs_pershift, 6 ,
_xlpm.waiter_sal, _xlpm.days_per_month * _xlpm.number_of_worker * _xlpm.hourly_rate * _xlpm.6hrs_pershift, 
IF(AZ$10&gt; 10, _xlpm.waiter_sal, IF(_xlpm.prep_month &gt; 0, _xlpm.waiter_sal,0)))</f>
        <v>24552000</v>
      </c>
      <c r="BA15" s="98" t="n">
        <f aca="false">_xlfn.LET(
_xlpm.prep_month, INDEX('⚙️ Other Assumptions'!$B$18:$AK$18,MATCH(BA$10,'⚙️ Other Assumptions'!$B$14:$AK$14,0)), 
_xlpm.days_per_month, INDEX('💰 Revenue'!$C$8:$BJ$8,MATCH(BA11,'💰 Revenue'!$C$5:$BJ5,0)),
_xlpm.number_of_worker, BA13,
_xlpm.hourly_rate,$D$4,
_xlpm.6hrs_pershift, 6 ,
_xlpm.waiter_sal, _xlpm.days_per_month * _xlpm.number_of_worker * _xlpm.hourly_rate * _xlpm.6hrs_pershift, 
IF(BA$10&gt; 10, _xlpm.waiter_sal, IF(_xlpm.prep_month &gt; 0, _xlpm.waiter_sal,0)))</f>
        <v>24552000</v>
      </c>
      <c r="BB15" s="98" t="n">
        <f aca="false">_xlfn.LET(
_xlpm.prep_month, INDEX('⚙️ Other Assumptions'!$B$18:$AK$18,MATCH(BB$10,'⚙️ Other Assumptions'!$B$14:$AK$14,0)), 
_xlpm.days_per_month, INDEX('💰 Revenue'!$C$8:$BJ$8,MATCH(BB11,'💰 Revenue'!$C$5:$BJ5,0)),
_xlpm.number_of_worker, BB13,
_xlpm.hourly_rate,$D$4,
_xlpm.6hrs_pershift, 6 ,
_xlpm.waiter_sal, _xlpm.days_per_month * _xlpm.number_of_worker * _xlpm.hourly_rate * _xlpm.6hrs_pershift, 
IF(BB$10&gt; 10, _xlpm.waiter_sal, IF(_xlpm.prep_month &gt; 0, _xlpm.waiter_sal,0)))</f>
        <v>22968000</v>
      </c>
      <c r="BC15" s="98" t="n">
        <f aca="false">_xlfn.LET(
_xlpm.prep_month, INDEX('⚙️ Other Assumptions'!$B$18:$AK$18,MATCH(BC$10,'⚙️ Other Assumptions'!$B$14:$AK$14,0)), 
_xlpm.days_per_month, INDEX('💰 Revenue'!$C$8:$BJ$8,MATCH(BC11,'💰 Revenue'!$C$5:$BJ5,0)),
_xlpm.number_of_worker, BC13,
_xlpm.hourly_rate,$D$4,
_xlpm.6hrs_pershift, 6 ,
_xlpm.waiter_sal, _xlpm.days_per_month * _xlpm.number_of_worker * _xlpm.hourly_rate * _xlpm.6hrs_pershift, 
IF(BC$10&gt; 10, _xlpm.waiter_sal, IF(_xlpm.prep_month &gt; 0, _xlpm.waiter_sal,0)))</f>
        <v>24552000</v>
      </c>
      <c r="BD15" s="98" t="n">
        <f aca="false">_xlfn.LET(
_xlpm.prep_month, INDEX('⚙️ Other Assumptions'!$B$18:$AK$18,MATCH(BD$10,'⚙️ Other Assumptions'!$B$14:$AK$14,0)), 
_xlpm.days_per_month, INDEX('💰 Revenue'!$C$8:$BJ$8,MATCH(BD11,'💰 Revenue'!$C$5:$BJ5,0)),
_xlpm.number_of_worker, BD13,
_xlpm.hourly_rate,$D$4,
_xlpm.6hrs_pershift, 6 ,
_xlpm.waiter_sal, _xlpm.days_per_month * _xlpm.number_of_worker * _xlpm.hourly_rate * _xlpm.6hrs_pershift, 
IF(BD$10&gt; 10, _xlpm.waiter_sal, IF(_xlpm.prep_month &gt; 0, _xlpm.waiter_sal,0)))</f>
        <v>23760000</v>
      </c>
      <c r="BE15" s="98" t="n">
        <f aca="false">_xlfn.LET(
_xlpm.prep_month, INDEX('⚙️ Other Assumptions'!$B$18:$AK$18,MATCH(BE$10,'⚙️ Other Assumptions'!$B$14:$AK$14,0)), 
_xlpm.days_per_month, INDEX('💰 Revenue'!$C$8:$BJ$8,MATCH(BE11,'💰 Revenue'!$C$5:$BJ5,0)),
_xlpm.number_of_worker, BE13,
_xlpm.hourly_rate,$D$4,
_xlpm.6hrs_pershift, 6 ,
_xlpm.waiter_sal, _xlpm.days_per_month * _xlpm.number_of_worker * _xlpm.hourly_rate * _xlpm.6hrs_pershift, 
IF(BE$10&gt; 10, _xlpm.waiter_sal, IF(_xlpm.prep_month &gt; 0, _xlpm.waiter_sal,0)))</f>
        <v>24552000</v>
      </c>
      <c r="BF15" s="98" t="n">
        <f aca="false">_xlfn.LET(
_xlpm.prep_month, INDEX('⚙️ Other Assumptions'!$B$18:$AK$18,MATCH(BF$10,'⚙️ Other Assumptions'!$B$14:$AK$14,0)), 
_xlpm.days_per_month, INDEX('💰 Revenue'!$C$8:$BJ$8,MATCH(BF11,'💰 Revenue'!$C$5:$BJ5,0)),
_xlpm.number_of_worker, BF13,
_xlpm.hourly_rate,$D$4,
_xlpm.6hrs_pershift, 6 ,
_xlpm.waiter_sal, _xlpm.days_per_month * _xlpm.number_of_worker * _xlpm.hourly_rate * _xlpm.6hrs_pershift, 
IF(BF$10&gt; 10, _xlpm.waiter_sal, IF(_xlpm.prep_month &gt; 0, _xlpm.waiter_sal,0)))</f>
        <v>23760000</v>
      </c>
      <c r="BG15" s="98" t="n">
        <f aca="false">_xlfn.LET(
_xlpm.prep_month, INDEX('⚙️ Other Assumptions'!$B$18:$AK$18,MATCH(BG$10,'⚙️ Other Assumptions'!$B$14:$AK$14,0)), 
_xlpm.days_per_month, INDEX('💰 Revenue'!$C$8:$BJ$8,MATCH(BG11,'💰 Revenue'!$C$5:$BJ5,0)),
_xlpm.number_of_worker, BG13,
_xlpm.hourly_rate,$D$4,
_xlpm.6hrs_pershift, 6 ,
_xlpm.waiter_sal, _xlpm.days_per_month * _xlpm.number_of_worker * _xlpm.hourly_rate * _xlpm.6hrs_pershift, 
IF(BG$10&gt; 10, _xlpm.waiter_sal, IF(_xlpm.prep_month &gt; 0, _xlpm.waiter_sal,0)))</f>
        <v>24552000</v>
      </c>
      <c r="BH15" s="98" t="n">
        <f aca="false">_xlfn.LET(
_xlpm.prep_month, INDEX('⚙️ Other Assumptions'!$B$18:$AK$18,MATCH(BH$10,'⚙️ Other Assumptions'!$B$14:$AK$14,0)), 
_xlpm.days_per_month, INDEX('💰 Revenue'!$C$8:$BJ$8,MATCH(BH11,'💰 Revenue'!$C$5:$BJ5,0)),
_xlpm.number_of_worker, BH13,
_xlpm.hourly_rate,$D$4,
_xlpm.6hrs_pershift, 6 ,
_xlpm.waiter_sal, _xlpm.days_per_month * _xlpm.number_of_worker * _xlpm.hourly_rate * _xlpm.6hrs_pershift, 
IF(BH$10&gt; 10, _xlpm.waiter_sal, IF(_xlpm.prep_month &gt; 0, _xlpm.waiter_sal,0)))</f>
        <v>24552000</v>
      </c>
      <c r="BI15" s="98" t="n">
        <f aca="false">_xlfn.LET(
_xlpm.prep_month, INDEX('⚙️ Other Assumptions'!$B$18:$AK$18,MATCH(BI$10,'⚙️ Other Assumptions'!$B$14:$AK$14,0)), 
_xlpm.days_per_month, INDEX('💰 Revenue'!$C$8:$BJ$8,MATCH(BI11,'💰 Revenue'!$C$5:$BJ5,0)),
_xlpm.number_of_worker, BI13,
_xlpm.hourly_rate,$D$4,
_xlpm.6hrs_pershift, 6 ,
_xlpm.waiter_sal, _xlpm.days_per_month * _xlpm.number_of_worker * _xlpm.hourly_rate * _xlpm.6hrs_pershift, 
IF(BI$10&gt; 10, _xlpm.waiter_sal, IF(_xlpm.prep_month &gt; 0, _xlpm.waiter_sal,0)))</f>
        <v>23760000</v>
      </c>
    </row>
    <row r="16" customFormat="false" ht="13.8" hidden="false" customHeight="false" outlineLevel="0" collapsed="false">
      <c r="A16" s="97" t="s">
        <v>302</v>
      </c>
      <c r="B16" s="98" t="n">
        <f aca="false">_xlfn.LET( 
_xlpm.prep_month, INDEX('⚙️ Other Assumptions'!$B$18:$AK$18,MATCH(B$10,'⚙️ Other Assumptions'!$B$14:$AK$14,0)), 
_xlpm.security_sal, $C$5*$B$5,
 IF(B$10 &gt; 10, _xlpm.security_sal, IF(_xlpm.prep_month &gt; 0, _xlpm.security_sal,0)))</f>
        <v>0</v>
      </c>
      <c r="C16" s="98" t="n">
        <f aca="false">_xlfn.LET( 
_xlpm.prep_month, INDEX('⚙️ Other Assumptions'!$B$18:$AK$18,MATCH(C$10,'⚙️ Other Assumptions'!$B$14:$AK$14,0)), 
_xlpm.security_sal, $C$5*$B$5,
 IF(C$10 &gt; 10, _xlpm.security_sal, IF(_xlpm.prep_month &gt; 0, _xlpm.security_sal,0)))</f>
        <v>0</v>
      </c>
      <c r="D16" s="98" t="n">
        <f aca="false">_xlfn.LET( 
_xlpm.prep_month, INDEX('⚙️ Other Assumptions'!$B$18:$AK$18,MATCH(D$10,'⚙️ Other Assumptions'!$B$14:$AK$14,0)), 
_xlpm.security_sal, $C$5*$B$5,
 IF(D$10 &gt; 10, _xlpm.security_sal, IF(_xlpm.prep_month &gt; 0, _xlpm.security_sal,0)))</f>
        <v>0</v>
      </c>
      <c r="E16" s="98" t="n">
        <f aca="false">_xlfn.LET( 
_xlpm.prep_month, INDEX('⚙️ Other Assumptions'!$B$18:$AK$18,MATCH(E$10,'⚙️ Other Assumptions'!$B$14:$AK$14,0)), 
_xlpm.security_sal, $C$5*$B$5,
 IF(E$10 &gt; 10, _xlpm.security_sal, IF(_xlpm.prep_month &gt; 0, _xlpm.security_sal,0)))</f>
        <v>0</v>
      </c>
      <c r="F16" s="98" t="n">
        <f aca="false">_xlfn.LET( 
_xlpm.prep_month, INDEX('⚙️ Other Assumptions'!$B$18:$AK$18,MATCH(F$10,'⚙️ Other Assumptions'!$B$14:$AK$14,0)), 
_xlpm.security_sal, $C$5*$B$5,
 IF(F$10 &gt; 10, _xlpm.security_sal, IF(_xlpm.prep_month &gt; 0, _xlpm.security_sal,0)))</f>
        <v>0</v>
      </c>
      <c r="G16" s="98" t="n">
        <f aca="false">_xlfn.LET( 
_xlpm.prep_month, INDEX('⚙️ Other Assumptions'!$B$18:$AK$18,MATCH(G$10,'⚙️ Other Assumptions'!$B$14:$AK$14,0)), 
_xlpm.security_sal, $C$5*$B$5,
 IF(G$10 &gt; 10, _xlpm.security_sal, IF(_xlpm.prep_month &gt; 0, _xlpm.security_sal,0)))</f>
        <v>0</v>
      </c>
      <c r="H16" s="98" t="n">
        <f aca="false">_xlfn.LET( 
_xlpm.prep_month, INDEX('⚙️ Other Assumptions'!$B$18:$AK$18,MATCH(H$10,'⚙️ Other Assumptions'!$B$14:$AK$14,0)), 
_xlpm.security_sal, $C$5*$B$5,
 IF(H$10 &gt; 10, _xlpm.security_sal, IF(_xlpm.prep_month &gt; 0, _xlpm.security_sal,0)))</f>
        <v>0</v>
      </c>
      <c r="I16" s="98" t="n">
        <f aca="false">_xlfn.LET( 
_xlpm.prep_month, INDEX('⚙️ Other Assumptions'!$B$18:$AK$18,MATCH(I$10,'⚙️ Other Assumptions'!$B$14:$AK$14,0)), 
_xlpm.security_sal, $C$5*$B$5,
 IF(I$10 &gt; 10, _xlpm.security_sal, IF(_xlpm.prep_month &gt; 0, _xlpm.security_sal,0)))</f>
        <v>0</v>
      </c>
      <c r="J16" s="98" t="n">
        <f aca="false">_xlfn.LET( 
_xlpm.prep_month, INDEX('⚙️ Other Assumptions'!$B$18:$AK$18,MATCH(J$10,'⚙️ Other Assumptions'!$B$14:$AK$14,0)), 
_xlpm.security_sal, $C$5*$B$5,
 IF(J$10 &gt; 10, _xlpm.security_sal, IF(_xlpm.prep_month &gt; 0, _xlpm.security_sal,0)))</f>
        <v>0</v>
      </c>
      <c r="K16" s="98" t="n">
        <f aca="false">_xlfn.LET( 
_xlpm.prep_month, INDEX('⚙️ Other Assumptions'!$B$18:$AK$18,MATCH(K$10,'⚙️ Other Assumptions'!$B$14:$AK$14,0)), 
_xlpm.security_sal, $C$5*$B$5,
 IF(K$10 &gt; 10, _xlpm.security_sal, IF(_xlpm.prep_month &gt; 0, _xlpm.security_sal,0)))</f>
        <v>0</v>
      </c>
      <c r="L16" s="98" t="n">
        <f aca="false">_xlfn.LET( 
_xlpm.prep_month, INDEX('⚙️ Other Assumptions'!$B$18:$AK$18,MATCH(L$10,'⚙️ Other Assumptions'!$B$14:$AK$14,0)), 
_xlpm.security_sal, $C$5*$B$5,
 IF(L$10 &gt; 10, _xlpm.security_sal, IF(_xlpm.prep_month &gt; 0, _xlpm.security_sal,0)))</f>
        <v>0</v>
      </c>
      <c r="M16" s="98" t="n">
        <f aca="false">_xlfn.LET( 
_xlpm.prep_month, INDEX('⚙️ Other Assumptions'!$B$18:$AK$18,MATCH(M$10,'⚙️ Other Assumptions'!$B$14:$AK$14,0)), 
_xlpm.security_sal, $C$5*$B$5,
 IF(M$10 &gt; 10, _xlpm.security_sal, IF(_xlpm.prep_month &gt; 0, _xlpm.security_sal,0)))</f>
        <v>0</v>
      </c>
      <c r="N16" s="98" t="n">
        <f aca="false">_xlfn.LET( 
_xlpm.prep_month, INDEX('⚙️ Other Assumptions'!$B$18:$AK$18,MATCH(N$10,'⚙️ Other Assumptions'!$B$14:$AK$14,0)), 
_xlpm.security_sal, $C$5*$B$5,
 IF(N$10 &gt; 10, _xlpm.security_sal, IF(_xlpm.prep_month &gt; 0, _xlpm.security_sal,0)))</f>
        <v>0</v>
      </c>
      <c r="O16" s="98" t="n">
        <f aca="false">_xlfn.LET( 
_xlpm.prep_month, INDEX('⚙️ Other Assumptions'!$B$18:$AK$18,MATCH(O$10,'⚙️ Other Assumptions'!$B$14:$AK$14,0)), 
_xlpm.security_sal, $C$5*$B$5,
 IF(O$10 &gt; 10, _xlpm.security_sal, IF(_xlpm.prep_month &gt; 0, _xlpm.security_sal,0)))</f>
        <v>0</v>
      </c>
      <c r="P16" s="98" t="n">
        <f aca="false">_xlfn.LET( 
_xlpm.prep_month, INDEX('⚙️ Other Assumptions'!$B$18:$AK$18,MATCH(P$10,'⚙️ Other Assumptions'!$B$14:$AK$14,0)), 
_xlpm.security_sal, $C$5*$B$5,
 IF(P$10 &gt; 10, _xlpm.security_sal, IF(_xlpm.prep_month &gt; 0, _xlpm.security_sal,0)))</f>
        <v>0</v>
      </c>
      <c r="Q16" s="98" t="n">
        <f aca="false">_xlfn.LET( 
_xlpm.prep_month, INDEX('⚙️ Other Assumptions'!$B$18:$AK$18,MATCH(Q$10,'⚙️ Other Assumptions'!$B$14:$AK$14,0)), 
_xlpm.security_sal, $C$5*$B$5,
 IF(Q$10 &gt; 10, _xlpm.security_sal, IF(_xlpm.prep_month &gt; 0, _xlpm.security_sal,0)))</f>
        <v>0</v>
      </c>
      <c r="R16" s="98" t="n">
        <f aca="false">_xlfn.LET( 
_xlpm.prep_month, INDEX('⚙️ Other Assumptions'!$B$18:$AK$18,MATCH(R$10,'⚙️ Other Assumptions'!$B$14:$AK$14,0)), 
_xlpm.security_sal, $C$5*$B$5,
 IF(R$10 &gt; 10, _xlpm.security_sal, IF(_xlpm.prep_month &gt; 0, _xlpm.security_sal,0)))</f>
        <v>0</v>
      </c>
      <c r="S16" s="98" t="n">
        <f aca="false">_xlfn.LET( 
_xlpm.prep_month, INDEX('⚙️ Other Assumptions'!$B$18:$AK$18,MATCH(S$10,'⚙️ Other Assumptions'!$B$14:$AK$14,0)), 
_xlpm.security_sal, $C$5*$B$5,
 IF(S$10 &gt; 10, _xlpm.security_sal, IF(_xlpm.prep_month &gt; 0, _xlpm.security_sal,0)))</f>
        <v>0</v>
      </c>
      <c r="T16" s="98" t="n">
        <f aca="false">_xlfn.LET( 
_xlpm.prep_month, INDEX('⚙️ Other Assumptions'!$B$18:$AK$18,MATCH(T$10,'⚙️ Other Assumptions'!$B$14:$AK$14,0)), 
_xlpm.security_sal, $C$5*$B$5,
 IF(T$10 &gt; 10, _xlpm.security_sal, IF(_xlpm.prep_month &gt; 0, _xlpm.security_sal,0)))</f>
        <v>0</v>
      </c>
      <c r="U16" s="98" t="n">
        <f aca="false">_xlfn.LET( 
_xlpm.prep_month, INDEX('⚙️ Other Assumptions'!$B$18:$AK$18,MATCH(U$10,'⚙️ Other Assumptions'!$B$14:$AK$14,0)), 
_xlpm.security_sal, $C$5*$B$5,
 IF(U$10 &gt; 10, _xlpm.security_sal, IF(_xlpm.prep_month &gt; 0, _xlpm.security_sal,0)))</f>
        <v>0</v>
      </c>
      <c r="V16" s="98" t="n">
        <f aca="false">_xlfn.LET( 
_xlpm.prep_month, INDEX('⚙️ Other Assumptions'!$B$18:$AK$18,MATCH(V$10,'⚙️ Other Assumptions'!$B$14:$AK$14,0)), 
_xlpm.security_sal, $C$5*$B$5,
 IF(V$10 &gt; 10, _xlpm.security_sal, IF(_xlpm.prep_month &gt; 0, _xlpm.security_sal,0)))</f>
        <v>0</v>
      </c>
      <c r="W16" s="98" t="n">
        <f aca="false">_xlfn.LET( 
_xlpm.prep_month, INDEX('⚙️ Other Assumptions'!$B$18:$AK$18,MATCH(W$10,'⚙️ Other Assumptions'!$B$14:$AK$14,0)), 
_xlpm.security_sal, $C$5*$B$5,
 IF(W$10 &gt; 10, _xlpm.security_sal, IF(_xlpm.prep_month &gt; 0, _xlpm.security_sal,0)))</f>
        <v>0</v>
      </c>
      <c r="X16" s="98" t="n">
        <f aca="false">_xlfn.LET( 
_xlpm.prep_month, INDEX('⚙️ Other Assumptions'!$B$18:$AK$18,MATCH(X$10,'⚙️ Other Assumptions'!$B$14:$AK$14,0)), 
_xlpm.security_sal, $C$5*$B$5,
 IF(X$10 &gt; 10, _xlpm.security_sal, IF(_xlpm.prep_month &gt; 0, _xlpm.security_sal,0)))</f>
        <v>0</v>
      </c>
      <c r="Y16" s="98" t="n">
        <f aca="false">_xlfn.LET( 
_xlpm.prep_month, INDEX('⚙️ Other Assumptions'!$B$18:$AK$18,MATCH(Y$10,'⚙️ Other Assumptions'!$B$14:$AK$14,0)), 
_xlpm.security_sal, $C$5*$B$5,
 IF(Y$10 &gt; 10, _xlpm.security_sal, IF(_xlpm.prep_month &gt; 0, _xlpm.security_sal,0)))</f>
        <v>0</v>
      </c>
      <c r="Z16" s="98" t="n">
        <f aca="false">_xlfn.LET( 
_xlpm.prep_month, INDEX('⚙️ Other Assumptions'!$B$18:$AK$18,MATCH(Z$10,'⚙️ Other Assumptions'!$B$14:$AK$14,0)), 
_xlpm.security_sal, $C$5*$B$5,
 IF(Z$10 &gt; 10, _xlpm.security_sal, IF(_xlpm.prep_month &gt; 0, _xlpm.security_sal,0)))</f>
        <v>0</v>
      </c>
      <c r="AA16" s="98" t="n">
        <f aca="false">_xlfn.LET( 
_xlpm.prep_month, INDEX('⚙️ Other Assumptions'!$B$18:$AK$18,MATCH(AA$10,'⚙️ Other Assumptions'!$B$14:$AK$14,0)), 
_xlpm.security_sal, $C$5*$B$5,
 IF(AA$10 &gt; 10, _xlpm.security_sal, IF(_xlpm.prep_month &gt; 0, _xlpm.security_sal,0)))</f>
        <v>0</v>
      </c>
      <c r="AB16" s="98" t="n">
        <f aca="false">_xlfn.LET( 
_xlpm.prep_month, INDEX('⚙️ Other Assumptions'!$B$18:$AK$18,MATCH(AB$10,'⚙️ Other Assumptions'!$B$14:$AK$14,0)), 
_xlpm.security_sal, $C$5*$B$5,
 IF(AB$10 &gt; 10, _xlpm.security_sal, IF(_xlpm.prep_month &gt; 0, _xlpm.security_sal,0)))</f>
        <v>0</v>
      </c>
      <c r="AC16" s="98" t="n">
        <f aca="false">_xlfn.LET( 
_xlpm.prep_month, INDEX('⚙️ Other Assumptions'!$B$18:$AK$18,MATCH(AC$10,'⚙️ Other Assumptions'!$B$14:$AK$14,0)), 
_xlpm.security_sal, $C$5*$B$5,
 IF(AC$10 &gt; 10, _xlpm.security_sal, IF(_xlpm.prep_month &gt; 0, _xlpm.security_sal,0)))</f>
        <v>0</v>
      </c>
      <c r="AD16" s="98" t="n">
        <f aca="false">_xlfn.LET( 
_xlpm.prep_month, INDEX('⚙️ Other Assumptions'!$B$18:$AK$18,MATCH(AD$10,'⚙️ Other Assumptions'!$B$14:$AK$14,0)), 
_xlpm.security_sal, $C$5*$B$5,
 IF(AD$10 &gt; 10, _xlpm.security_sal, IF(_xlpm.prep_month &gt; 0, _xlpm.security_sal,0)))</f>
        <v>0</v>
      </c>
      <c r="AE16" s="98" t="n">
        <f aca="false">_xlfn.LET( 
_xlpm.prep_month, INDEX('⚙️ Other Assumptions'!$B$18:$AK$18,MATCH(AE$10,'⚙️ Other Assumptions'!$B$14:$AK$14,0)), 
_xlpm.security_sal, $C$5*$B$5,
 IF(AE$10 &gt; 10, _xlpm.security_sal, IF(_xlpm.prep_month &gt; 0, _xlpm.security_sal,0)))</f>
        <v>0</v>
      </c>
      <c r="AF16" s="98" t="n">
        <f aca="false">_xlfn.LET( 
_xlpm.prep_month, INDEX('⚙️ Other Assumptions'!$B$18:$AK$18,MATCH(AF$10,'⚙️ Other Assumptions'!$B$14:$AK$14,0)), 
_xlpm.security_sal, $C$5*$B$5,
 IF(AF$10 &gt; 10, _xlpm.security_sal, IF(_xlpm.prep_month &gt; 0, _xlpm.security_sal,0)))</f>
        <v>0</v>
      </c>
      <c r="AG16" s="98" t="n">
        <f aca="false">_xlfn.LET( 
_xlpm.prep_month, INDEX('⚙️ Other Assumptions'!$B$18:$AK$18,MATCH(AG$10,'⚙️ Other Assumptions'!$B$14:$AK$14,0)), 
_xlpm.security_sal, $C$5*$B$5,
 IF(AG$10 &gt; 10, _xlpm.security_sal, IF(_xlpm.prep_month &gt; 0, _xlpm.security_sal,0)))</f>
        <v>0</v>
      </c>
      <c r="AH16" s="98" t="n">
        <f aca="false">_xlfn.LET( 
_xlpm.prep_month, INDEX('⚙️ Other Assumptions'!$B$18:$AK$18,MATCH(AH$10,'⚙️ Other Assumptions'!$B$14:$AK$14,0)), 
_xlpm.security_sal, $C$5*$B$5,
 IF(AH$10 &gt; 10, _xlpm.security_sal, IF(_xlpm.prep_month &gt; 0, _xlpm.security_sal,0)))</f>
        <v>0</v>
      </c>
      <c r="AI16" s="98" t="n">
        <f aca="false">_xlfn.LET( 
_xlpm.prep_month, INDEX('⚙️ Other Assumptions'!$B$18:$AK$18,MATCH(AI$10,'⚙️ Other Assumptions'!$B$14:$AK$14,0)), 
_xlpm.security_sal, $C$5*$B$5,
 IF(AI$10 &gt; 10, _xlpm.security_sal, IF(_xlpm.prep_month &gt; 0, _xlpm.security_sal,0)))</f>
        <v>0</v>
      </c>
      <c r="AJ16" s="98" t="n">
        <f aca="false">_xlfn.LET( 
_xlpm.prep_month, INDEX('⚙️ Other Assumptions'!$B$18:$AK$18,MATCH(AJ$10,'⚙️ Other Assumptions'!$B$14:$AK$14,0)), 
_xlpm.security_sal, $C$5*$B$5,
 IF(AJ$10 &gt; 10, _xlpm.security_sal, IF(_xlpm.prep_month &gt; 0, _xlpm.security_sal,0)))</f>
        <v>0</v>
      </c>
      <c r="AK16" s="98" t="n">
        <f aca="false">_xlfn.LET( 
_xlpm.prep_month, INDEX('⚙️ Other Assumptions'!$B$18:$AK$18,MATCH(AK$10,'⚙️ Other Assumptions'!$B$14:$AK$14,0)), 
_xlpm.security_sal, $C$5*$B$5,
 IF(AK$10 &gt; 10, _xlpm.security_sal, IF(_xlpm.prep_month &gt; 0, _xlpm.security_sal,0)))</f>
        <v>0</v>
      </c>
      <c r="AL16" s="98" t="n">
        <f aca="false">_xlfn.LET( 
_xlpm.prep_month, INDEX('⚙️ Other Assumptions'!$B$18:$AK$18,MATCH(AL$10,'⚙️ Other Assumptions'!$B$14:$AK$14,0)), 
_xlpm.security_sal, $C$5*$B$5,
 IF(AL$10 &gt; 10, _xlpm.security_sal, IF(_xlpm.prep_month &gt; 0, _xlpm.security_sal,0)))</f>
        <v>0</v>
      </c>
      <c r="AM16" s="98" t="n">
        <f aca="false">_xlfn.LET( 
_xlpm.prep_month, INDEX('⚙️ Other Assumptions'!$B$18:$AK$18,MATCH(AM$10,'⚙️ Other Assumptions'!$B$14:$AK$14,0)), 
_xlpm.security_sal, $C$5*$B$5,
 IF(AM$10 &gt; 10, _xlpm.security_sal, IF(_xlpm.prep_month &gt; 0, _xlpm.security_sal,0)))</f>
        <v>0</v>
      </c>
      <c r="AN16" s="98" t="n">
        <f aca="false">_xlfn.LET( 
_xlpm.prep_month, INDEX('⚙️ Other Assumptions'!$B$18:$AK$18,MATCH(AN$10,'⚙️ Other Assumptions'!$B$14:$AK$14,0)), 
_xlpm.security_sal, $C$5*$B$5,
 IF(AN$10 &gt; 10, _xlpm.security_sal, IF(_xlpm.prep_month &gt; 0, _xlpm.security_sal,0)))</f>
        <v>0</v>
      </c>
      <c r="AO16" s="98" t="n">
        <f aca="false">_xlfn.LET( 
_xlpm.prep_month, INDEX('⚙️ Other Assumptions'!$B$18:$AK$18,MATCH(AO$10,'⚙️ Other Assumptions'!$B$14:$AK$14,0)), 
_xlpm.security_sal, $C$5*$B$5,
 IF(AO$10 &gt; 10, _xlpm.security_sal, IF(_xlpm.prep_month &gt; 0, _xlpm.security_sal,0)))</f>
        <v>0</v>
      </c>
      <c r="AP16" s="98" t="n">
        <f aca="false">_xlfn.LET( 
_xlpm.prep_month, INDEX('⚙️ Other Assumptions'!$B$18:$AK$18,MATCH(AP$10,'⚙️ Other Assumptions'!$B$14:$AK$14,0)), 
_xlpm.security_sal, $C$5*$B$5,
 IF(AP$10 &gt; 10, _xlpm.security_sal, IF(_xlpm.prep_month &gt; 0, _xlpm.security_sal,0)))</f>
        <v>0</v>
      </c>
      <c r="AQ16" s="98" t="n">
        <f aca="false">_xlfn.LET( 
_xlpm.prep_month, INDEX('⚙️ Other Assumptions'!$B$18:$AK$18,MATCH(AQ$10,'⚙️ Other Assumptions'!$B$14:$AK$14,0)), 
_xlpm.security_sal, $C$5*$B$5,
 IF(AQ$10 &gt; 10, _xlpm.security_sal, IF(_xlpm.prep_month &gt; 0, _xlpm.security_sal,0)))</f>
        <v>0</v>
      </c>
      <c r="AR16" s="98" t="n">
        <f aca="false">_xlfn.LET( 
_xlpm.prep_month, INDEX('⚙️ Other Assumptions'!$B$18:$AK$18,MATCH(AR$10,'⚙️ Other Assumptions'!$B$14:$AK$14,0)), 
_xlpm.security_sal, $C$5*$B$5,
 IF(AR$10 &gt; 10, _xlpm.security_sal, IF(_xlpm.prep_month &gt; 0, _xlpm.security_sal,0)))</f>
        <v>0</v>
      </c>
      <c r="AS16" s="98" t="n">
        <f aca="false">_xlfn.LET( 
_xlpm.prep_month, INDEX('⚙️ Other Assumptions'!$B$18:$AK$18,MATCH(AS$10,'⚙️ Other Assumptions'!$B$14:$AK$14,0)), 
_xlpm.security_sal, $C$5*$B$5,
 IF(AS$10 &gt; 10, _xlpm.security_sal, IF(_xlpm.prep_month &gt; 0, _xlpm.security_sal,0)))</f>
        <v>0</v>
      </c>
      <c r="AT16" s="98" t="n">
        <f aca="false">_xlfn.LET( 
_xlpm.prep_month, INDEX('⚙️ Other Assumptions'!$B$18:$AK$18,MATCH(AT$10,'⚙️ Other Assumptions'!$B$14:$AK$14,0)), 
_xlpm.security_sal, $C$5*$B$5,
 IF(AT$10 &gt; 10, _xlpm.security_sal, IF(_xlpm.prep_month &gt; 0, _xlpm.security_sal,0)))</f>
        <v>0</v>
      </c>
      <c r="AU16" s="98" t="n">
        <f aca="false">_xlfn.LET( 
_xlpm.prep_month, INDEX('⚙️ Other Assumptions'!$B$18:$AK$18,MATCH(AU$10,'⚙️ Other Assumptions'!$B$14:$AK$14,0)), 
_xlpm.security_sal, $C$5*$B$5,
 IF(AU$10 &gt; 10, _xlpm.security_sal, IF(_xlpm.prep_month &gt; 0, _xlpm.security_sal,0)))</f>
        <v>0</v>
      </c>
      <c r="AV16" s="98" t="n">
        <f aca="false">_xlfn.LET( 
_xlpm.prep_month, INDEX('⚙️ Other Assumptions'!$B$18:$AK$18,MATCH(AV$10,'⚙️ Other Assumptions'!$B$14:$AK$14,0)), 
_xlpm.security_sal, $C$5*$B$5,
 IF(AV$10 &gt; 10, _xlpm.security_sal, IF(_xlpm.prep_month &gt; 0, _xlpm.security_sal,0)))</f>
        <v>0</v>
      </c>
      <c r="AW16" s="98" t="n">
        <f aca="false">_xlfn.LET( 
_xlpm.prep_month, INDEX('⚙️ Other Assumptions'!$B$18:$AK$18,MATCH(AW$10,'⚙️ Other Assumptions'!$B$14:$AK$14,0)), 
_xlpm.security_sal, $C$5*$B$5,
 IF(AW$10 &gt; 10, _xlpm.security_sal, IF(_xlpm.prep_month &gt; 0, _xlpm.security_sal,0)))</f>
        <v>0</v>
      </c>
      <c r="AX16" s="98" t="n">
        <f aca="false">_xlfn.LET( 
_xlpm.prep_month, INDEX('⚙️ Other Assumptions'!$B$18:$AK$18,MATCH(AX$10,'⚙️ Other Assumptions'!$B$14:$AK$14,0)), 
_xlpm.security_sal, $C$5*$B$5,
 IF(AX$10 &gt; 10, _xlpm.security_sal, IF(_xlpm.prep_month &gt; 0, _xlpm.security_sal,0)))</f>
        <v>0</v>
      </c>
      <c r="AY16" s="98" t="n">
        <f aca="false">_xlfn.LET( 
_xlpm.prep_month, INDEX('⚙️ Other Assumptions'!$B$18:$AK$18,MATCH(AY$10,'⚙️ Other Assumptions'!$B$14:$AK$14,0)), 
_xlpm.security_sal, $C$5*$B$5,
 IF(AY$10 &gt; 10, _xlpm.security_sal, IF(_xlpm.prep_month &gt; 0, _xlpm.security_sal,0)))</f>
        <v>0</v>
      </c>
      <c r="AZ16" s="98" t="n">
        <f aca="false">_xlfn.LET( 
_xlpm.prep_month, INDEX('⚙️ Other Assumptions'!$B$18:$AK$18,MATCH(AZ$10,'⚙️ Other Assumptions'!$B$14:$AK$14,0)), 
_xlpm.security_sal, $C$5*$B$5,
 IF(AZ$10 &gt; 10, _xlpm.security_sal, IF(_xlpm.prep_month &gt; 0, _xlpm.security_sal,0)))</f>
        <v>0</v>
      </c>
      <c r="BA16" s="98" t="n">
        <f aca="false">_xlfn.LET( 
_xlpm.prep_month, INDEX('⚙️ Other Assumptions'!$B$18:$AK$18,MATCH(BA$10,'⚙️ Other Assumptions'!$B$14:$AK$14,0)), 
_xlpm.security_sal, $C$5*$B$5,
 IF(BA$10 &gt; 10, _xlpm.security_sal, IF(_xlpm.prep_month &gt; 0, _xlpm.security_sal,0)))</f>
        <v>0</v>
      </c>
      <c r="BB16" s="98" t="n">
        <f aca="false">_xlfn.LET( 
_xlpm.prep_month, INDEX('⚙️ Other Assumptions'!$B$18:$AK$18,MATCH(BB$10,'⚙️ Other Assumptions'!$B$14:$AK$14,0)), 
_xlpm.security_sal, $C$5*$B$5,
 IF(BB$10 &gt; 10, _xlpm.security_sal, IF(_xlpm.prep_month &gt; 0, _xlpm.security_sal,0)))</f>
        <v>0</v>
      </c>
      <c r="BC16" s="98" t="n">
        <f aca="false">_xlfn.LET( 
_xlpm.prep_month, INDEX('⚙️ Other Assumptions'!$B$18:$AK$18,MATCH(BC$10,'⚙️ Other Assumptions'!$B$14:$AK$14,0)), 
_xlpm.security_sal, $C$5*$B$5,
 IF(BC$10 &gt; 10, _xlpm.security_sal, IF(_xlpm.prep_month &gt; 0, _xlpm.security_sal,0)))</f>
        <v>0</v>
      </c>
      <c r="BD16" s="98" t="n">
        <f aca="false">_xlfn.LET( 
_xlpm.prep_month, INDEX('⚙️ Other Assumptions'!$B$18:$AK$18,MATCH(BD$10,'⚙️ Other Assumptions'!$B$14:$AK$14,0)), 
_xlpm.security_sal, $C$5*$B$5,
 IF(BD$10 &gt; 10, _xlpm.security_sal, IF(_xlpm.prep_month &gt; 0, _xlpm.security_sal,0)))</f>
        <v>0</v>
      </c>
      <c r="BE16" s="98" t="n">
        <f aca="false">_xlfn.LET( 
_xlpm.prep_month, INDEX('⚙️ Other Assumptions'!$B$18:$AK$18,MATCH(BE$10,'⚙️ Other Assumptions'!$B$14:$AK$14,0)), 
_xlpm.security_sal, $C$5*$B$5,
 IF(BE$10 &gt; 10, _xlpm.security_sal, IF(_xlpm.prep_month &gt; 0, _xlpm.security_sal,0)))</f>
        <v>0</v>
      </c>
      <c r="BF16" s="98" t="n">
        <f aca="false">_xlfn.LET( 
_xlpm.prep_month, INDEX('⚙️ Other Assumptions'!$B$18:$AK$18,MATCH(BF$10,'⚙️ Other Assumptions'!$B$14:$AK$14,0)), 
_xlpm.security_sal, $C$5*$B$5,
 IF(BF$10 &gt; 10, _xlpm.security_sal, IF(_xlpm.prep_month &gt; 0, _xlpm.security_sal,0)))</f>
        <v>0</v>
      </c>
      <c r="BG16" s="98" t="n">
        <f aca="false">_xlfn.LET( 
_xlpm.prep_month, INDEX('⚙️ Other Assumptions'!$B$18:$AK$18,MATCH(BG$10,'⚙️ Other Assumptions'!$B$14:$AK$14,0)), 
_xlpm.security_sal, $C$5*$B$5,
 IF(BG$10 &gt; 10, _xlpm.security_sal, IF(_xlpm.prep_month &gt; 0, _xlpm.security_sal,0)))</f>
        <v>0</v>
      </c>
      <c r="BH16" s="98" t="n">
        <f aca="false">_xlfn.LET( 
_xlpm.prep_month, INDEX('⚙️ Other Assumptions'!$B$18:$AK$18,MATCH(BH$10,'⚙️ Other Assumptions'!$B$14:$AK$14,0)), 
_xlpm.security_sal, $C$5*$B$5,
 IF(BH$10 &gt; 10, _xlpm.security_sal, IF(_xlpm.prep_month &gt; 0, _xlpm.security_sal,0)))</f>
        <v>0</v>
      </c>
      <c r="BI16" s="98" t="n">
        <f aca="false">_xlfn.LET( 
_xlpm.prep_month, INDEX('⚙️ Other Assumptions'!$B$18:$AK$18,MATCH(BI$10,'⚙️ Other Assumptions'!$B$14:$AK$14,0)), 
_xlpm.security_sal, $C$5*$B$5,
 IF(BI$10 &gt; 10, _xlpm.security_sal, IF(_xlpm.prep_month &gt; 0, _xlpm.security_sal,0)))</f>
        <v>0</v>
      </c>
    </row>
    <row r="17" customFormat="false" ht="13.8" hidden="false" customHeight="false" outlineLevel="0" collapsed="false">
      <c r="A17" s="97" t="s">
        <v>303</v>
      </c>
      <c r="B17" s="98" t="n">
        <f aca="false">_xlfn.LET(
_xlpm.prep_month, INDEX('⚙️ Other Assumptions'!$B$18:$AK$18,MATCH(B$10,'⚙️ Other Assumptions'!$B$14:$AK$14,0)),
IF(B10 &gt; 10, $C$6, IF(_xlpm.prep_month &gt;0, $C$6,0)))</f>
        <v>0</v>
      </c>
      <c r="C17" s="98" t="n">
        <f aca="false">_xlfn.LET(
_xlpm.prep_month, INDEX('⚙️ Other Assumptions'!$B$18:$AK$18,MATCH(C$10,'⚙️ Other Assumptions'!$B$14:$AK$14,0)),
IF(C10 &gt; 10, $C$6, IF(_xlpm.prep_month &gt;0, $C$6,0)))</f>
        <v>0</v>
      </c>
      <c r="D17" s="98" t="n">
        <f aca="false">_xlfn.LET(
_xlpm.prep_month, INDEX('⚙️ Other Assumptions'!$B$18:$AK$18,MATCH(D$10,'⚙️ Other Assumptions'!$B$14:$AK$14,0)),
IF(D10 &gt; 10, $C$6, IF(_xlpm.prep_month &gt;0, $C$6,0)))</f>
        <v>4000000</v>
      </c>
      <c r="E17" s="98" t="n">
        <f aca="false">_xlfn.LET(
_xlpm.prep_month, INDEX('⚙️ Other Assumptions'!$B$18:$AK$18,MATCH(E$10,'⚙️ Other Assumptions'!$B$14:$AK$14,0)),
IF(E10 &gt; 10, $C$6, IF(_xlpm.prep_month &gt;0, $C$6,0)))</f>
        <v>4000000</v>
      </c>
      <c r="F17" s="98" t="n">
        <f aca="false">_xlfn.LET(
_xlpm.prep_month, INDEX('⚙️ Other Assumptions'!$B$18:$AK$18,MATCH(F$10,'⚙️ Other Assumptions'!$B$14:$AK$14,0)),
IF(F10 &gt; 10, $C$6, IF(_xlpm.prep_month &gt;0, $C$6,0)))</f>
        <v>4000000</v>
      </c>
      <c r="G17" s="98" t="n">
        <f aca="false">_xlfn.LET(
_xlpm.prep_month, INDEX('⚙️ Other Assumptions'!$B$18:$AK$18,MATCH(G$10,'⚙️ Other Assumptions'!$B$14:$AK$14,0)),
IF(G10 &gt; 10, $C$6, IF(_xlpm.prep_month &gt;0, $C$6,0)))</f>
        <v>4000000</v>
      </c>
      <c r="H17" s="98" t="n">
        <f aca="false">_xlfn.LET(
_xlpm.prep_month, INDEX('⚙️ Other Assumptions'!$B$18:$AK$18,MATCH(H$10,'⚙️ Other Assumptions'!$B$14:$AK$14,0)),
IF(H10 &gt; 10, $C$6, IF(_xlpm.prep_month &gt;0, $C$6,0)))</f>
        <v>4000000</v>
      </c>
      <c r="I17" s="98" t="n">
        <f aca="false">_xlfn.LET(
_xlpm.prep_month, INDEX('⚙️ Other Assumptions'!$B$18:$AK$18,MATCH(I$10,'⚙️ Other Assumptions'!$B$14:$AK$14,0)),
IF(I10 &gt; 10, $C$6, IF(_xlpm.prep_month &gt;0, $C$6,0)))</f>
        <v>4000000</v>
      </c>
      <c r="J17" s="98" t="n">
        <f aca="false">_xlfn.LET(
_xlpm.prep_month, INDEX('⚙️ Other Assumptions'!$B$18:$AK$18,MATCH(J$10,'⚙️ Other Assumptions'!$B$14:$AK$14,0)),
IF(J10 &gt; 10, $C$6, IF(_xlpm.prep_month &gt;0, $C$6,0)))</f>
        <v>4000000</v>
      </c>
      <c r="K17" s="98" t="n">
        <f aca="false">_xlfn.LET(
_xlpm.prep_month, INDEX('⚙️ Other Assumptions'!$B$18:$AK$18,MATCH(K$10,'⚙️ Other Assumptions'!$B$14:$AK$14,0)),
IF(K10 &gt; 10, $C$6, IF(_xlpm.prep_month &gt;0, $C$6,0)))</f>
        <v>4000000</v>
      </c>
      <c r="L17" s="98" t="n">
        <f aca="false">_xlfn.LET(
_xlpm.prep_month, INDEX('⚙️ Other Assumptions'!$B$18:$AK$18,MATCH(L$10,'⚙️ Other Assumptions'!$B$14:$AK$14,0)),
IF(L10 &gt; 10, $C$6, IF(_xlpm.prep_month &gt;0, $C$6,0)))</f>
        <v>4000000</v>
      </c>
      <c r="M17" s="98" t="n">
        <f aca="false">_xlfn.LET(
_xlpm.prep_month, INDEX('⚙️ Other Assumptions'!$B$18:$AK$18,MATCH(M$10,'⚙️ Other Assumptions'!$B$14:$AK$14,0)),
IF(M10 &gt; 10, $C$6, IF(_xlpm.prep_month &gt;0, $C$6,0)))</f>
        <v>4000000</v>
      </c>
      <c r="N17" s="98" t="n">
        <f aca="false">_xlfn.LET(
_xlpm.prep_month, INDEX('⚙️ Other Assumptions'!$B$18:$AK$18,MATCH(N$10,'⚙️ Other Assumptions'!$B$14:$AK$14,0)),
IF(N10 &gt; 10, $C$6, IF(_xlpm.prep_month &gt;0, $C$6,0)))</f>
        <v>4000000</v>
      </c>
      <c r="O17" s="98" t="n">
        <f aca="false">_xlfn.LET(
_xlpm.prep_month, INDEX('⚙️ Other Assumptions'!$B$18:$AK$18,MATCH(O$10,'⚙️ Other Assumptions'!$B$14:$AK$14,0)),
IF(O10 &gt; 10, $C$6, IF(_xlpm.prep_month &gt;0, $C$6,0)))</f>
        <v>4000000</v>
      </c>
      <c r="P17" s="98" t="n">
        <f aca="false">_xlfn.LET(
_xlpm.prep_month, INDEX('⚙️ Other Assumptions'!$B$18:$AK$18,MATCH(P$10,'⚙️ Other Assumptions'!$B$14:$AK$14,0)),
IF(P10 &gt; 10, $C$6, IF(_xlpm.prep_month &gt;0, $C$6,0)))</f>
        <v>4000000</v>
      </c>
      <c r="Q17" s="98" t="n">
        <f aca="false">_xlfn.LET(
_xlpm.prep_month, INDEX('⚙️ Other Assumptions'!$B$18:$AK$18,MATCH(Q$10,'⚙️ Other Assumptions'!$B$14:$AK$14,0)),
IF(Q10 &gt; 10, $C$6, IF(_xlpm.prep_month &gt;0, $C$6,0)))</f>
        <v>4000000</v>
      </c>
      <c r="R17" s="98" t="n">
        <f aca="false">_xlfn.LET(
_xlpm.prep_month, INDEX('⚙️ Other Assumptions'!$B$18:$AK$18,MATCH(R$10,'⚙️ Other Assumptions'!$B$14:$AK$14,0)),
IF(R10 &gt; 10, $C$6, IF(_xlpm.prep_month &gt;0, $C$6,0)))</f>
        <v>4000000</v>
      </c>
      <c r="S17" s="98" t="n">
        <f aca="false">_xlfn.LET(
_xlpm.prep_month, INDEX('⚙️ Other Assumptions'!$B$18:$AK$18,MATCH(S$10,'⚙️ Other Assumptions'!$B$14:$AK$14,0)),
IF(S10 &gt; 10, $C$6, IF(_xlpm.prep_month &gt;0, $C$6,0)))</f>
        <v>4000000</v>
      </c>
      <c r="T17" s="98" t="n">
        <f aca="false">_xlfn.LET(
_xlpm.prep_month, INDEX('⚙️ Other Assumptions'!$B$18:$AK$18,MATCH(T$10,'⚙️ Other Assumptions'!$B$14:$AK$14,0)),
IF(T10 &gt; 10, $C$6, IF(_xlpm.prep_month &gt;0, $C$6,0)))</f>
        <v>4000000</v>
      </c>
      <c r="U17" s="98" t="n">
        <f aca="false">_xlfn.LET(
_xlpm.prep_month, INDEX('⚙️ Other Assumptions'!$B$18:$AK$18,MATCH(U$10,'⚙️ Other Assumptions'!$B$14:$AK$14,0)),
IF(U10 &gt; 10, $C$6, IF(_xlpm.prep_month &gt;0, $C$6,0)))</f>
        <v>4000000</v>
      </c>
      <c r="V17" s="98" t="n">
        <f aca="false">_xlfn.LET(
_xlpm.prep_month, INDEX('⚙️ Other Assumptions'!$B$18:$AK$18,MATCH(V$10,'⚙️ Other Assumptions'!$B$14:$AK$14,0)),
IF(V10 &gt; 10, $C$6, IF(_xlpm.prep_month &gt;0, $C$6,0)))</f>
        <v>4000000</v>
      </c>
      <c r="W17" s="98" t="n">
        <f aca="false">_xlfn.LET(
_xlpm.prep_month, INDEX('⚙️ Other Assumptions'!$B$18:$AK$18,MATCH(W$10,'⚙️ Other Assumptions'!$B$14:$AK$14,0)),
IF(W10 &gt; 10, $C$6, IF(_xlpm.prep_month &gt;0, $C$6,0)))</f>
        <v>4000000</v>
      </c>
      <c r="X17" s="98" t="n">
        <f aca="false">_xlfn.LET(
_xlpm.prep_month, INDEX('⚙️ Other Assumptions'!$B$18:$AK$18,MATCH(X$10,'⚙️ Other Assumptions'!$B$14:$AK$14,0)),
IF(X10 &gt; 10, $C$6, IF(_xlpm.prep_month &gt;0, $C$6,0)))</f>
        <v>4000000</v>
      </c>
      <c r="Y17" s="98" t="n">
        <f aca="false">_xlfn.LET(
_xlpm.prep_month, INDEX('⚙️ Other Assumptions'!$B$18:$AK$18,MATCH(Y$10,'⚙️ Other Assumptions'!$B$14:$AK$14,0)),
IF(Y10 &gt; 10, $C$6, IF(_xlpm.prep_month &gt;0, $C$6,0)))</f>
        <v>4000000</v>
      </c>
      <c r="Z17" s="98" t="n">
        <f aca="false">_xlfn.LET(
_xlpm.prep_month, INDEX('⚙️ Other Assumptions'!$B$18:$AK$18,MATCH(Z$10,'⚙️ Other Assumptions'!$B$14:$AK$14,0)),
IF(Z10 &gt; 10, $C$6, IF(_xlpm.prep_month &gt;0, $C$6,0)))</f>
        <v>4000000</v>
      </c>
      <c r="AA17" s="98" t="n">
        <f aca="false">_xlfn.LET(
_xlpm.prep_month, INDEX('⚙️ Other Assumptions'!$B$18:$AK$18,MATCH(AA$10,'⚙️ Other Assumptions'!$B$14:$AK$14,0)),
IF(AA10 &gt; 10, $C$6, IF(_xlpm.prep_month &gt;0, $C$6,0)))</f>
        <v>4000000</v>
      </c>
      <c r="AB17" s="98" t="n">
        <f aca="false">_xlfn.LET(
_xlpm.prep_month, INDEX('⚙️ Other Assumptions'!$B$18:$AK$18,MATCH(AB$10,'⚙️ Other Assumptions'!$B$14:$AK$14,0)),
IF(AB10 &gt; 10, $C$6, IF(_xlpm.prep_month &gt;0, $C$6,0)))</f>
        <v>4000000</v>
      </c>
      <c r="AC17" s="98" t="n">
        <f aca="false">_xlfn.LET(
_xlpm.prep_month, INDEX('⚙️ Other Assumptions'!$B$18:$AK$18,MATCH(AC$10,'⚙️ Other Assumptions'!$B$14:$AK$14,0)),
IF(AC10 &gt; 10, $C$6, IF(_xlpm.prep_month &gt;0, $C$6,0)))</f>
        <v>4000000</v>
      </c>
      <c r="AD17" s="98" t="n">
        <f aca="false">_xlfn.LET(
_xlpm.prep_month, INDEX('⚙️ Other Assumptions'!$B$18:$AK$18,MATCH(AD$10,'⚙️ Other Assumptions'!$B$14:$AK$14,0)),
IF(AD10 &gt; 10, $C$6, IF(_xlpm.prep_month &gt;0, $C$6,0)))</f>
        <v>4000000</v>
      </c>
      <c r="AE17" s="98" t="n">
        <f aca="false">_xlfn.LET(
_xlpm.prep_month, INDEX('⚙️ Other Assumptions'!$B$18:$AK$18,MATCH(AE$10,'⚙️ Other Assumptions'!$B$14:$AK$14,0)),
IF(AE10 &gt; 10, $C$6, IF(_xlpm.prep_month &gt;0, $C$6,0)))</f>
        <v>4000000</v>
      </c>
      <c r="AF17" s="98" t="n">
        <f aca="false">_xlfn.LET(
_xlpm.prep_month, INDEX('⚙️ Other Assumptions'!$B$18:$AK$18,MATCH(AF$10,'⚙️ Other Assumptions'!$B$14:$AK$14,0)),
IF(AF10 &gt; 10, $C$6, IF(_xlpm.prep_month &gt;0, $C$6,0)))</f>
        <v>4000000</v>
      </c>
      <c r="AG17" s="98" t="n">
        <f aca="false">_xlfn.LET(
_xlpm.prep_month, INDEX('⚙️ Other Assumptions'!$B$18:$AK$18,MATCH(AG$10,'⚙️ Other Assumptions'!$B$14:$AK$14,0)),
IF(AG10 &gt; 10, $C$6, IF(_xlpm.prep_month &gt;0, $C$6,0)))</f>
        <v>4000000</v>
      </c>
      <c r="AH17" s="98" t="n">
        <f aca="false">_xlfn.LET(
_xlpm.prep_month, INDEX('⚙️ Other Assumptions'!$B$18:$AK$18,MATCH(AH$10,'⚙️ Other Assumptions'!$B$14:$AK$14,0)),
IF(AH10 &gt; 10, $C$6, IF(_xlpm.prep_month &gt;0, $C$6,0)))</f>
        <v>4000000</v>
      </c>
      <c r="AI17" s="98" t="n">
        <f aca="false">_xlfn.LET(
_xlpm.prep_month, INDEX('⚙️ Other Assumptions'!$B$18:$AK$18,MATCH(AI$10,'⚙️ Other Assumptions'!$B$14:$AK$14,0)),
IF(AI10 &gt; 10, $C$6, IF(_xlpm.prep_month &gt;0, $C$6,0)))</f>
        <v>4000000</v>
      </c>
      <c r="AJ17" s="98" t="n">
        <f aca="false">_xlfn.LET(
_xlpm.prep_month, INDEX('⚙️ Other Assumptions'!$B$18:$AK$18,MATCH(AJ$10,'⚙️ Other Assumptions'!$B$14:$AK$14,0)),
IF(AJ10 &gt; 10, $C$6, IF(_xlpm.prep_month &gt;0, $C$6,0)))</f>
        <v>4000000</v>
      </c>
      <c r="AK17" s="98" t="n">
        <f aca="false">_xlfn.LET(
_xlpm.prep_month, INDEX('⚙️ Other Assumptions'!$B$18:$AK$18,MATCH(AK$10,'⚙️ Other Assumptions'!$B$14:$AK$14,0)),
IF(AK10 &gt; 10, $C$6, IF(_xlpm.prep_month &gt;0, $C$6,0)))</f>
        <v>4000000</v>
      </c>
      <c r="AL17" s="98" t="n">
        <f aca="false">_xlfn.LET(
_xlpm.prep_month, INDEX('⚙️ Other Assumptions'!$B$18:$AK$18,MATCH(AL$10,'⚙️ Other Assumptions'!$B$14:$AK$14,0)),
IF(AL10 &gt; 10, $C$6, IF(_xlpm.prep_month &gt;0, $C$6,0)))</f>
        <v>4000000</v>
      </c>
      <c r="AM17" s="98" t="n">
        <f aca="false">_xlfn.LET(
_xlpm.prep_month, INDEX('⚙️ Other Assumptions'!$B$18:$AK$18,MATCH(AM$10,'⚙️ Other Assumptions'!$B$14:$AK$14,0)),
IF(AM10 &gt; 10, $C$6, IF(_xlpm.prep_month &gt;0, $C$6,0)))</f>
        <v>4000000</v>
      </c>
      <c r="AN17" s="98" t="n">
        <f aca="false">_xlfn.LET(
_xlpm.prep_month, INDEX('⚙️ Other Assumptions'!$B$18:$AK$18,MATCH(AN$10,'⚙️ Other Assumptions'!$B$14:$AK$14,0)),
IF(AN10 &gt; 10, $C$6, IF(_xlpm.prep_month &gt;0, $C$6,0)))</f>
        <v>4000000</v>
      </c>
      <c r="AO17" s="98" t="n">
        <f aca="false">_xlfn.LET(
_xlpm.prep_month, INDEX('⚙️ Other Assumptions'!$B$18:$AK$18,MATCH(AO$10,'⚙️ Other Assumptions'!$B$14:$AK$14,0)),
IF(AO10 &gt; 10, $C$6, IF(_xlpm.prep_month &gt;0, $C$6,0)))</f>
        <v>4000000</v>
      </c>
      <c r="AP17" s="98" t="n">
        <f aca="false">_xlfn.LET(
_xlpm.prep_month, INDEX('⚙️ Other Assumptions'!$B$18:$AK$18,MATCH(AP$10,'⚙️ Other Assumptions'!$B$14:$AK$14,0)),
IF(AP10 &gt; 10, $C$6, IF(_xlpm.prep_month &gt;0, $C$6,0)))</f>
        <v>4000000</v>
      </c>
      <c r="AQ17" s="98" t="n">
        <f aca="false">_xlfn.LET(
_xlpm.prep_month, INDEX('⚙️ Other Assumptions'!$B$18:$AK$18,MATCH(AQ$10,'⚙️ Other Assumptions'!$B$14:$AK$14,0)),
IF(AQ10 &gt; 10, $C$6, IF(_xlpm.prep_month &gt;0, $C$6,0)))</f>
        <v>4000000</v>
      </c>
      <c r="AR17" s="98" t="n">
        <f aca="false">_xlfn.LET(
_xlpm.prep_month, INDEX('⚙️ Other Assumptions'!$B$18:$AK$18,MATCH(AR$10,'⚙️ Other Assumptions'!$B$14:$AK$14,0)),
IF(AR10 &gt; 10, $C$6, IF(_xlpm.prep_month &gt;0, $C$6,0)))</f>
        <v>4000000</v>
      </c>
      <c r="AS17" s="98" t="n">
        <f aca="false">_xlfn.LET(
_xlpm.prep_month, INDEX('⚙️ Other Assumptions'!$B$18:$AK$18,MATCH(AS$10,'⚙️ Other Assumptions'!$B$14:$AK$14,0)),
IF(AS10 &gt; 10, $C$6, IF(_xlpm.prep_month &gt;0, $C$6,0)))</f>
        <v>4000000</v>
      </c>
      <c r="AT17" s="98" t="n">
        <f aca="false">_xlfn.LET(
_xlpm.prep_month, INDEX('⚙️ Other Assumptions'!$B$18:$AK$18,MATCH(AT$10,'⚙️ Other Assumptions'!$B$14:$AK$14,0)),
IF(AT10 &gt; 10, $C$6, IF(_xlpm.prep_month &gt;0, $C$6,0)))</f>
        <v>4000000</v>
      </c>
      <c r="AU17" s="98" t="n">
        <f aca="false">_xlfn.LET(
_xlpm.prep_month, INDEX('⚙️ Other Assumptions'!$B$18:$AK$18,MATCH(AU$10,'⚙️ Other Assumptions'!$B$14:$AK$14,0)),
IF(AU10 &gt; 10, $C$6, IF(_xlpm.prep_month &gt;0, $C$6,0)))</f>
        <v>4000000</v>
      </c>
      <c r="AV17" s="98" t="n">
        <f aca="false">_xlfn.LET(
_xlpm.prep_month, INDEX('⚙️ Other Assumptions'!$B$18:$AK$18,MATCH(AV$10,'⚙️ Other Assumptions'!$B$14:$AK$14,0)),
IF(AV10 &gt; 10, $C$6, IF(_xlpm.prep_month &gt;0, $C$6,0)))</f>
        <v>4000000</v>
      </c>
      <c r="AW17" s="98" t="n">
        <f aca="false">_xlfn.LET(
_xlpm.prep_month, INDEX('⚙️ Other Assumptions'!$B$18:$AK$18,MATCH(AW$10,'⚙️ Other Assumptions'!$B$14:$AK$14,0)),
IF(AW10 &gt; 10, $C$6, IF(_xlpm.prep_month &gt;0, $C$6,0)))</f>
        <v>4000000</v>
      </c>
      <c r="AX17" s="98" t="n">
        <f aca="false">_xlfn.LET(
_xlpm.prep_month, INDEX('⚙️ Other Assumptions'!$B$18:$AK$18,MATCH(AX$10,'⚙️ Other Assumptions'!$B$14:$AK$14,0)),
IF(AX10 &gt; 10, $C$6, IF(_xlpm.prep_month &gt;0, $C$6,0)))</f>
        <v>4000000</v>
      </c>
      <c r="AY17" s="98" t="n">
        <f aca="false">_xlfn.LET(
_xlpm.prep_month, INDEX('⚙️ Other Assumptions'!$B$18:$AK$18,MATCH(AY$10,'⚙️ Other Assumptions'!$B$14:$AK$14,0)),
IF(AY10 &gt; 10, $C$6, IF(_xlpm.prep_month &gt;0, $C$6,0)))</f>
        <v>4000000</v>
      </c>
      <c r="AZ17" s="98" t="n">
        <f aca="false">_xlfn.LET(
_xlpm.prep_month, INDEX('⚙️ Other Assumptions'!$B$18:$AK$18,MATCH(AZ$10,'⚙️ Other Assumptions'!$B$14:$AK$14,0)),
IF(AZ10 &gt; 10, $C$6, IF(_xlpm.prep_month &gt;0, $C$6,0)))</f>
        <v>4000000</v>
      </c>
      <c r="BA17" s="98" t="n">
        <f aca="false">_xlfn.LET(
_xlpm.prep_month, INDEX('⚙️ Other Assumptions'!$B$18:$AK$18,MATCH(BA$10,'⚙️ Other Assumptions'!$B$14:$AK$14,0)),
IF(BA10 &gt; 10, $C$6, IF(_xlpm.prep_month &gt;0, $C$6,0)))</f>
        <v>4000000</v>
      </c>
      <c r="BB17" s="98" t="n">
        <f aca="false">_xlfn.LET(
_xlpm.prep_month, INDEX('⚙️ Other Assumptions'!$B$18:$AK$18,MATCH(BB$10,'⚙️ Other Assumptions'!$B$14:$AK$14,0)),
IF(BB10 &gt; 10, $C$6, IF(_xlpm.prep_month &gt;0, $C$6,0)))</f>
        <v>4000000</v>
      </c>
      <c r="BC17" s="98" t="n">
        <f aca="false">_xlfn.LET(
_xlpm.prep_month, INDEX('⚙️ Other Assumptions'!$B$18:$AK$18,MATCH(BC$10,'⚙️ Other Assumptions'!$B$14:$AK$14,0)),
IF(BC10 &gt; 10, $C$6, IF(_xlpm.prep_month &gt;0, $C$6,0)))</f>
        <v>4000000</v>
      </c>
      <c r="BD17" s="98" t="n">
        <f aca="false">_xlfn.LET(
_xlpm.prep_month, INDEX('⚙️ Other Assumptions'!$B$18:$AK$18,MATCH(BD$10,'⚙️ Other Assumptions'!$B$14:$AK$14,0)),
IF(BD10 &gt; 10, $C$6, IF(_xlpm.prep_month &gt;0, $C$6,0)))</f>
        <v>4000000</v>
      </c>
      <c r="BE17" s="98" t="n">
        <f aca="false">_xlfn.LET(
_xlpm.prep_month, INDEX('⚙️ Other Assumptions'!$B$18:$AK$18,MATCH(BE$10,'⚙️ Other Assumptions'!$B$14:$AK$14,0)),
IF(BE10 &gt; 10, $C$6, IF(_xlpm.prep_month &gt;0, $C$6,0)))</f>
        <v>4000000</v>
      </c>
      <c r="BF17" s="98" t="n">
        <f aca="false">_xlfn.LET(
_xlpm.prep_month, INDEX('⚙️ Other Assumptions'!$B$18:$AK$18,MATCH(BF$10,'⚙️ Other Assumptions'!$B$14:$AK$14,0)),
IF(BF10 &gt; 10, $C$6, IF(_xlpm.prep_month &gt;0, $C$6,0)))</f>
        <v>4000000</v>
      </c>
      <c r="BG17" s="98" t="n">
        <f aca="false">_xlfn.LET(
_xlpm.prep_month, INDEX('⚙️ Other Assumptions'!$B$18:$AK$18,MATCH(BG$10,'⚙️ Other Assumptions'!$B$14:$AK$14,0)),
IF(BG10 &gt; 10, $C$6, IF(_xlpm.prep_month &gt;0, $C$6,0)))</f>
        <v>4000000</v>
      </c>
      <c r="BH17" s="98" t="n">
        <f aca="false">_xlfn.LET(
_xlpm.prep_month, INDEX('⚙️ Other Assumptions'!$B$18:$AK$18,MATCH(BH$10,'⚙️ Other Assumptions'!$B$14:$AK$14,0)),
IF(BH10 &gt; 10, $C$6, IF(_xlpm.prep_month &gt;0, $C$6,0)))</f>
        <v>4000000</v>
      </c>
      <c r="BI17" s="98" t="n">
        <f aca="false">_xlfn.LET(
_xlpm.prep_month, INDEX('⚙️ Other Assumptions'!$B$18:$AK$18,MATCH(BI$10,'⚙️ Other Assumptions'!$B$14:$AK$14,0)),
IF(BI10 &gt; 10, $C$6, IF(_xlpm.prep_month &gt;0, $C$6,0)))</f>
        <v>4000000</v>
      </c>
    </row>
    <row r="18" customFormat="false" ht="13.8" hidden="false" customHeight="false" outlineLevel="0" collapsed="false">
      <c r="A18" s="99" t="s">
        <v>304</v>
      </c>
      <c r="B18" s="98" t="n">
        <f aca="false">SUM(B15:B17,B12)</f>
        <v>0</v>
      </c>
      <c r="C18" s="98" t="n">
        <f aca="false">SUM(C15:C17,C12)</f>
        <v>0</v>
      </c>
      <c r="D18" s="98" t="n">
        <f aca="false">SUM(D15:D17,D12)</f>
        <v>28276000</v>
      </c>
      <c r="E18" s="98" t="n">
        <f aca="false">SUM(E15:E17,E12)</f>
        <v>28276000</v>
      </c>
      <c r="F18" s="98" t="n">
        <f aca="false">SUM(F15:F17,F12)</f>
        <v>27484000</v>
      </c>
      <c r="G18" s="98" t="n">
        <f aca="false">SUM(G15:G17,G12)</f>
        <v>28276000</v>
      </c>
      <c r="H18" s="98" t="n">
        <f aca="false">SUM(H15:H17,H12)</f>
        <v>33820000</v>
      </c>
      <c r="I18" s="98" t="n">
        <f aca="false">SUM(I15:I17,I12)</f>
        <v>34414000</v>
      </c>
      <c r="J18" s="98" t="n">
        <f aca="false">SUM(J15:J17,J12)</f>
        <v>33820000</v>
      </c>
      <c r="K18" s="98" t="n">
        <f aca="false">SUM(K15:K17,K12)</f>
        <v>34414000</v>
      </c>
      <c r="L18" s="98" t="n">
        <f aca="false">SUM(L15:L17,L12)</f>
        <v>34414000</v>
      </c>
      <c r="M18" s="98" t="n">
        <f aca="false">SUM(M15:M17,M12)</f>
        <v>33820000</v>
      </c>
      <c r="N18" s="98" t="n">
        <f aca="false">SUM(N15:N17,N12)</f>
        <v>34414000</v>
      </c>
      <c r="O18" s="98" t="n">
        <f aca="false">SUM(O15:O17,O12)</f>
        <v>33820000</v>
      </c>
      <c r="P18" s="98" t="n">
        <f aca="false">SUM(P15:P17,P12)</f>
        <v>34414000</v>
      </c>
      <c r="Q18" s="98" t="n">
        <f aca="false">SUM(Q15:Q17,Q12)</f>
        <v>34414000</v>
      </c>
      <c r="R18" s="98" t="n">
        <f aca="false">SUM(R15:R17,R12)</f>
        <v>38176000</v>
      </c>
      <c r="S18" s="98" t="n">
        <f aca="false">SUM(S15:S17,S12)</f>
        <v>40552000</v>
      </c>
      <c r="T18" s="98" t="n">
        <f aca="false">SUM(T15:T17,T12)</f>
        <v>39760000</v>
      </c>
      <c r="U18" s="98" t="n">
        <f aca="false">SUM(U15:U17,U12)</f>
        <v>40552000</v>
      </c>
      <c r="V18" s="98" t="n">
        <f aca="false">SUM(V15:V17,V12)</f>
        <v>39760000</v>
      </c>
      <c r="W18" s="98" t="n">
        <f aca="false">SUM(W15:W17,W12)</f>
        <v>40552000</v>
      </c>
      <c r="X18" s="98" t="n">
        <f aca="false">SUM(X15:X17,X12)</f>
        <v>40552000</v>
      </c>
      <c r="Y18" s="98" t="n">
        <f aca="false">SUM(Y15:Y17,Y12)</f>
        <v>39760000</v>
      </c>
      <c r="Z18" s="98" t="n">
        <f aca="false">SUM(Z15:Z17,Z12)</f>
        <v>40552000</v>
      </c>
      <c r="AA18" s="98" t="n">
        <f aca="false">SUM(AA15:AA17,AA12)</f>
        <v>39760000</v>
      </c>
      <c r="AB18" s="98" t="n">
        <f aca="false">SUM(AB15:AB17,AB12)</f>
        <v>40552000</v>
      </c>
      <c r="AC18" s="98" t="n">
        <f aca="false">SUM(AC15:AC17,AC12)</f>
        <v>40552000</v>
      </c>
      <c r="AD18" s="98" t="n">
        <f aca="false">SUM(AD15:AD17,AD12)</f>
        <v>38176000</v>
      </c>
      <c r="AE18" s="98" t="n">
        <f aca="false">SUM(AE15:AE17,AE12)</f>
        <v>40552000</v>
      </c>
      <c r="AF18" s="98" t="n">
        <f aca="false">SUM(AF15:AF17,AF12)</f>
        <v>39760000</v>
      </c>
      <c r="AG18" s="98" t="n">
        <f aca="false">SUM(AG15:AG17,AG12)</f>
        <v>40552000</v>
      </c>
      <c r="AH18" s="98" t="n">
        <f aca="false">SUM(AH15:AH17,AH12)</f>
        <v>39760000</v>
      </c>
      <c r="AI18" s="98" t="n">
        <f aca="false">SUM(AI15:AI17,AI12)</f>
        <v>40552000</v>
      </c>
      <c r="AJ18" s="98" t="n">
        <f aca="false">SUM(AJ15:AJ17,AJ12)</f>
        <v>40552000</v>
      </c>
      <c r="AK18" s="98" t="n">
        <f aca="false">SUM(AK15:AK17,AK12)</f>
        <v>39760000</v>
      </c>
      <c r="AL18" s="98" t="n">
        <f aca="false">SUM(AL15:AL17,AL12)</f>
        <v>40552000</v>
      </c>
      <c r="AM18" s="98" t="n">
        <f aca="false">SUM(AM15:AM17,AM12)</f>
        <v>39760000</v>
      </c>
      <c r="AN18" s="98" t="n">
        <f aca="false">SUM(AN15:AN17,AN12)</f>
        <v>40552000</v>
      </c>
      <c r="AO18" s="98" t="n">
        <f aca="false">SUM(AO15:AO17,AO12)</f>
        <v>40552000</v>
      </c>
      <c r="AP18" s="98" t="n">
        <f aca="false">SUM(AP15:AP17,AP12)</f>
        <v>38176000</v>
      </c>
      <c r="AQ18" s="98" t="n">
        <f aca="false">SUM(AQ15:AQ17,AQ12)</f>
        <v>40552000</v>
      </c>
      <c r="AR18" s="98" t="n">
        <f aca="false">SUM(AR15:AR17,AR12)</f>
        <v>39760000</v>
      </c>
      <c r="AS18" s="98" t="n">
        <f aca="false">SUM(AS15:AS17,AS12)</f>
        <v>40552000</v>
      </c>
      <c r="AT18" s="98" t="n">
        <f aca="false">SUM(AT15:AT17,AT12)</f>
        <v>39760000</v>
      </c>
      <c r="AU18" s="98" t="n">
        <f aca="false">SUM(AU15:AU17,AU12)</f>
        <v>40552000</v>
      </c>
      <c r="AV18" s="98" t="n">
        <f aca="false">SUM(AV15:AV17,AV12)</f>
        <v>40552000</v>
      </c>
      <c r="AW18" s="98" t="n">
        <f aca="false">SUM(AW15:AW17,AW12)</f>
        <v>39760000</v>
      </c>
      <c r="AX18" s="98" t="n">
        <f aca="false">SUM(AX15:AX17,AX12)</f>
        <v>40552000</v>
      </c>
      <c r="AY18" s="98" t="n">
        <f aca="false">SUM(AY15:AY17,AY12)</f>
        <v>39760000</v>
      </c>
      <c r="AZ18" s="98" t="n">
        <f aca="false">SUM(AZ15:AZ17,AZ12)</f>
        <v>40552000</v>
      </c>
      <c r="BA18" s="98" t="n">
        <f aca="false">SUM(BA15:BA17,BA12)</f>
        <v>40552000</v>
      </c>
      <c r="BB18" s="98" t="n">
        <f aca="false">SUM(BB15:BB17,BB12)</f>
        <v>38968000</v>
      </c>
      <c r="BC18" s="98" t="n">
        <f aca="false">SUM(BC15:BC17,BC12)</f>
        <v>40552000</v>
      </c>
      <c r="BD18" s="98" t="n">
        <f aca="false">SUM(BD15:BD17,BD12)</f>
        <v>39760000</v>
      </c>
      <c r="BE18" s="98" t="n">
        <f aca="false">SUM(BE15:BE17,BE12)</f>
        <v>40552000</v>
      </c>
      <c r="BF18" s="98" t="n">
        <f aca="false">SUM(BF15:BF17,BF12)</f>
        <v>39760000</v>
      </c>
      <c r="BG18" s="98" t="n">
        <f aca="false">SUM(BG15:BG17,BG12)</f>
        <v>40552000</v>
      </c>
      <c r="BH18" s="98" t="n">
        <f aca="false">SUM(BH15:BH17,BH12)</f>
        <v>40552000</v>
      </c>
      <c r="BI18" s="98" t="n">
        <f aca="false">SUM(BI15:BI17,BI12)</f>
        <v>39760000</v>
      </c>
    </row>
    <row r="19" customFormat="false" ht="13.8" hidden="false" customHeight="false" outlineLevel="0" collapsed="false">
      <c r="C19" s="100"/>
      <c r="D19" s="100"/>
      <c r="AI19" s="100"/>
    </row>
    <row r="21" customFormat="false" ht="13.8" hidden="false" customHeight="false" outlineLevel="0" collapsed="false">
      <c r="B21" s="101"/>
    </row>
    <row r="1048576" customFormat="false" ht="12.8" hidden="false" customHeight="false" outlineLevel="0" collapsed="false"/>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148C"/>
    <pageSetUpPr fitToPage="false"/>
  </sheetPr>
  <dimension ref="A1:BJ50"/>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pane xSplit="2" ySplit="3" topLeftCell="C13" activePane="bottomRight" state="frozen"/>
      <selection pane="topLeft" activeCell="A1" activeCellId="0" sqref="A1"/>
      <selection pane="topRight" activeCell="C1" activeCellId="0" sqref="C1"/>
      <selection pane="bottomLeft" activeCell="A13" activeCellId="0" sqref="A13"/>
      <selection pane="bottomRight" activeCell="I32" activeCellId="0" sqref="I32"/>
    </sheetView>
  </sheetViews>
  <sheetFormatPr defaultColWidth="8.71484375" defaultRowHeight="12.8" customHeight="false" zeroHeight="false" outlineLevelRow="0" outlineLevelCol="0"/>
  <cols>
    <col collapsed="false" customWidth="true" hidden="false" outlineLevel="0" max="1" min="1" style="4" width="36"/>
    <col collapsed="false" customWidth="true" hidden="false" outlineLevel="0" max="2" min="2" style="4" width="17"/>
    <col collapsed="false" customWidth="true" hidden="false" outlineLevel="0" max="7" min="3" style="4" width="12.34"/>
    <col collapsed="false" customWidth="true" hidden="false" outlineLevel="0" max="24" min="8" style="4" width="12.24"/>
    <col collapsed="false" customWidth="true" hidden="false" outlineLevel="0" max="62" min="25" style="4" width="11.79"/>
  </cols>
  <sheetData>
    <row r="1" customFormat="false" ht="30" hidden="false" customHeight="true" outlineLevel="0" collapsed="false">
      <c r="A1" s="54" t="s">
        <v>305</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row>
    <row r="2" customFormat="false" ht="15.75" hidden="true" customHeight="true" outlineLevel="0" collapsed="false">
      <c r="A2" s="74"/>
      <c r="B2" s="75" t="s">
        <v>250</v>
      </c>
      <c r="C2" s="76" t="s">
        <v>251</v>
      </c>
      <c r="D2" s="76"/>
      <c r="E2" s="76"/>
      <c r="F2" s="76"/>
      <c r="G2" s="76"/>
      <c r="H2" s="76"/>
      <c r="I2" s="76"/>
      <c r="J2" s="76"/>
      <c r="K2" s="76"/>
      <c r="L2" s="76"/>
      <c r="M2" s="76"/>
      <c r="N2" s="76"/>
      <c r="O2" s="76" t="s">
        <v>252</v>
      </c>
      <c r="P2" s="76"/>
      <c r="Q2" s="76"/>
      <c r="R2" s="76"/>
      <c r="S2" s="76"/>
      <c r="T2" s="76"/>
      <c r="U2" s="76"/>
      <c r="V2" s="76"/>
      <c r="W2" s="76"/>
      <c r="X2" s="76"/>
      <c r="Y2" s="76"/>
      <c r="Z2" s="76"/>
      <c r="AA2" s="76" t="s">
        <v>253</v>
      </c>
      <c r="AB2" s="76"/>
      <c r="AC2" s="76"/>
      <c r="AD2" s="76"/>
      <c r="AE2" s="76"/>
      <c r="AF2" s="76"/>
      <c r="AG2" s="76"/>
      <c r="AH2" s="76"/>
      <c r="AI2" s="76"/>
      <c r="AJ2" s="76"/>
      <c r="AK2" s="76"/>
      <c r="AL2" s="76"/>
      <c r="AM2" s="71"/>
    </row>
    <row r="3" customFormat="false" ht="15.75" hidden="false" customHeight="true" outlineLevel="0" collapsed="false">
      <c r="A3" s="74"/>
      <c r="B3" s="75"/>
      <c r="C3" s="76" t="s">
        <v>107</v>
      </c>
      <c r="D3" s="76" t="s">
        <v>306</v>
      </c>
      <c r="E3" s="76" t="s">
        <v>307</v>
      </c>
      <c r="F3" s="76" t="s">
        <v>308</v>
      </c>
      <c r="G3" s="76" t="s">
        <v>309</v>
      </c>
      <c r="H3" s="76" t="s">
        <v>310</v>
      </c>
      <c r="I3" s="76" t="s">
        <v>133</v>
      </c>
      <c r="J3" s="76" t="s">
        <v>311</v>
      </c>
      <c r="K3" s="76" t="s">
        <v>312</v>
      </c>
      <c r="L3" s="76" t="s">
        <v>313</v>
      </c>
      <c r="M3" s="76" t="s">
        <v>314</v>
      </c>
      <c r="N3" s="76" t="s">
        <v>315</v>
      </c>
      <c r="O3" s="76" t="s">
        <v>316</v>
      </c>
      <c r="P3" s="76" t="s">
        <v>317</v>
      </c>
      <c r="Q3" s="76" t="s">
        <v>318</v>
      </c>
      <c r="R3" s="76" t="s">
        <v>319</v>
      </c>
      <c r="S3" s="76" t="s">
        <v>320</v>
      </c>
      <c r="T3" s="76" t="s">
        <v>321</v>
      </c>
      <c r="U3" s="76" t="s">
        <v>322</v>
      </c>
      <c r="V3" s="76" t="s">
        <v>323</v>
      </c>
      <c r="W3" s="76" t="s">
        <v>324</v>
      </c>
      <c r="X3" s="76" t="s">
        <v>325</v>
      </c>
      <c r="Y3" s="76" t="s">
        <v>326</v>
      </c>
      <c r="Z3" s="76" t="s">
        <v>327</v>
      </c>
      <c r="AA3" s="76" t="s">
        <v>328</v>
      </c>
      <c r="AB3" s="76" t="s">
        <v>329</v>
      </c>
      <c r="AC3" s="76" t="s">
        <v>330</v>
      </c>
      <c r="AD3" s="76" t="s">
        <v>331</v>
      </c>
      <c r="AE3" s="76" t="s">
        <v>332</v>
      </c>
      <c r="AF3" s="76" t="s">
        <v>333</v>
      </c>
      <c r="AG3" s="76" t="s">
        <v>334</v>
      </c>
      <c r="AH3" s="76" t="s">
        <v>335</v>
      </c>
      <c r="AI3" s="76" t="s">
        <v>336</v>
      </c>
      <c r="AJ3" s="76" t="s">
        <v>337</v>
      </c>
      <c r="AK3" s="76" t="s">
        <v>338</v>
      </c>
      <c r="AL3" s="76" t="s">
        <v>339</v>
      </c>
      <c r="AM3" s="76" t="s">
        <v>340</v>
      </c>
      <c r="AN3" s="102" t="s">
        <v>341</v>
      </c>
      <c r="AO3" s="102" t="s">
        <v>342</v>
      </c>
      <c r="AP3" s="102" t="s">
        <v>343</v>
      </c>
      <c r="AQ3" s="102" t="s">
        <v>344</v>
      </c>
      <c r="AR3" s="102" t="s">
        <v>345</v>
      </c>
      <c r="AS3" s="102" t="s">
        <v>346</v>
      </c>
      <c r="AT3" s="102" t="s">
        <v>347</v>
      </c>
      <c r="AU3" s="102" t="s">
        <v>348</v>
      </c>
      <c r="AV3" s="102" t="s">
        <v>349</v>
      </c>
      <c r="AW3" s="102" t="s">
        <v>350</v>
      </c>
      <c r="AX3" s="102" t="s">
        <v>351</v>
      </c>
      <c r="AY3" s="102" t="s">
        <v>352</v>
      </c>
      <c r="AZ3" s="102" t="s">
        <v>353</v>
      </c>
      <c r="BA3" s="102" t="s">
        <v>354</v>
      </c>
      <c r="BB3" s="102" t="s">
        <v>355</v>
      </c>
      <c r="BC3" s="102" t="s">
        <v>356</v>
      </c>
      <c r="BD3" s="102" t="s">
        <v>357</v>
      </c>
      <c r="BE3" s="102" t="s">
        <v>358</v>
      </c>
      <c r="BF3" s="102" t="s">
        <v>359</v>
      </c>
      <c r="BG3" s="102" t="s">
        <v>360</v>
      </c>
      <c r="BH3" s="102" t="s">
        <v>361</v>
      </c>
      <c r="BI3" s="102" t="s">
        <v>362</v>
      </c>
      <c r="BJ3" s="102" t="s">
        <v>363</v>
      </c>
    </row>
    <row r="4" customFormat="false" ht="21.75" hidden="false" customHeight="true" outlineLevel="0" collapsed="false">
      <c r="A4" s="77" t="s">
        <v>224</v>
      </c>
      <c r="B4" s="78" t="s">
        <v>254</v>
      </c>
      <c r="C4" s="103" t="n">
        <f aca="false">'⚙️ Assumptions'!B6</f>
        <v>46661</v>
      </c>
      <c r="D4" s="103" t="n">
        <f aca="false">EDATE($C$4,'💰 Revenue'!D2)</f>
        <v>46692</v>
      </c>
      <c r="E4" s="103" t="n">
        <f aca="false">EDATE($C$4,'💰 Revenue'!E2)</f>
        <v>46722</v>
      </c>
      <c r="F4" s="103" t="n">
        <f aca="false">EDATE($C$4,'💰 Revenue'!F2)</f>
        <v>46753</v>
      </c>
      <c r="G4" s="103" t="n">
        <f aca="false">EDATE($C$4,'💰 Revenue'!G2)</f>
        <v>46784</v>
      </c>
      <c r="H4" s="103" t="n">
        <f aca="false">EDATE($C$4,'💰 Revenue'!H2)</f>
        <v>46813</v>
      </c>
      <c r="I4" s="103" t="n">
        <f aca="false">EDATE($C$4,'💰 Revenue'!I2)</f>
        <v>46844</v>
      </c>
      <c r="J4" s="103" t="n">
        <f aca="false">EDATE($C$4,'💰 Revenue'!J2)</f>
        <v>46874</v>
      </c>
      <c r="K4" s="103" t="n">
        <f aca="false">EDATE($C$4,'💰 Revenue'!K2)</f>
        <v>46905</v>
      </c>
      <c r="L4" s="103" t="n">
        <f aca="false">EDATE($C$4,'💰 Revenue'!L2)</f>
        <v>46935</v>
      </c>
      <c r="M4" s="103" t="n">
        <f aca="false">EDATE($C$4,'💰 Revenue'!M2)</f>
        <v>46966</v>
      </c>
      <c r="N4" s="103" t="n">
        <f aca="false">EDATE($C$4,'💰 Revenue'!N2)</f>
        <v>46997</v>
      </c>
      <c r="O4" s="103" t="n">
        <f aca="false">EDATE($C$4,'💰 Revenue'!O2)</f>
        <v>47027</v>
      </c>
      <c r="P4" s="103" t="n">
        <f aca="false">EDATE($C$4,'💰 Revenue'!P2)</f>
        <v>47058</v>
      </c>
      <c r="Q4" s="103" t="n">
        <f aca="false">EDATE($C$4,'💰 Revenue'!Q2)</f>
        <v>47088</v>
      </c>
      <c r="R4" s="103" t="n">
        <f aca="false">EDATE($C$4,'💰 Revenue'!R2)</f>
        <v>47119</v>
      </c>
      <c r="S4" s="103" t="n">
        <f aca="false">EDATE($C$4,'💰 Revenue'!S2)</f>
        <v>47150</v>
      </c>
      <c r="T4" s="103" t="n">
        <f aca="false">EDATE($C$4,'💰 Revenue'!T2)</f>
        <v>47178</v>
      </c>
      <c r="U4" s="103" t="n">
        <f aca="false">EDATE($C$4,'💰 Revenue'!U2)</f>
        <v>47209</v>
      </c>
      <c r="V4" s="103" t="n">
        <f aca="false">EDATE($C$4,'💰 Revenue'!V2)</f>
        <v>47239</v>
      </c>
      <c r="W4" s="103" t="n">
        <f aca="false">EDATE($C$4,'💰 Revenue'!W2)</f>
        <v>47270</v>
      </c>
      <c r="X4" s="103" t="n">
        <f aca="false">EDATE($C$4,'💰 Revenue'!X2)</f>
        <v>47300</v>
      </c>
      <c r="Y4" s="103" t="n">
        <f aca="false">EDATE($C$4,'💰 Revenue'!Y2)</f>
        <v>47331</v>
      </c>
      <c r="Z4" s="103" t="n">
        <f aca="false">EDATE($C$4,'💰 Revenue'!Z2)</f>
        <v>47362</v>
      </c>
      <c r="AA4" s="103" t="n">
        <f aca="false">EDATE($C$4,'💰 Revenue'!AA2)</f>
        <v>47392</v>
      </c>
      <c r="AB4" s="103" t="n">
        <f aca="false">EDATE($C$4,'💰 Revenue'!AB2)</f>
        <v>47423</v>
      </c>
      <c r="AC4" s="103" t="n">
        <f aca="false">EDATE($C$4,'💰 Revenue'!AC2)</f>
        <v>47453</v>
      </c>
      <c r="AD4" s="103" t="n">
        <f aca="false">EDATE($C$4,'💰 Revenue'!AD2)</f>
        <v>47484</v>
      </c>
      <c r="AE4" s="103" t="n">
        <f aca="false">EDATE($C$4,'💰 Revenue'!AE2)</f>
        <v>47515</v>
      </c>
      <c r="AF4" s="103" t="n">
        <f aca="false">EDATE($C$4,'💰 Revenue'!AF2)</f>
        <v>47543</v>
      </c>
      <c r="AG4" s="103" t="n">
        <f aca="false">EDATE($C$4,'💰 Revenue'!AG2)</f>
        <v>47574</v>
      </c>
      <c r="AH4" s="103" t="n">
        <f aca="false">EDATE($C$4,'💰 Revenue'!AH2)</f>
        <v>47604</v>
      </c>
      <c r="AI4" s="103" t="n">
        <f aca="false">EDATE($C$4,'💰 Revenue'!AI2)</f>
        <v>47635</v>
      </c>
      <c r="AJ4" s="103" t="n">
        <f aca="false">EDATE($C$4,'💰 Revenue'!AJ2)</f>
        <v>47665</v>
      </c>
      <c r="AK4" s="103" t="n">
        <f aca="false">EDATE($C$4,'💰 Revenue'!AK2)</f>
        <v>47696</v>
      </c>
      <c r="AL4" s="103" t="n">
        <f aca="false">EDATE($C$4,'💰 Revenue'!AL2)</f>
        <v>47727</v>
      </c>
      <c r="AM4" s="103" t="n">
        <f aca="false">EDATE($C$4,'💰 Revenue'!AM2)</f>
        <v>47757</v>
      </c>
      <c r="AN4" s="103" t="n">
        <f aca="false">EDATE($C$4,'💰 Revenue'!AN2)</f>
        <v>47788</v>
      </c>
      <c r="AO4" s="103" t="n">
        <f aca="false">EDATE($C$4,'💰 Revenue'!AO2)</f>
        <v>47818</v>
      </c>
      <c r="AP4" s="103" t="n">
        <f aca="false">EDATE($C$4,'💰 Revenue'!AP2)</f>
        <v>47849</v>
      </c>
      <c r="AQ4" s="103" t="n">
        <f aca="false">EDATE($C$4,'💰 Revenue'!AQ2)</f>
        <v>47880</v>
      </c>
      <c r="AR4" s="103" t="n">
        <f aca="false">EDATE($C$4,'💰 Revenue'!AR2)</f>
        <v>47908</v>
      </c>
      <c r="AS4" s="103" t="n">
        <f aca="false">EDATE($C$4,'💰 Revenue'!AS2)</f>
        <v>47939</v>
      </c>
      <c r="AT4" s="103" t="n">
        <f aca="false">EDATE($C$4,'💰 Revenue'!AT2)</f>
        <v>47969</v>
      </c>
      <c r="AU4" s="103" t="n">
        <f aca="false">EDATE($C$4,'💰 Revenue'!AU2)</f>
        <v>48000</v>
      </c>
      <c r="AV4" s="103" t="n">
        <f aca="false">EDATE($C$4,'💰 Revenue'!AV2)</f>
        <v>48030</v>
      </c>
      <c r="AW4" s="103" t="n">
        <f aca="false">EDATE($C$4,'💰 Revenue'!AW2)</f>
        <v>48061</v>
      </c>
      <c r="AX4" s="103" t="n">
        <f aca="false">EDATE($C$4,'💰 Revenue'!AX2)</f>
        <v>48092</v>
      </c>
      <c r="AY4" s="103" t="n">
        <f aca="false">EDATE($C$4,'💰 Revenue'!AY2)</f>
        <v>48122</v>
      </c>
      <c r="AZ4" s="103" t="n">
        <f aca="false">EDATE($C$4,'💰 Revenue'!AZ2)</f>
        <v>48153</v>
      </c>
      <c r="BA4" s="103" t="n">
        <f aca="false">EDATE($C$4,'💰 Revenue'!BA2)</f>
        <v>48183</v>
      </c>
      <c r="BB4" s="103" t="n">
        <f aca="false">EDATE($C$4,'💰 Revenue'!BB2)</f>
        <v>48214</v>
      </c>
      <c r="BC4" s="103" t="n">
        <f aca="false">EDATE($C$4,'💰 Revenue'!BC2)</f>
        <v>48245</v>
      </c>
      <c r="BD4" s="103" t="n">
        <f aca="false">EDATE($C$4,'💰 Revenue'!BD2)</f>
        <v>48274</v>
      </c>
      <c r="BE4" s="103" t="n">
        <f aca="false">EDATE($C$4,'💰 Revenue'!BE2)</f>
        <v>48305</v>
      </c>
      <c r="BF4" s="103" t="n">
        <f aca="false">EDATE($C$4,'💰 Revenue'!BF2)</f>
        <v>48335</v>
      </c>
      <c r="BG4" s="103" t="n">
        <f aca="false">EDATE($C$4,'💰 Revenue'!BG2)</f>
        <v>48366</v>
      </c>
      <c r="BH4" s="103" t="n">
        <f aca="false">EDATE($C$4,'💰 Revenue'!BH2)</f>
        <v>48396</v>
      </c>
      <c r="BI4" s="103" t="n">
        <f aca="false">EDATE($C$4,'💰 Revenue'!BI2)</f>
        <v>48427</v>
      </c>
      <c r="BJ4" s="103" t="n">
        <f aca="false">EDATE($C$4,'💰 Revenue'!BJ2)</f>
        <v>48458</v>
      </c>
    </row>
    <row r="5" customFormat="false" ht="13.5" hidden="false" customHeight="true" outlineLevel="0" collapsed="false">
      <c r="A5" s="59" t="s">
        <v>364</v>
      </c>
      <c r="B5" s="59"/>
      <c r="C5" s="59"/>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row>
    <row r="6" customFormat="false" ht="13.5" hidden="false" customHeight="true" outlineLevel="0" collapsed="false">
      <c r="A6" s="66" t="s">
        <v>234</v>
      </c>
      <c r="B6" s="67" t="n">
        <f aca="false">SUM(C6:BJ6)</f>
        <v>23002143750</v>
      </c>
      <c r="C6" s="104" t="n">
        <f aca="false">'💰 Revenue'!C14</f>
        <v>0</v>
      </c>
      <c r="D6" s="104" t="n">
        <f aca="false">'💰 Revenue'!D14</f>
        <v>0</v>
      </c>
      <c r="E6" s="104" t="n">
        <f aca="false">'💰 Revenue'!E14</f>
        <v>125550000</v>
      </c>
      <c r="F6" s="104" t="n">
        <f aca="false">'💰 Revenue'!F14</f>
        <v>125550000</v>
      </c>
      <c r="G6" s="104" t="n">
        <f aca="false">'💰 Revenue'!G14</f>
        <v>138656250</v>
      </c>
      <c r="H6" s="104" t="n">
        <f aca="false">'💰 Revenue'!H14</f>
        <v>165656250</v>
      </c>
      <c r="I6" s="104" t="n">
        <f aca="false">'💰 Revenue'!I14</f>
        <v>291093750</v>
      </c>
      <c r="J6" s="104" t="n">
        <f aca="false">'💰 Revenue'!J14</f>
        <v>274640625</v>
      </c>
      <c r="K6" s="104" t="n">
        <f aca="false">'💰 Revenue'!K14</f>
        <v>324000000</v>
      </c>
      <c r="L6" s="104" t="n">
        <f aca="false">'💰 Revenue'!L14</f>
        <v>360956250</v>
      </c>
      <c r="M6" s="104" t="n">
        <f aca="false">'💰 Revenue'!M14</f>
        <v>313875000</v>
      </c>
      <c r="N6" s="104" t="n">
        <f aca="false">'💰 Revenue'!N14</f>
        <v>304593750</v>
      </c>
      <c r="O6" s="104" t="n">
        <f aca="false">'💰 Revenue'!O14</f>
        <v>314746875</v>
      </c>
      <c r="P6" s="104" t="n">
        <f aca="false">'💰 Revenue'!P14</f>
        <v>354375000</v>
      </c>
      <c r="Q6" s="104" t="n">
        <f aca="false">'💰 Revenue'!Q14</f>
        <v>418500000</v>
      </c>
      <c r="R6" s="104" t="n">
        <f aca="false">'💰 Revenue'!R14</f>
        <v>418500000</v>
      </c>
      <c r="S6" s="104" t="n">
        <f aca="false">'💰 Revenue'!S14</f>
        <v>321300000</v>
      </c>
      <c r="T6" s="104" t="n">
        <f aca="false">'💰 Revenue'!T14</f>
        <v>397575000</v>
      </c>
      <c r="U6" s="104" t="n">
        <f aca="false">'💰 Revenue'!U14</f>
        <v>465750000</v>
      </c>
      <c r="V6" s="104" t="n">
        <f aca="false">'💰 Revenue'!V14</f>
        <v>439425000</v>
      </c>
      <c r="W6" s="104" t="n">
        <f aca="false">'💰 Revenue'!W14</f>
        <v>486000000</v>
      </c>
      <c r="X6" s="104" t="n">
        <f aca="false">'💰 Revenue'!X14</f>
        <v>481275000</v>
      </c>
      <c r="Y6" s="104" t="n">
        <f aca="false">'💰 Revenue'!Y14</f>
        <v>418500000</v>
      </c>
      <c r="Z6" s="104" t="n">
        <f aca="false">'💰 Revenue'!Z14</f>
        <v>384750000</v>
      </c>
      <c r="AA6" s="104" t="n">
        <f aca="false">'💰 Revenue'!AA14</f>
        <v>397575000</v>
      </c>
      <c r="AB6" s="104" t="n">
        <f aca="false">'💰 Revenue'!AB14</f>
        <v>425250000</v>
      </c>
      <c r="AC6" s="104" t="n">
        <f aca="false">'💰 Revenue'!AC14</f>
        <v>502200000</v>
      </c>
      <c r="AD6" s="104" t="n">
        <f aca="false">'💰 Revenue'!AD14</f>
        <v>502200000</v>
      </c>
      <c r="AE6" s="104" t="n">
        <f aca="false">'💰 Revenue'!AE14</f>
        <v>321300000</v>
      </c>
      <c r="AF6" s="104" t="n">
        <f aca="false">'💰 Revenue'!AF14</f>
        <v>397575000</v>
      </c>
      <c r="AG6" s="104" t="n">
        <f aca="false">'💰 Revenue'!AG14</f>
        <v>465750000</v>
      </c>
      <c r="AH6" s="104" t="n">
        <f aca="false">'💰 Revenue'!AH14</f>
        <v>439425000</v>
      </c>
      <c r="AI6" s="104" t="n">
        <f aca="false">'💰 Revenue'!AI14</f>
        <v>486000000</v>
      </c>
      <c r="AJ6" s="104" t="n">
        <f aca="false">'💰 Revenue'!AJ14</f>
        <v>481275000</v>
      </c>
      <c r="AK6" s="104" t="n">
        <f aca="false">'💰 Revenue'!AK14</f>
        <v>418500000</v>
      </c>
      <c r="AL6" s="104" t="n">
        <f aca="false">'💰 Revenue'!AL14</f>
        <v>384750000</v>
      </c>
      <c r="AM6" s="104" t="n">
        <f aca="false">'💰 Revenue'!AM14</f>
        <v>397575000</v>
      </c>
      <c r="AN6" s="104" t="n">
        <f aca="false">'💰 Revenue'!AN14</f>
        <v>425250000</v>
      </c>
      <c r="AO6" s="104" t="n">
        <f aca="false">'💰 Revenue'!AO14</f>
        <v>502200000</v>
      </c>
      <c r="AP6" s="104" t="n">
        <f aca="false">'💰 Revenue'!AP14</f>
        <v>502200000</v>
      </c>
      <c r="AQ6" s="104" t="n">
        <f aca="false">'💰 Revenue'!AQ14</f>
        <v>321300000</v>
      </c>
      <c r="AR6" s="104" t="n">
        <f aca="false">'💰 Revenue'!AR14</f>
        <v>397575000</v>
      </c>
      <c r="AS6" s="104" t="n">
        <f aca="false">'💰 Revenue'!AS14</f>
        <v>465750000</v>
      </c>
      <c r="AT6" s="104" t="n">
        <f aca="false">'💰 Revenue'!AT14</f>
        <v>439425000</v>
      </c>
      <c r="AU6" s="104" t="n">
        <f aca="false">'💰 Revenue'!AU14</f>
        <v>486000000</v>
      </c>
      <c r="AV6" s="104" t="n">
        <f aca="false">'💰 Revenue'!AV14</f>
        <v>481275000</v>
      </c>
      <c r="AW6" s="104" t="n">
        <f aca="false">'💰 Revenue'!AW14</f>
        <v>418500000</v>
      </c>
      <c r="AX6" s="104" t="n">
        <f aca="false">'💰 Revenue'!AX14</f>
        <v>384750000</v>
      </c>
      <c r="AY6" s="104" t="n">
        <f aca="false">'💰 Revenue'!AY14</f>
        <v>397575000</v>
      </c>
      <c r="AZ6" s="104" t="n">
        <f aca="false">'💰 Revenue'!AZ14</f>
        <v>425250000</v>
      </c>
      <c r="BA6" s="104" t="n">
        <f aca="false">'💰 Revenue'!BA14</f>
        <v>502200000</v>
      </c>
      <c r="BB6" s="104" t="n">
        <f aca="false">'💰 Revenue'!BB14</f>
        <v>502200000</v>
      </c>
      <c r="BC6" s="104" t="n">
        <f aca="false">'💰 Revenue'!BC14</f>
        <v>332775000</v>
      </c>
      <c r="BD6" s="104" t="n">
        <f aca="false">'💰 Revenue'!BD14</f>
        <v>397575000</v>
      </c>
      <c r="BE6" s="104" t="n">
        <f aca="false">'💰 Revenue'!BE14</f>
        <v>465750000</v>
      </c>
      <c r="BF6" s="104" t="n">
        <f aca="false">'💰 Revenue'!BF14</f>
        <v>439425000</v>
      </c>
      <c r="BG6" s="104" t="n">
        <f aca="false">'💰 Revenue'!BG14</f>
        <v>486000000</v>
      </c>
      <c r="BH6" s="104" t="n">
        <f aca="false">'💰 Revenue'!BH14</f>
        <v>481275000</v>
      </c>
      <c r="BI6" s="104" t="n">
        <f aca="false">'💰 Revenue'!BI14</f>
        <v>418500000</v>
      </c>
      <c r="BJ6" s="104" t="n">
        <f aca="false">'💰 Revenue'!BJ14</f>
        <v>384750000</v>
      </c>
    </row>
    <row r="7" customFormat="false" ht="13.5" hidden="false" customHeight="true" outlineLevel="0" collapsed="false">
      <c r="A7" s="37" t="s">
        <v>365</v>
      </c>
      <c r="B7" s="68" t="n">
        <f aca="false">SUM(C7:AL7)</f>
        <v>0</v>
      </c>
      <c r="C7" s="68" t="n">
        <f aca="false">-('💰 Revenue'!C17+'💰 Revenue'!C18)</f>
        <v>-0</v>
      </c>
      <c r="D7" s="68" t="n">
        <f aca="false">-('💰 Revenue'!D17+'💰 Revenue'!D18)</f>
        <v>-0</v>
      </c>
      <c r="E7" s="68" t="n">
        <f aca="false">-('💰 Revenue'!E17+'💰 Revenue'!E18)</f>
        <v>-0</v>
      </c>
      <c r="F7" s="68" t="n">
        <f aca="false">-('💰 Revenue'!F17+'💰 Revenue'!F18)</f>
        <v>-0</v>
      </c>
      <c r="G7" s="68" t="n">
        <f aca="false">-('💰 Revenue'!G17+'💰 Revenue'!G18)</f>
        <v>-0</v>
      </c>
      <c r="H7" s="68" t="n">
        <f aca="false">-('💰 Revenue'!H17+'💰 Revenue'!H18)</f>
        <v>-0</v>
      </c>
      <c r="I7" s="68" t="n">
        <f aca="false">-('💰 Revenue'!I17+'💰 Revenue'!I18)</f>
        <v>-0</v>
      </c>
      <c r="J7" s="68" t="n">
        <f aca="false">-('💰 Revenue'!J17+'💰 Revenue'!J18)</f>
        <v>-0</v>
      </c>
      <c r="K7" s="68" t="n">
        <f aca="false">-('💰 Revenue'!K17+'💰 Revenue'!K18)</f>
        <v>-0</v>
      </c>
      <c r="L7" s="68" t="n">
        <f aca="false">-('💰 Revenue'!L17+'💰 Revenue'!L18)</f>
        <v>-0</v>
      </c>
      <c r="M7" s="68" t="n">
        <f aca="false">-('💰 Revenue'!M17+'💰 Revenue'!M18)</f>
        <v>-0</v>
      </c>
      <c r="N7" s="68" t="n">
        <f aca="false">-('💰 Revenue'!N17+'💰 Revenue'!N18)</f>
        <v>-0</v>
      </c>
      <c r="O7" s="68" t="n">
        <f aca="false">-('💰 Revenue'!O17+'💰 Revenue'!O18)</f>
        <v>-0</v>
      </c>
      <c r="P7" s="68" t="n">
        <f aca="false">-('💰 Revenue'!P17+'💰 Revenue'!P18)</f>
        <v>-0</v>
      </c>
      <c r="Q7" s="68" t="n">
        <f aca="false">-('💰 Revenue'!Q17+'💰 Revenue'!Q18)</f>
        <v>-0</v>
      </c>
      <c r="R7" s="68" t="n">
        <f aca="false">-('💰 Revenue'!R17+'💰 Revenue'!R18)</f>
        <v>-0</v>
      </c>
      <c r="S7" s="68" t="n">
        <f aca="false">-('💰 Revenue'!S17+'💰 Revenue'!S18)</f>
        <v>-0</v>
      </c>
      <c r="T7" s="68" t="n">
        <f aca="false">-('💰 Revenue'!T17+'💰 Revenue'!T18)</f>
        <v>-0</v>
      </c>
      <c r="U7" s="68" t="n">
        <f aca="false">-('💰 Revenue'!U17+'💰 Revenue'!U18)</f>
        <v>-0</v>
      </c>
      <c r="V7" s="68" t="n">
        <f aca="false">-('💰 Revenue'!V17+'💰 Revenue'!V18)</f>
        <v>-0</v>
      </c>
      <c r="W7" s="68" t="n">
        <f aca="false">-('💰 Revenue'!W17+'💰 Revenue'!W18)</f>
        <v>-0</v>
      </c>
      <c r="X7" s="68" t="n">
        <f aca="false">-('💰 Revenue'!X17+'💰 Revenue'!X18)</f>
        <v>-0</v>
      </c>
      <c r="Y7" s="68" t="n">
        <f aca="false">-('💰 Revenue'!Y17+'💰 Revenue'!Y18)</f>
        <v>-0</v>
      </c>
      <c r="Z7" s="68" t="n">
        <f aca="false">-('💰 Revenue'!Z17+'💰 Revenue'!Z18)</f>
        <v>-0</v>
      </c>
      <c r="AA7" s="68" t="n">
        <f aca="false">-('💰 Revenue'!AA17+'💰 Revenue'!AA18)</f>
        <v>-0</v>
      </c>
      <c r="AB7" s="68" t="n">
        <f aca="false">-('💰 Revenue'!AB17+'💰 Revenue'!AB18)</f>
        <v>-0</v>
      </c>
      <c r="AC7" s="68" t="n">
        <f aca="false">-('💰 Revenue'!AC17+'💰 Revenue'!AC18)</f>
        <v>-0</v>
      </c>
      <c r="AD7" s="68" t="n">
        <f aca="false">-('💰 Revenue'!AD17+'💰 Revenue'!AD18)</f>
        <v>-0</v>
      </c>
      <c r="AE7" s="68" t="n">
        <f aca="false">-('💰 Revenue'!AE17+'💰 Revenue'!AE18)</f>
        <v>-0</v>
      </c>
      <c r="AF7" s="68" t="n">
        <f aca="false">-('💰 Revenue'!AF17+'💰 Revenue'!AF18)</f>
        <v>-0</v>
      </c>
      <c r="AG7" s="68" t="n">
        <f aca="false">-('💰 Revenue'!AG17+'💰 Revenue'!AG18)</f>
        <v>-0</v>
      </c>
      <c r="AH7" s="68" t="n">
        <f aca="false">-('💰 Revenue'!AH17+'💰 Revenue'!AH18)</f>
        <v>-0</v>
      </c>
      <c r="AI7" s="68" t="n">
        <f aca="false">-('💰 Revenue'!AI17+'💰 Revenue'!AI18)</f>
        <v>-0</v>
      </c>
      <c r="AJ7" s="68" t="n">
        <f aca="false">-('💰 Revenue'!AJ17+'💰 Revenue'!AJ18)</f>
        <v>-0</v>
      </c>
      <c r="AK7" s="68" t="n">
        <f aca="false">-('💰 Revenue'!AK17+'💰 Revenue'!AK18)</f>
        <v>-0</v>
      </c>
      <c r="AL7" s="68" t="n">
        <f aca="false">-('💰 Revenue'!AL17+'💰 Revenue'!AL18)</f>
        <v>-0</v>
      </c>
      <c r="AM7" s="68" t="n">
        <f aca="false">-('💰 Revenue'!AM17+'💰 Revenue'!AM18)</f>
        <v>-0</v>
      </c>
      <c r="AN7" s="68" t="n">
        <f aca="false">-('💰 Revenue'!AN17+'💰 Revenue'!AN18)</f>
        <v>-0</v>
      </c>
      <c r="AO7" s="68" t="n">
        <f aca="false">-('💰 Revenue'!AO17+'💰 Revenue'!AO18)</f>
        <v>-0</v>
      </c>
      <c r="AP7" s="68" t="n">
        <f aca="false">-('💰 Revenue'!AP17+'💰 Revenue'!AP18)</f>
        <v>-0</v>
      </c>
      <c r="AQ7" s="68" t="n">
        <f aca="false">-('💰 Revenue'!AQ17+'💰 Revenue'!AQ18)</f>
        <v>-0</v>
      </c>
      <c r="AR7" s="68" t="n">
        <f aca="false">-('💰 Revenue'!AR17+'💰 Revenue'!AR18)</f>
        <v>-0</v>
      </c>
      <c r="AS7" s="68" t="n">
        <f aca="false">-('💰 Revenue'!AS17+'💰 Revenue'!AS18)</f>
        <v>-0</v>
      </c>
      <c r="AT7" s="68" t="n">
        <f aca="false">-('💰 Revenue'!AT17+'💰 Revenue'!AT18)</f>
        <v>-0</v>
      </c>
      <c r="AU7" s="68" t="n">
        <f aca="false">-('💰 Revenue'!AU17+'💰 Revenue'!AU18)</f>
        <v>-0</v>
      </c>
      <c r="AV7" s="68" t="n">
        <f aca="false">-('💰 Revenue'!AV17+'💰 Revenue'!AV18)</f>
        <v>-0</v>
      </c>
      <c r="AW7" s="68" t="n">
        <f aca="false">-('💰 Revenue'!AW17+'💰 Revenue'!AW18)</f>
        <v>-0</v>
      </c>
      <c r="AX7" s="68" t="n">
        <f aca="false">-('💰 Revenue'!AX17+'💰 Revenue'!AX18)</f>
        <v>-0</v>
      </c>
      <c r="AY7" s="68" t="n">
        <f aca="false">-('💰 Revenue'!AY17+'💰 Revenue'!AY18)</f>
        <v>-0</v>
      </c>
      <c r="AZ7" s="68" t="n">
        <f aca="false">-('💰 Revenue'!AZ17+'💰 Revenue'!AZ18)</f>
        <v>-0</v>
      </c>
      <c r="BA7" s="68" t="n">
        <f aca="false">-('💰 Revenue'!BA17+'💰 Revenue'!BA18)</f>
        <v>-0</v>
      </c>
      <c r="BB7" s="68" t="n">
        <f aca="false">-('💰 Revenue'!BB17+'💰 Revenue'!BB18)</f>
        <v>-0</v>
      </c>
      <c r="BC7" s="68" t="n">
        <f aca="false">-('💰 Revenue'!BC17+'💰 Revenue'!BC18)</f>
        <v>-0</v>
      </c>
      <c r="BD7" s="68" t="n">
        <f aca="false">-('💰 Revenue'!BD17+'💰 Revenue'!BD18)</f>
        <v>-0</v>
      </c>
      <c r="BE7" s="68" t="n">
        <f aca="false">-('💰 Revenue'!BE17+'💰 Revenue'!BE18)</f>
        <v>-0</v>
      </c>
      <c r="BF7" s="68" t="n">
        <f aca="false">-('💰 Revenue'!BF17+'💰 Revenue'!BF18)</f>
        <v>-0</v>
      </c>
      <c r="BG7" s="68" t="n">
        <f aca="false">-('💰 Revenue'!BG17+'💰 Revenue'!BG18)</f>
        <v>-0</v>
      </c>
      <c r="BH7" s="68" t="n">
        <f aca="false">-('💰 Revenue'!BH17+'💰 Revenue'!BH18)</f>
        <v>-0</v>
      </c>
      <c r="BI7" s="68" t="n">
        <f aca="false">-('💰 Revenue'!BI17+'💰 Revenue'!BI18)</f>
        <v>-0</v>
      </c>
      <c r="BJ7" s="68" t="n">
        <f aca="false">-('💰 Revenue'!BJ17+'💰 Revenue'!BJ18)</f>
        <v>-0</v>
      </c>
    </row>
    <row r="8" customFormat="false" ht="13.5" hidden="false" customHeight="true" outlineLevel="0" collapsed="false">
      <c r="A8" s="69" t="s">
        <v>366</v>
      </c>
      <c r="B8" s="70" t="n">
        <f aca="false">SUM(C8:BJ8)</f>
        <v>23002143750</v>
      </c>
      <c r="C8" s="70" t="n">
        <f aca="false">'💰 Revenue'!C19</f>
        <v>0</v>
      </c>
      <c r="D8" s="70" t="n">
        <f aca="false">'💰 Revenue'!D19</f>
        <v>0</v>
      </c>
      <c r="E8" s="70" t="n">
        <f aca="false">'💰 Revenue'!E19</f>
        <v>125550000</v>
      </c>
      <c r="F8" s="70" t="n">
        <f aca="false">'💰 Revenue'!F19</f>
        <v>125550000</v>
      </c>
      <c r="G8" s="70" t="n">
        <f aca="false">'💰 Revenue'!G19</f>
        <v>138656250</v>
      </c>
      <c r="H8" s="70" t="n">
        <f aca="false">'💰 Revenue'!H19</f>
        <v>165656250</v>
      </c>
      <c r="I8" s="70" t="n">
        <f aca="false">'💰 Revenue'!I19</f>
        <v>291093750</v>
      </c>
      <c r="J8" s="70" t="n">
        <f aca="false">'💰 Revenue'!J19</f>
        <v>274640625</v>
      </c>
      <c r="K8" s="70" t="n">
        <f aca="false">'💰 Revenue'!K19</f>
        <v>324000000</v>
      </c>
      <c r="L8" s="70" t="n">
        <f aca="false">'💰 Revenue'!L19</f>
        <v>360956250</v>
      </c>
      <c r="M8" s="70" t="n">
        <f aca="false">'💰 Revenue'!M19</f>
        <v>313875000</v>
      </c>
      <c r="N8" s="70" t="n">
        <f aca="false">'💰 Revenue'!N19</f>
        <v>304593750</v>
      </c>
      <c r="O8" s="70" t="n">
        <f aca="false">'💰 Revenue'!O19</f>
        <v>314746875</v>
      </c>
      <c r="P8" s="70" t="n">
        <f aca="false">'💰 Revenue'!P19</f>
        <v>354375000</v>
      </c>
      <c r="Q8" s="70" t="n">
        <f aca="false">'💰 Revenue'!Q19</f>
        <v>418500000</v>
      </c>
      <c r="R8" s="70" t="n">
        <f aca="false">'💰 Revenue'!R19</f>
        <v>418500000</v>
      </c>
      <c r="S8" s="70" t="n">
        <f aca="false">'💰 Revenue'!S19</f>
        <v>321300000</v>
      </c>
      <c r="T8" s="70" t="n">
        <f aca="false">'💰 Revenue'!T19</f>
        <v>397575000</v>
      </c>
      <c r="U8" s="70" t="n">
        <f aca="false">'💰 Revenue'!U19</f>
        <v>465750000</v>
      </c>
      <c r="V8" s="70" t="n">
        <f aca="false">'💰 Revenue'!V19</f>
        <v>439425000</v>
      </c>
      <c r="W8" s="70" t="n">
        <f aca="false">'💰 Revenue'!W19</f>
        <v>486000000</v>
      </c>
      <c r="X8" s="70" t="n">
        <f aca="false">'💰 Revenue'!X19</f>
        <v>481275000</v>
      </c>
      <c r="Y8" s="70" t="n">
        <f aca="false">'💰 Revenue'!Y19</f>
        <v>418500000</v>
      </c>
      <c r="Z8" s="70" t="n">
        <f aca="false">'💰 Revenue'!Z19</f>
        <v>384750000</v>
      </c>
      <c r="AA8" s="70" t="n">
        <f aca="false">'💰 Revenue'!AA19</f>
        <v>397575000</v>
      </c>
      <c r="AB8" s="70" t="n">
        <f aca="false">'💰 Revenue'!AB19</f>
        <v>425250000</v>
      </c>
      <c r="AC8" s="70" t="n">
        <f aca="false">'💰 Revenue'!AC19</f>
        <v>502200000</v>
      </c>
      <c r="AD8" s="70" t="n">
        <f aca="false">'💰 Revenue'!AD19</f>
        <v>502200000</v>
      </c>
      <c r="AE8" s="70" t="n">
        <f aca="false">'💰 Revenue'!AE19</f>
        <v>321300000</v>
      </c>
      <c r="AF8" s="70" t="n">
        <f aca="false">'💰 Revenue'!AF19</f>
        <v>397575000</v>
      </c>
      <c r="AG8" s="70" t="n">
        <f aca="false">'💰 Revenue'!AG19</f>
        <v>465750000</v>
      </c>
      <c r="AH8" s="70" t="n">
        <f aca="false">'💰 Revenue'!AH19</f>
        <v>439425000</v>
      </c>
      <c r="AI8" s="70" t="n">
        <f aca="false">'💰 Revenue'!AI19</f>
        <v>486000000</v>
      </c>
      <c r="AJ8" s="70" t="n">
        <f aca="false">'💰 Revenue'!AJ19</f>
        <v>481275000</v>
      </c>
      <c r="AK8" s="70" t="n">
        <f aca="false">'💰 Revenue'!AK19</f>
        <v>418500000</v>
      </c>
      <c r="AL8" s="70" t="n">
        <f aca="false">'💰 Revenue'!AL19</f>
        <v>384750000</v>
      </c>
      <c r="AM8" s="70" t="n">
        <f aca="false">'💰 Revenue'!AM19</f>
        <v>397575000</v>
      </c>
      <c r="AN8" s="70" t="n">
        <f aca="false">'💰 Revenue'!AN19</f>
        <v>425250000</v>
      </c>
      <c r="AO8" s="70" t="n">
        <f aca="false">'💰 Revenue'!AO19</f>
        <v>502200000</v>
      </c>
      <c r="AP8" s="70" t="n">
        <f aca="false">'💰 Revenue'!AP19</f>
        <v>502200000</v>
      </c>
      <c r="AQ8" s="70" t="n">
        <f aca="false">'💰 Revenue'!AQ19</f>
        <v>321300000</v>
      </c>
      <c r="AR8" s="70" t="n">
        <f aca="false">'💰 Revenue'!AR19</f>
        <v>397575000</v>
      </c>
      <c r="AS8" s="70" t="n">
        <f aca="false">'💰 Revenue'!AS19</f>
        <v>465750000</v>
      </c>
      <c r="AT8" s="70" t="n">
        <f aca="false">'💰 Revenue'!AT19</f>
        <v>439425000</v>
      </c>
      <c r="AU8" s="70" t="n">
        <f aca="false">'💰 Revenue'!AU19</f>
        <v>486000000</v>
      </c>
      <c r="AV8" s="70" t="n">
        <f aca="false">'💰 Revenue'!AV19</f>
        <v>481275000</v>
      </c>
      <c r="AW8" s="70" t="n">
        <f aca="false">'💰 Revenue'!AW19</f>
        <v>418500000</v>
      </c>
      <c r="AX8" s="70" t="n">
        <f aca="false">'💰 Revenue'!AX19</f>
        <v>384750000</v>
      </c>
      <c r="AY8" s="70" t="n">
        <f aca="false">'💰 Revenue'!AY19</f>
        <v>397575000</v>
      </c>
      <c r="AZ8" s="70" t="n">
        <f aca="false">'💰 Revenue'!AZ19</f>
        <v>425250000</v>
      </c>
      <c r="BA8" s="70" t="n">
        <f aca="false">'💰 Revenue'!BA19</f>
        <v>502200000</v>
      </c>
      <c r="BB8" s="70" t="n">
        <f aca="false">'💰 Revenue'!BB19</f>
        <v>502200000</v>
      </c>
      <c r="BC8" s="70" t="n">
        <f aca="false">'💰 Revenue'!BC19</f>
        <v>332775000</v>
      </c>
      <c r="BD8" s="70" t="n">
        <f aca="false">'💰 Revenue'!BD19</f>
        <v>397575000</v>
      </c>
      <c r="BE8" s="70" t="n">
        <f aca="false">'💰 Revenue'!BE19</f>
        <v>465750000</v>
      </c>
      <c r="BF8" s="70" t="n">
        <f aca="false">'💰 Revenue'!BF19</f>
        <v>439425000</v>
      </c>
      <c r="BG8" s="70" t="n">
        <f aca="false">'💰 Revenue'!BG19</f>
        <v>486000000</v>
      </c>
      <c r="BH8" s="70" t="n">
        <f aca="false">'💰 Revenue'!BH19</f>
        <v>481275000</v>
      </c>
      <c r="BI8" s="70" t="n">
        <f aca="false">'💰 Revenue'!BI19</f>
        <v>418500000</v>
      </c>
      <c r="BJ8" s="70" t="n">
        <f aca="false">'💰 Revenue'!BJ19</f>
        <v>384750000</v>
      </c>
    </row>
    <row r="9" customFormat="false" ht="13.5" hidden="false" customHeight="true" outlineLevel="0" collapsed="false">
      <c r="A9" s="59" t="s">
        <v>367</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row>
    <row r="10" customFormat="false" ht="13.5" hidden="false" customHeight="true" outlineLevel="0" collapsed="false">
      <c r="A10" s="38" t="s">
        <v>368</v>
      </c>
      <c r="B10" s="60" t="n">
        <f aca="false">SUM(C10:BJ10)</f>
        <v>5492001150</v>
      </c>
      <c r="C10" s="60" t="n">
        <f aca="false">'📦 COGS &amp; OpEx'!C6</f>
        <v>0</v>
      </c>
      <c r="D10" s="60" t="n">
        <f aca="false">'📦 COGS &amp; OpEx'!D6</f>
        <v>0</v>
      </c>
      <c r="E10" s="60" t="n">
        <f aca="false">'📦 COGS &amp; OpEx'!E6</f>
        <v>35154000</v>
      </c>
      <c r="F10" s="60" t="n">
        <f aca="false">'📦 COGS &amp; OpEx'!F6</f>
        <v>33145200</v>
      </c>
      <c r="G10" s="60" t="n">
        <f aca="false">'📦 COGS &amp; OpEx'!G6</f>
        <v>36605250</v>
      </c>
      <c r="H10" s="60" t="n">
        <f aca="false">'📦 COGS &amp; OpEx'!H6</f>
        <v>43733250</v>
      </c>
      <c r="I10" s="60" t="n">
        <f aca="false">'📦 COGS &amp; OpEx'!I6</f>
        <v>76848750</v>
      </c>
      <c r="J10" s="60" t="n">
        <f aca="false">'📦 COGS &amp; OpEx'!J6</f>
        <v>72505125</v>
      </c>
      <c r="K10" s="60" t="n">
        <f aca="false">'📦 COGS &amp; OpEx'!K6</f>
        <v>85536000</v>
      </c>
      <c r="L10" s="60" t="n">
        <f aca="false">'📦 COGS &amp; OpEx'!L6</f>
        <v>95292450</v>
      </c>
      <c r="M10" s="60" t="n">
        <f aca="false">'📦 COGS &amp; OpEx'!M6</f>
        <v>82863000</v>
      </c>
      <c r="N10" s="60" t="n">
        <f aca="false">'📦 COGS &amp; OpEx'!N6</f>
        <v>80412750</v>
      </c>
      <c r="O10" s="60" t="n">
        <f aca="false">'📦 COGS &amp; OpEx'!O6</f>
        <v>83093175</v>
      </c>
      <c r="P10" s="60" t="n">
        <f aca="false">'📦 COGS &amp; OpEx'!P6</f>
        <v>93555000</v>
      </c>
      <c r="Q10" s="60" t="n">
        <f aca="false">'📦 COGS &amp; OpEx'!Q6</f>
        <v>110484000</v>
      </c>
      <c r="R10" s="60" t="n">
        <f aca="false">'📦 COGS &amp; OpEx'!R6</f>
        <v>100440000</v>
      </c>
      <c r="S10" s="60" t="n">
        <f aca="false">'📦 COGS &amp; OpEx'!S6</f>
        <v>77112000</v>
      </c>
      <c r="T10" s="60" t="n">
        <f aca="false">'📦 COGS &amp; OpEx'!T6</f>
        <v>95418000</v>
      </c>
      <c r="U10" s="60" t="n">
        <f aca="false">'📦 COGS &amp; OpEx'!U6</f>
        <v>111780000</v>
      </c>
      <c r="V10" s="60" t="n">
        <f aca="false">'📦 COGS &amp; OpEx'!V6</f>
        <v>105462000</v>
      </c>
      <c r="W10" s="60" t="n">
        <f aca="false">'📦 COGS &amp; OpEx'!W6</f>
        <v>116640000</v>
      </c>
      <c r="X10" s="60" t="n">
        <f aca="false">'📦 COGS &amp; OpEx'!X6</f>
        <v>115506000</v>
      </c>
      <c r="Y10" s="60" t="n">
        <f aca="false">'📦 COGS &amp; OpEx'!Y6</f>
        <v>100440000</v>
      </c>
      <c r="Z10" s="60" t="n">
        <f aca="false">'📦 COGS &amp; OpEx'!Z6</f>
        <v>92340000</v>
      </c>
      <c r="AA10" s="60" t="n">
        <f aca="false">'📦 COGS &amp; OpEx'!AA6</f>
        <v>95418000</v>
      </c>
      <c r="AB10" s="60" t="n">
        <f aca="false">'📦 COGS &amp; OpEx'!AB6</f>
        <v>102060000</v>
      </c>
      <c r="AC10" s="60" t="n">
        <f aca="false">'📦 COGS &amp; OpEx'!AC6</f>
        <v>120528000</v>
      </c>
      <c r="AD10" s="60" t="n">
        <f aca="false">'📦 COGS &amp; OpEx'!AD6</f>
        <v>116510400</v>
      </c>
      <c r="AE10" s="60" t="n">
        <f aca="false">'📦 COGS &amp; OpEx'!AE6</f>
        <v>74541600</v>
      </c>
      <c r="AF10" s="60" t="n">
        <f aca="false">'📦 COGS &amp; OpEx'!AF6</f>
        <v>92237400</v>
      </c>
      <c r="AG10" s="60" t="n">
        <f aca="false">'📦 COGS &amp; OpEx'!AG6</f>
        <v>108054000</v>
      </c>
      <c r="AH10" s="60" t="n">
        <f aca="false">'📦 COGS &amp; OpEx'!AH6</f>
        <v>101946600</v>
      </c>
      <c r="AI10" s="60" t="n">
        <f aca="false">'📦 COGS &amp; OpEx'!AI6</f>
        <v>112752000</v>
      </c>
      <c r="AJ10" s="60" t="n">
        <f aca="false">'📦 COGS &amp; OpEx'!AJ6</f>
        <v>111655800</v>
      </c>
      <c r="AK10" s="60" t="n">
        <f aca="false">'📦 COGS &amp; OpEx'!AK6</f>
        <v>97092000</v>
      </c>
      <c r="AL10" s="60" t="n">
        <f aca="false">'📦 COGS &amp; OpEx'!AL6</f>
        <v>89262000</v>
      </c>
      <c r="AM10" s="60" t="n">
        <f aca="false">'📦 COGS &amp; OpEx'!AM6</f>
        <v>92237400</v>
      </c>
      <c r="AN10" s="60" t="n">
        <f aca="false">'📦 COGS &amp; OpEx'!AN6</f>
        <v>98658000</v>
      </c>
      <c r="AO10" s="60" t="n">
        <f aca="false">'📦 COGS &amp; OpEx'!AO6</f>
        <v>116510400</v>
      </c>
      <c r="AP10" s="60" t="n">
        <f aca="false">'📦 COGS &amp; OpEx'!AP6</f>
        <v>116510400</v>
      </c>
      <c r="AQ10" s="60" t="n">
        <f aca="false">'📦 COGS &amp; OpEx'!AQ6</f>
        <v>74541600</v>
      </c>
      <c r="AR10" s="60" t="n">
        <f aca="false">'📦 COGS &amp; OpEx'!AR6</f>
        <v>92237400</v>
      </c>
      <c r="AS10" s="60" t="n">
        <f aca="false">'📦 COGS &amp; OpEx'!AS6</f>
        <v>108054000</v>
      </c>
      <c r="AT10" s="60" t="n">
        <f aca="false">'📦 COGS &amp; OpEx'!AT6</f>
        <v>101946600</v>
      </c>
      <c r="AU10" s="60" t="n">
        <f aca="false">'📦 COGS &amp; OpEx'!AU6</f>
        <v>112752000</v>
      </c>
      <c r="AV10" s="60" t="n">
        <f aca="false">'📦 COGS &amp; OpEx'!AV6</f>
        <v>111655800</v>
      </c>
      <c r="AW10" s="60" t="n">
        <f aca="false">'📦 COGS &amp; OpEx'!AW6</f>
        <v>97092000</v>
      </c>
      <c r="AX10" s="60" t="n">
        <f aca="false">'📦 COGS &amp; OpEx'!AX6</f>
        <v>89262000</v>
      </c>
      <c r="AY10" s="60" t="n">
        <f aca="false">'📦 COGS &amp; OpEx'!AY6</f>
        <v>92237400</v>
      </c>
      <c r="AZ10" s="60" t="n">
        <f aca="false">'📦 COGS &amp; OpEx'!AZ6</f>
        <v>98658000</v>
      </c>
      <c r="BA10" s="60" t="n">
        <f aca="false">'📦 COGS &amp; OpEx'!BA6</f>
        <v>116510400</v>
      </c>
      <c r="BB10" s="60" t="n">
        <f aca="false">'📦 COGS &amp; OpEx'!BB6</f>
        <v>116510400</v>
      </c>
      <c r="BC10" s="60" t="n">
        <f aca="false">'📦 COGS &amp; OpEx'!BC6</f>
        <v>77203800</v>
      </c>
      <c r="BD10" s="60" t="n">
        <f aca="false">'📦 COGS &amp; OpEx'!BD6</f>
        <v>92237400</v>
      </c>
      <c r="BE10" s="60" t="n">
        <f aca="false">'📦 COGS &amp; OpEx'!BE6</f>
        <v>108054000</v>
      </c>
      <c r="BF10" s="60" t="n">
        <f aca="false">'📦 COGS &amp; OpEx'!BF6</f>
        <v>101946600</v>
      </c>
      <c r="BG10" s="60" t="n">
        <f aca="false">'📦 COGS &amp; OpEx'!BG6</f>
        <v>112752000</v>
      </c>
      <c r="BH10" s="60" t="n">
        <f aca="false">'📦 COGS &amp; OpEx'!BH6</f>
        <v>111655800</v>
      </c>
      <c r="BI10" s="60" t="n">
        <f aca="false">'📦 COGS &amp; OpEx'!BI6</f>
        <v>97092000</v>
      </c>
      <c r="BJ10" s="60" t="n">
        <f aca="false">'📦 COGS &amp; OpEx'!BJ6</f>
        <v>89262000</v>
      </c>
    </row>
    <row r="11" customFormat="false" ht="13.5" hidden="false" customHeight="true" outlineLevel="0" collapsed="false">
      <c r="A11" s="66" t="s">
        <v>258</v>
      </c>
      <c r="B11" s="67" t="n">
        <f aca="false">SUM(C11:BJ11)</f>
        <v>5492001150</v>
      </c>
      <c r="C11" s="67" t="n">
        <f aca="false">'📦 COGS &amp; OpEx'!C7</f>
        <v>0</v>
      </c>
      <c r="D11" s="67" t="n">
        <f aca="false">'📦 COGS &amp; OpEx'!D7</f>
        <v>0</v>
      </c>
      <c r="E11" s="67" t="n">
        <f aca="false">'📦 COGS &amp; OpEx'!E7</f>
        <v>35154000</v>
      </c>
      <c r="F11" s="67" t="n">
        <f aca="false">'📦 COGS &amp; OpEx'!F7</f>
        <v>33145200</v>
      </c>
      <c r="G11" s="67" t="n">
        <f aca="false">'📦 COGS &amp; OpEx'!G7</f>
        <v>36605250</v>
      </c>
      <c r="H11" s="67" t="n">
        <f aca="false">'📦 COGS &amp; OpEx'!H7</f>
        <v>43733250</v>
      </c>
      <c r="I11" s="67" t="n">
        <f aca="false">'📦 COGS &amp; OpEx'!I7</f>
        <v>76848750</v>
      </c>
      <c r="J11" s="67" t="n">
        <f aca="false">'📦 COGS &amp; OpEx'!J7</f>
        <v>72505125</v>
      </c>
      <c r="K11" s="67" t="n">
        <f aca="false">'📦 COGS &amp; OpEx'!K7</f>
        <v>85536000</v>
      </c>
      <c r="L11" s="67" t="n">
        <f aca="false">'📦 COGS &amp; OpEx'!L7</f>
        <v>95292450</v>
      </c>
      <c r="M11" s="67" t="n">
        <f aca="false">'📦 COGS &amp; OpEx'!M7</f>
        <v>82863000</v>
      </c>
      <c r="N11" s="67" t="n">
        <f aca="false">'📦 COGS &amp; OpEx'!N7</f>
        <v>80412750</v>
      </c>
      <c r="O11" s="67" t="n">
        <f aca="false">'📦 COGS &amp; OpEx'!O7</f>
        <v>83093175</v>
      </c>
      <c r="P11" s="67" t="n">
        <f aca="false">'📦 COGS &amp; OpEx'!P7</f>
        <v>93555000</v>
      </c>
      <c r="Q11" s="67" t="n">
        <f aca="false">'📦 COGS &amp; OpEx'!Q7</f>
        <v>110484000</v>
      </c>
      <c r="R11" s="67" t="n">
        <f aca="false">'📦 COGS &amp; OpEx'!R7</f>
        <v>100440000</v>
      </c>
      <c r="S11" s="67" t="n">
        <f aca="false">'📦 COGS &amp; OpEx'!S7</f>
        <v>77112000</v>
      </c>
      <c r="T11" s="67" t="n">
        <f aca="false">'📦 COGS &amp; OpEx'!T7</f>
        <v>95418000</v>
      </c>
      <c r="U11" s="67" t="n">
        <f aca="false">'📦 COGS &amp; OpEx'!U7</f>
        <v>111780000</v>
      </c>
      <c r="V11" s="67" t="n">
        <f aca="false">'📦 COGS &amp; OpEx'!V7</f>
        <v>105462000</v>
      </c>
      <c r="W11" s="67" t="n">
        <f aca="false">'📦 COGS &amp; OpEx'!W7</f>
        <v>116640000</v>
      </c>
      <c r="X11" s="67" t="n">
        <f aca="false">'📦 COGS &amp; OpEx'!X7</f>
        <v>115506000</v>
      </c>
      <c r="Y11" s="67" t="n">
        <f aca="false">'📦 COGS &amp; OpEx'!Y7</f>
        <v>100440000</v>
      </c>
      <c r="Z11" s="67" t="n">
        <f aca="false">'📦 COGS &amp; OpEx'!Z7</f>
        <v>92340000</v>
      </c>
      <c r="AA11" s="67" t="n">
        <f aca="false">'📦 COGS &amp; OpEx'!AA7</f>
        <v>95418000</v>
      </c>
      <c r="AB11" s="67" t="n">
        <f aca="false">'📦 COGS &amp; OpEx'!AB7</f>
        <v>102060000</v>
      </c>
      <c r="AC11" s="67" t="n">
        <f aca="false">'📦 COGS &amp; OpEx'!AC7</f>
        <v>120528000</v>
      </c>
      <c r="AD11" s="67" t="n">
        <f aca="false">'📦 COGS &amp; OpEx'!AD7</f>
        <v>116510400</v>
      </c>
      <c r="AE11" s="67" t="n">
        <f aca="false">'📦 COGS &amp; OpEx'!AE7</f>
        <v>74541600</v>
      </c>
      <c r="AF11" s="67" t="n">
        <f aca="false">'📦 COGS &amp; OpEx'!AF7</f>
        <v>92237400</v>
      </c>
      <c r="AG11" s="67" t="n">
        <f aca="false">'📦 COGS &amp; OpEx'!AG7</f>
        <v>108054000</v>
      </c>
      <c r="AH11" s="67" t="n">
        <f aca="false">'📦 COGS &amp; OpEx'!AH7</f>
        <v>101946600</v>
      </c>
      <c r="AI11" s="67" t="n">
        <f aca="false">'📦 COGS &amp; OpEx'!AI7</f>
        <v>112752000</v>
      </c>
      <c r="AJ11" s="67" t="n">
        <f aca="false">'📦 COGS &amp; OpEx'!AJ7</f>
        <v>111655800</v>
      </c>
      <c r="AK11" s="67" t="n">
        <f aca="false">'📦 COGS &amp; OpEx'!AK7</f>
        <v>97092000</v>
      </c>
      <c r="AL11" s="67" t="n">
        <f aca="false">'📦 COGS &amp; OpEx'!AL7</f>
        <v>89262000</v>
      </c>
      <c r="AM11" s="67" t="n">
        <f aca="false">'📦 COGS &amp; OpEx'!AM7</f>
        <v>92237400</v>
      </c>
      <c r="AN11" s="67" t="n">
        <f aca="false">'📦 COGS &amp; OpEx'!AN7</f>
        <v>98658000</v>
      </c>
      <c r="AO11" s="67" t="n">
        <f aca="false">'📦 COGS &amp; OpEx'!AO7</f>
        <v>116510400</v>
      </c>
      <c r="AP11" s="67" t="n">
        <f aca="false">'📦 COGS &amp; OpEx'!AP7</f>
        <v>116510400</v>
      </c>
      <c r="AQ11" s="67" t="n">
        <f aca="false">'📦 COGS &amp; OpEx'!AQ7</f>
        <v>74541600</v>
      </c>
      <c r="AR11" s="67" t="n">
        <f aca="false">'📦 COGS &amp; OpEx'!AR7</f>
        <v>92237400</v>
      </c>
      <c r="AS11" s="67" t="n">
        <f aca="false">'📦 COGS &amp; OpEx'!AS7</f>
        <v>108054000</v>
      </c>
      <c r="AT11" s="67" t="n">
        <f aca="false">'📦 COGS &amp; OpEx'!AT7</f>
        <v>101946600</v>
      </c>
      <c r="AU11" s="67" t="n">
        <f aca="false">'📦 COGS &amp; OpEx'!AU7</f>
        <v>112752000</v>
      </c>
      <c r="AV11" s="67" t="n">
        <f aca="false">'📦 COGS &amp; OpEx'!AV7</f>
        <v>111655800</v>
      </c>
      <c r="AW11" s="67" t="n">
        <f aca="false">'📦 COGS &amp; OpEx'!AW7</f>
        <v>97092000</v>
      </c>
      <c r="AX11" s="67" t="n">
        <f aca="false">'📦 COGS &amp; OpEx'!AX7</f>
        <v>89262000</v>
      </c>
      <c r="AY11" s="67" t="n">
        <f aca="false">'📦 COGS &amp; OpEx'!AY7</f>
        <v>92237400</v>
      </c>
      <c r="AZ11" s="67" t="n">
        <f aca="false">'📦 COGS &amp; OpEx'!AZ7</f>
        <v>98658000</v>
      </c>
      <c r="BA11" s="67" t="n">
        <f aca="false">'📦 COGS &amp; OpEx'!BA7</f>
        <v>116510400</v>
      </c>
      <c r="BB11" s="67" t="n">
        <f aca="false">'📦 COGS &amp; OpEx'!BB7</f>
        <v>116510400</v>
      </c>
      <c r="BC11" s="67" t="n">
        <f aca="false">'📦 COGS &amp; OpEx'!BC7</f>
        <v>77203800</v>
      </c>
      <c r="BD11" s="67" t="n">
        <f aca="false">'📦 COGS &amp; OpEx'!BD7</f>
        <v>92237400</v>
      </c>
      <c r="BE11" s="67" t="n">
        <f aca="false">'📦 COGS &amp; OpEx'!BE7</f>
        <v>108054000</v>
      </c>
      <c r="BF11" s="67" t="n">
        <f aca="false">'📦 COGS &amp; OpEx'!BF7</f>
        <v>101946600</v>
      </c>
      <c r="BG11" s="67" t="n">
        <f aca="false">'📦 COGS &amp; OpEx'!BG7</f>
        <v>112752000</v>
      </c>
      <c r="BH11" s="67" t="n">
        <f aca="false">'📦 COGS &amp; OpEx'!BH7</f>
        <v>111655800</v>
      </c>
      <c r="BI11" s="67" t="n">
        <f aca="false">'📦 COGS &amp; OpEx'!BI7</f>
        <v>97092000</v>
      </c>
      <c r="BJ11" s="67" t="n">
        <f aca="false">'📦 COGS &amp; OpEx'!BJ7</f>
        <v>89262000</v>
      </c>
    </row>
    <row r="12" customFormat="false" ht="13.5" hidden="false" customHeight="true" outlineLevel="0" collapsed="false">
      <c r="A12" s="66" t="s">
        <v>369</v>
      </c>
      <c r="B12" s="67" t="n">
        <f aca="false">SUM(C12:BJ12)</f>
        <v>17510142600</v>
      </c>
      <c r="C12" s="67" t="n">
        <f aca="false">C8-C11</f>
        <v>0</v>
      </c>
      <c r="D12" s="67" t="n">
        <f aca="false">D8-D11</f>
        <v>0</v>
      </c>
      <c r="E12" s="67" t="n">
        <f aca="false">E8-E11</f>
        <v>90396000</v>
      </c>
      <c r="F12" s="67" t="n">
        <f aca="false">F8-F11</f>
        <v>92404800</v>
      </c>
      <c r="G12" s="67" t="n">
        <f aca="false">G8-G11</f>
        <v>102051000</v>
      </c>
      <c r="H12" s="67" t="n">
        <f aca="false">H8-H11</f>
        <v>121923000</v>
      </c>
      <c r="I12" s="67" t="n">
        <f aca="false">I8-I11</f>
        <v>214245000</v>
      </c>
      <c r="J12" s="67" t="n">
        <f aca="false">J8-J11</f>
        <v>202135500</v>
      </c>
      <c r="K12" s="67" t="n">
        <f aca="false">K8-K11</f>
        <v>238464000</v>
      </c>
      <c r="L12" s="67" t="n">
        <f aca="false">L8-L11</f>
        <v>265663800</v>
      </c>
      <c r="M12" s="67" t="n">
        <f aca="false">M8-M11</f>
        <v>231012000</v>
      </c>
      <c r="N12" s="67" t="n">
        <f aca="false">N8-N11</f>
        <v>224181000</v>
      </c>
      <c r="O12" s="67" t="n">
        <f aca="false">O8-O11</f>
        <v>231653700</v>
      </c>
      <c r="P12" s="67" t="n">
        <f aca="false">P8-P11</f>
        <v>260820000</v>
      </c>
      <c r="Q12" s="67" t="n">
        <f aca="false">Q8-Q11</f>
        <v>308016000</v>
      </c>
      <c r="R12" s="67" t="n">
        <f aca="false">R8-R11</f>
        <v>318060000</v>
      </c>
      <c r="S12" s="67" t="n">
        <f aca="false">S8-S11</f>
        <v>244188000</v>
      </c>
      <c r="T12" s="67" t="n">
        <f aca="false">T8-T11</f>
        <v>302157000</v>
      </c>
      <c r="U12" s="67" t="n">
        <f aca="false">U8-U11</f>
        <v>353970000</v>
      </c>
      <c r="V12" s="67" t="n">
        <f aca="false">V8-V11</f>
        <v>333963000</v>
      </c>
      <c r="W12" s="67" t="n">
        <f aca="false">W8-W11</f>
        <v>369360000</v>
      </c>
      <c r="X12" s="67" t="n">
        <f aca="false">X8-X11</f>
        <v>365769000</v>
      </c>
      <c r="Y12" s="67" t="n">
        <f aca="false">Y8-Y11</f>
        <v>318060000</v>
      </c>
      <c r="Z12" s="67" t="n">
        <f aca="false">Z8-Z11</f>
        <v>292410000</v>
      </c>
      <c r="AA12" s="67" t="n">
        <f aca="false">AA8-AA11</f>
        <v>302157000</v>
      </c>
      <c r="AB12" s="67" t="n">
        <f aca="false">AB8-AB11</f>
        <v>323190000</v>
      </c>
      <c r="AC12" s="67" t="n">
        <f aca="false">AC8-AC11</f>
        <v>381672000</v>
      </c>
      <c r="AD12" s="67" t="n">
        <f aca="false">AD8-AD11</f>
        <v>385689600</v>
      </c>
      <c r="AE12" s="67" t="n">
        <f aca="false">AE8-AE11</f>
        <v>246758400</v>
      </c>
      <c r="AF12" s="67" t="n">
        <f aca="false">AF8-AF11</f>
        <v>305337600</v>
      </c>
      <c r="AG12" s="67" t="n">
        <f aca="false">AG8-AG11</f>
        <v>357696000</v>
      </c>
      <c r="AH12" s="67" t="n">
        <f aca="false">AH8-AH11</f>
        <v>337478400</v>
      </c>
      <c r="AI12" s="67" t="n">
        <f aca="false">AI8-AI11</f>
        <v>373248000</v>
      </c>
      <c r="AJ12" s="67" t="n">
        <f aca="false">AJ8-AJ11</f>
        <v>369619200</v>
      </c>
      <c r="AK12" s="67" t="n">
        <f aca="false">AK8-AK11</f>
        <v>321408000</v>
      </c>
      <c r="AL12" s="67" t="n">
        <f aca="false">AL8-AL11</f>
        <v>295488000</v>
      </c>
      <c r="AM12" s="67" t="n">
        <f aca="false">AM8-AM11</f>
        <v>305337600</v>
      </c>
      <c r="AN12" s="67" t="n">
        <f aca="false">AN8-AN11</f>
        <v>326592000</v>
      </c>
      <c r="AO12" s="67" t="n">
        <f aca="false">AO8-AO11</f>
        <v>385689600</v>
      </c>
      <c r="AP12" s="67" t="n">
        <f aca="false">AP8-AP11</f>
        <v>385689600</v>
      </c>
      <c r="AQ12" s="67" t="n">
        <f aca="false">AQ8-AQ11</f>
        <v>246758400</v>
      </c>
      <c r="AR12" s="67" t="n">
        <f aca="false">AR8-AR11</f>
        <v>305337600</v>
      </c>
      <c r="AS12" s="67" t="n">
        <f aca="false">AS8-AS11</f>
        <v>357696000</v>
      </c>
      <c r="AT12" s="67" t="n">
        <f aca="false">AT8-AT11</f>
        <v>337478400</v>
      </c>
      <c r="AU12" s="67" t="n">
        <f aca="false">AU8-AU11</f>
        <v>373248000</v>
      </c>
      <c r="AV12" s="67" t="n">
        <f aca="false">AV8-AV11</f>
        <v>369619200</v>
      </c>
      <c r="AW12" s="67" t="n">
        <f aca="false">AW8-AW11</f>
        <v>321408000</v>
      </c>
      <c r="AX12" s="67" t="n">
        <f aca="false">AX8-AX11</f>
        <v>295488000</v>
      </c>
      <c r="AY12" s="67" t="n">
        <f aca="false">AY8-AY11</f>
        <v>305337600</v>
      </c>
      <c r="AZ12" s="67" t="n">
        <f aca="false">AZ8-AZ11</f>
        <v>326592000</v>
      </c>
      <c r="BA12" s="67" t="n">
        <f aca="false">BA8-BA11</f>
        <v>385689600</v>
      </c>
      <c r="BB12" s="67" t="n">
        <f aca="false">BB8-BB11</f>
        <v>385689600</v>
      </c>
      <c r="BC12" s="67" t="n">
        <f aca="false">BC8-BC11</f>
        <v>255571200</v>
      </c>
      <c r="BD12" s="67" t="n">
        <f aca="false">BD8-BD11</f>
        <v>305337600</v>
      </c>
      <c r="BE12" s="67" t="n">
        <f aca="false">BE8-BE11</f>
        <v>357696000</v>
      </c>
      <c r="BF12" s="67" t="n">
        <f aca="false">BF8-BF11</f>
        <v>337478400</v>
      </c>
      <c r="BG12" s="67" t="n">
        <f aca="false">BG8-BG11</f>
        <v>373248000</v>
      </c>
      <c r="BH12" s="67" t="n">
        <f aca="false">BH8-BH11</f>
        <v>369619200</v>
      </c>
      <c r="BI12" s="67" t="n">
        <f aca="false">BI8-BI11</f>
        <v>321408000</v>
      </c>
      <c r="BJ12" s="67" t="n">
        <f aca="false">BJ8-BJ11</f>
        <v>295488000</v>
      </c>
    </row>
    <row r="13" customFormat="false" ht="13.5" hidden="false" customHeight="true" outlineLevel="0" collapsed="false">
      <c r="A13" s="37" t="s">
        <v>370</v>
      </c>
      <c r="B13" s="82" t="n">
        <f aca="false">AVERAGE(C13:BJ13)</f>
        <v>0.758896551724138</v>
      </c>
      <c r="C13" s="82" t="str">
        <f aca="false">IFERROR(C12/C8,"-")</f>
        <v>-</v>
      </c>
      <c r="D13" s="82" t="str">
        <f aca="false">IFERROR(D12/D8,"-")</f>
        <v>-</v>
      </c>
      <c r="E13" s="82" t="n">
        <f aca="false">IFERROR(E12/E8,"-")</f>
        <v>0.72</v>
      </c>
      <c r="F13" s="82" t="n">
        <f aca="false">IFERROR(F12/F8,"-")</f>
        <v>0.736</v>
      </c>
      <c r="G13" s="82" t="n">
        <f aca="false">IFERROR(G12/G8,"-")</f>
        <v>0.736</v>
      </c>
      <c r="H13" s="82" t="n">
        <f aca="false">IFERROR(H12/H8,"-")</f>
        <v>0.736</v>
      </c>
      <c r="I13" s="82" t="n">
        <f aca="false">IFERROR(I12/I8,"-")</f>
        <v>0.736</v>
      </c>
      <c r="J13" s="82" t="n">
        <f aca="false">IFERROR(J12/J8,"-")</f>
        <v>0.736</v>
      </c>
      <c r="K13" s="82" t="n">
        <f aca="false">IFERROR(K12/K8,"-")</f>
        <v>0.736</v>
      </c>
      <c r="L13" s="82" t="n">
        <f aca="false">IFERROR(L12/L8,"-")</f>
        <v>0.736</v>
      </c>
      <c r="M13" s="82" t="n">
        <f aca="false">IFERROR(M12/M8,"-")</f>
        <v>0.736</v>
      </c>
      <c r="N13" s="82" t="n">
        <f aca="false">IFERROR(N12/N8,"-")</f>
        <v>0.736</v>
      </c>
      <c r="O13" s="82" t="n">
        <f aca="false">IFERROR(O12/O8,"-")</f>
        <v>0.736</v>
      </c>
      <c r="P13" s="82" t="n">
        <f aca="false">IFERROR(P12/P8,"-")</f>
        <v>0.736</v>
      </c>
      <c r="Q13" s="82" t="n">
        <f aca="false">IFERROR(Q12/Q8,"-")</f>
        <v>0.736</v>
      </c>
      <c r="R13" s="82" t="n">
        <f aca="false">IFERROR(R12/R8,"-")</f>
        <v>0.76</v>
      </c>
      <c r="S13" s="82" t="n">
        <f aca="false">IFERROR(S12/S8,"-")</f>
        <v>0.76</v>
      </c>
      <c r="T13" s="82" t="n">
        <f aca="false">IFERROR(T12/T8,"-")</f>
        <v>0.76</v>
      </c>
      <c r="U13" s="82" t="n">
        <f aca="false">IFERROR(U12/U8,"-")</f>
        <v>0.76</v>
      </c>
      <c r="V13" s="82" t="n">
        <f aca="false">IFERROR(V12/V8,"-")</f>
        <v>0.76</v>
      </c>
      <c r="W13" s="82" t="n">
        <f aca="false">IFERROR(W12/W8,"-")</f>
        <v>0.76</v>
      </c>
      <c r="X13" s="82" t="n">
        <f aca="false">IFERROR(X12/X8,"-")</f>
        <v>0.76</v>
      </c>
      <c r="Y13" s="82" t="n">
        <f aca="false">IFERROR(Y12/Y8,"-")</f>
        <v>0.76</v>
      </c>
      <c r="Z13" s="82" t="n">
        <f aca="false">IFERROR(Z12/Z8,"-")</f>
        <v>0.76</v>
      </c>
      <c r="AA13" s="82" t="n">
        <f aca="false">IFERROR(AA12/AA8,"-")</f>
        <v>0.76</v>
      </c>
      <c r="AB13" s="82" t="n">
        <f aca="false">IFERROR(AB12/AB8,"-")</f>
        <v>0.76</v>
      </c>
      <c r="AC13" s="82" t="n">
        <f aca="false">IFERROR(AC12/AC8,"-")</f>
        <v>0.76</v>
      </c>
      <c r="AD13" s="82" t="n">
        <f aca="false">IFERROR(AD12/AD8,"-")</f>
        <v>0.768</v>
      </c>
      <c r="AE13" s="82" t="n">
        <f aca="false">IFERROR(AE12/AE8,"-")</f>
        <v>0.768</v>
      </c>
      <c r="AF13" s="82" t="n">
        <f aca="false">IFERROR(AF12/AF8,"-")</f>
        <v>0.768</v>
      </c>
      <c r="AG13" s="82" t="n">
        <f aca="false">IFERROR(AG12/AG8,"-")</f>
        <v>0.768</v>
      </c>
      <c r="AH13" s="82" t="n">
        <f aca="false">IFERROR(AH12/AH8,"-")</f>
        <v>0.768</v>
      </c>
      <c r="AI13" s="82" t="n">
        <f aca="false">IFERROR(AI12/AI8,"-")</f>
        <v>0.768</v>
      </c>
      <c r="AJ13" s="82" t="n">
        <f aca="false">IFERROR(AJ12/AJ8,"-")</f>
        <v>0.768</v>
      </c>
      <c r="AK13" s="82" t="n">
        <f aca="false">IFERROR(AK12/AK8,"-")</f>
        <v>0.768</v>
      </c>
      <c r="AL13" s="82" t="n">
        <f aca="false">IFERROR(AL12/AL8,"-")</f>
        <v>0.768</v>
      </c>
      <c r="AM13" s="82" t="n">
        <f aca="false">IFERROR(AM12/AM8,"-")</f>
        <v>0.768</v>
      </c>
      <c r="AN13" s="82" t="n">
        <f aca="false">IFERROR(AN12/AN8,"-")</f>
        <v>0.768</v>
      </c>
      <c r="AO13" s="82" t="n">
        <f aca="false">IFERROR(AO12/AO8,"-")</f>
        <v>0.768</v>
      </c>
      <c r="AP13" s="82" t="n">
        <f aca="false">IFERROR(AP12/AP8,"-")</f>
        <v>0.768</v>
      </c>
      <c r="AQ13" s="82" t="n">
        <f aca="false">IFERROR(AQ12/AQ8,"-")</f>
        <v>0.768</v>
      </c>
      <c r="AR13" s="82" t="n">
        <f aca="false">IFERROR(AR12/AR8,"-")</f>
        <v>0.768</v>
      </c>
      <c r="AS13" s="82" t="n">
        <f aca="false">IFERROR(AS12/AS8,"-")</f>
        <v>0.768</v>
      </c>
      <c r="AT13" s="82" t="n">
        <f aca="false">IFERROR(AT12/AT8,"-")</f>
        <v>0.768</v>
      </c>
      <c r="AU13" s="82" t="n">
        <f aca="false">IFERROR(AU12/AU8,"-")</f>
        <v>0.768</v>
      </c>
      <c r="AV13" s="82" t="n">
        <f aca="false">IFERROR(AV12/AV8,"-")</f>
        <v>0.768</v>
      </c>
      <c r="AW13" s="82" t="n">
        <f aca="false">IFERROR(AW12/AW8,"-")</f>
        <v>0.768</v>
      </c>
      <c r="AX13" s="82" t="n">
        <f aca="false">IFERROR(AX12/AX8,"-")</f>
        <v>0.768</v>
      </c>
      <c r="AY13" s="82" t="n">
        <f aca="false">IFERROR(AY12/AY8,"-")</f>
        <v>0.768</v>
      </c>
      <c r="AZ13" s="82" t="n">
        <f aca="false">IFERROR(AZ12/AZ8,"-")</f>
        <v>0.768</v>
      </c>
      <c r="BA13" s="82" t="n">
        <f aca="false">IFERROR(BA12/BA8,"-")</f>
        <v>0.768</v>
      </c>
      <c r="BB13" s="82" t="n">
        <f aca="false">IFERROR(BB12/BB8,"-")</f>
        <v>0.768</v>
      </c>
      <c r="BC13" s="82" t="n">
        <f aca="false">IFERROR(BC12/BC8,"-")</f>
        <v>0.768</v>
      </c>
      <c r="BD13" s="82" t="n">
        <f aca="false">IFERROR(BD12/BD8,"-")</f>
        <v>0.768</v>
      </c>
      <c r="BE13" s="82" t="n">
        <f aca="false">IFERROR(BE12/BE8,"-")</f>
        <v>0.768</v>
      </c>
      <c r="BF13" s="82" t="n">
        <f aca="false">IFERROR(BF12/BF8,"-")</f>
        <v>0.768</v>
      </c>
      <c r="BG13" s="82" t="n">
        <f aca="false">IFERROR(BG12/BG8,"-")</f>
        <v>0.768</v>
      </c>
      <c r="BH13" s="82" t="n">
        <f aca="false">IFERROR(BH12/BH8,"-")</f>
        <v>0.768</v>
      </c>
      <c r="BI13" s="82" t="n">
        <f aca="false">IFERROR(BI12/BI8,"-")</f>
        <v>0.768</v>
      </c>
      <c r="BJ13" s="82" t="n">
        <f aca="false">IFERROR(BJ12/BJ8,"-")</f>
        <v>0.768</v>
      </c>
    </row>
    <row r="14" customFormat="false" ht="13.5" hidden="false" customHeight="true" outlineLevel="0" collapsed="false">
      <c r="A14" s="59" t="s">
        <v>371</v>
      </c>
      <c r="B14" s="59"/>
      <c r="C14" s="59"/>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row>
    <row r="15" customFormat="false" ht="13.5" hidden="false" customHeight="true" outlineLevel="0" collapsed="false">
      <c r="A15" s="37" t="s">
        <v>372</v>
      </c>
      <c r="B15" s="68" t="n">
        <f aca="false">SUM(C15:BJ15)</f>
        <v>3392500000</v>
      </c>
      <c r="C15" s="68" t="n">
        <f aca="false">'📦 COGS &amp; OpEx'!D8</f>
        <v>0</v>
      </c>
      <c r="D15" s="68" t="n">
        <f aca="false">'📦 COGS &amp; OpEx'!D9</f>
        <v>57500000</v>
      </c>
      <c r="E15" s="68" t="n">
        <f aca="false">'📦 COGS &amp; OpEx'!E9</f>
        <v>57500000</v>
      </c>
      <c r="F15" s="68" t="n">
        <f aca="false">'📦 COGS &amp; OpEx'!F9</f>
        <v>57500000</v>
      </c>
      <c r="G15" s="68" t="n">
        <f aca="false">'📦 COGS &amp; OpEx'!G9</f>
        <v>57500000</v>
      </c>
      <c r="H15" s="68" t="n">
        <f aca="false">'📦 COGS &amp; OpEx'!H9</f>
        <v>57500000</v>
      </c>
      <c r="I15" s="68" t="n">
        <f aca="false">'📦 COGS &amp; OpEx'!I9</f>
        <v>57500000</v>
      </c>
      <c r="J15" s="68" t="n">
        <f aca="false">'📦 COGS &amp; OpEx'!J9</f>
        <v>57500000</v>
      </c>
      <c r="K15" s="68" t="n">
        <f aca="false">'📦 COGS &amp; OpEx'!K9</f>
        <v>57500000</v>
      </c>
      <c r="L15" s="68" t="n">
        <f aca="false">'📦 COGS &amp; OpEx'!L9</f>
        <v>57500000</v>
      </c>
      <c r="M15" s="68" t="n">
        <f aca="false">'📦 COGS &amp; OpEx'!M9</f>
        <v>57500000</v>
      </c>
      <c r="N15" s="68" t="n">
        <f aca="false">'📦 COGS &amp; OpEx'!N9</f>
        <v>57500000</v>
      </c>
      <c r="O15" s="68" t="n">
        <f aca="false">'📦 COGS &amp; OpEx'!O9</f>
        <v>57500000</v>
      </c>
      <c r="P15" s="68" t="n">
        <f aca="false">'📦 COGS &amp; OpEx'!P9</f>
        <v>57500000</v>
      </c>
      <c r="Q15" s="68" t="n">
        <f aca="false">'📦 COGS &amp; OpEx'!Q9</f>
        <v>57500000</v>
      </c>
      <c r="R15" s="68" t="n">
        <f aca="false">'📦 COGS &amp; OpEx'!R9</f>
        <v>57500000</v>
      </c>
      <c r="S15" s="68" t="n">
        <f aca="false">'📦 COGS &amp; OpEx'!S9</f>
        <v>57500000</v>
      </c>
      <c r="T15" s="68" t="n">
        <f aca="false">'📦 COGS &amp; OpEx'!T9</f>
        <v>57500000</v>
      </c>
      <c r="U15" s="68" t="n">
        <f aca="false">'📦 COGS &amp; OpEx'!U9</f>
        <v>57500000</v>
      </c>
      <c r="V15" s="68" t="n">
        <f aca="false">'📦 COGS &amp; OpEx'!V9</f>
        <v>57500000</v>
      </c>
      <c r="W15" s="68" t="n">
        <f aca="false">'📦 COGS &amp; OpEx'!W9</f>
        <v>57500000</v>
      </c>
      <c r="X15" s="68" t="n">
        <f aca="false">'📦 COGS &amp; OpEx'!X9</f>
        <v>57500000</v>
      </c>
      <c r="Y15" s="68" t="n">
        <f aca="false">'📦 COGS &amp; OpEx'!Y9</f>
        <v>57500000</v>
      </c>
      <c r="Z15" s="68" t="n">
        <f aca="false">'📦 COGS &amp; OpEx'!Z9</f>
        <v>57500000</v>
      </c>
      <c r="AA15" s="68" t="n">
        <f aca="false">'📦 COGS &amp; OpEx'!AA9</f>
        <v>57500000</v>
      </c>
      <c r="AB15" s="68" t="n">
        <f aca="false">'📦 COGS &amp; OpEx'!AB9</f>
        <v>57500000</v>
      </c>
      <c r="AC15" s="68" t="n">
        <f aca="false">'📦 COGS &amp; OpEx'!AC9</f>
        <v>57500000</v>
      </c>
      <c r="AD15" s="68" t="n">
        <f aca="false">'📦 COGS &amp; OpEx'!AD9</f>
        <v>57500000</v>
      </c>
      <c r="AE15" s="68" t="n">
        <f aca="false">'📦 COGS &amp; OpEx'!AE9</f>
        <v>57500000</v>
      </c>
      <c r="AF15" s="68" t="n">
        <f aca="false">'📦 COGS &amp; OpEx'!AF9</f>
        <v>57500000</v>
      </c>
      <c r="AG15" s="68" t="n">
        <f aca="false">'📦 COGS &amp; OpEx'!AG9</f>
        <v>57500000</v>
      </c>
      <c r="AH15" s="68" t="n">
        <f aca="false">'📦 COGS &amp; OpEx'!AH9</f>
        <v>57500000</v>
      </c>
      <c r="AI15" s="68" t="n">
        <f aca="false">'📦 COGS &amp; OpEx'!AI9</f>
        <v>57500000</v>
      </c>
      <c r="AJ15" s="68" t="n">
        <f aca="false">'📦 COGS &amp; OpEx'!AJ9</f>
        <v>57500000</v>
      </c>
      <c r="AK15" s="68" t="n">
        <f aca="false">'📦 COGS &amp; OpEx'!AK9</f>
        <v>57500000</v>
      </c>
      <c r="AL15" s="68" t="n">
        <f aca="false">'📦 COGS &amp; OpEx'!AL9</f>
        <v>57500000</v>
      </c>
      <c r="AM15" s="68" t="n">
        <f aca="false">'📦 COGS &amp; OpEx'!AM9</f>
        <v>57500000</v>
      </c>
      <c r="AN15" s="68" t="n">
        <f aca="false">'📦 COGS &amp; OpEx'!AN9</f>
        <v>57500000</v>
      </c>
      <c r="AO15" s="68" t="n">
        <f aca="false">'📦 COGS &amp; OpEx'!AO9</f>
        <v>57500000</v>
      </c>
      <c r="AP15" s="68" t="n">
        <f aca="false">'📦 COGS &amp; OpEx'!AP9</f>
        <v>57500000</v>
      </c>
      <c r="AQ15" s="68" t="n">
        <f aca="false">'📦 COGS &amp; OpEx'!AQ9</f>
        <v>57500000</v>
      </c>
      <c r="AR15" s="68" t="n">
        <f aca="false">'📦 COGS &amp; OpEx'!AR9</f>
        <v>57500000</v>
      </c>
      <c r="AS15" s="68" t="n">
        <f aca="false">'📦 COGS &amp; OpEx'!AS9</f>
        <v>57500000</v>
      </c>
      <c r="AT15" s="68" t="n">
        <f aca="false">'📦 COGS &amp; OpEx'!AT9</f>
        <v>57500000</v>
      </c>
      <c r="AU15" s="68" t="n">
        <f aca="false">'📦 COGS &amp; OpEx'!AU9</f>
        <v>57500000</v>
      </c>
      <c r="AV15" s="68" t="n">
        <f aca="false">'📦 COGS &amp; OpEx'!AV9</f>
        <v>57500000</v>
      </c>
      <c r="AW15" s="68" t="n">
        <f aca="false">'📦 COGS &amp; OpEx'!AW9</f>
        <v>57500000</v>
      </c>
      <c r="AX15" s="68" t="n">
        <f aca="false">'📦 COGS &amp; OpEx'!AX9</f>
        <v>57500000</v>
      </c>
      <c r="AY15" s="68" t="n">
        <f aca="false">'📦 COGS &amp; OpEx'!AY9</f>
        <v>57500000</v>
      </c>
      <c r="AZ15" s="68" t="n">
        <f aca="false">'📦 COGS &amp; OpEx'!AZ9</f>
        <v>57500000</v>
      </c>
      <c r="BA15" s="68" t="n">
        <f aca="false">'📦 COGS &amp; OpEx'!BA9</f>
        <v>57500000</v>
      </c>
      <c r="BB15" s="68" t="n">
        <f aca="false">'📦 COGS &amp; OpEx'!BB9</f>
        <v>57500000</v>
      </c>
      <c r="BC15" s="68" t="n">
        <f aca="false">'📦 COGS &amp; OpEx'!BC9</f>
        <v>57500000</v>
      </c>
      <c r="BD15" s="68" t="n">
        <f aca="false">'📦 COGS &amp; OpEx'!BD9</f>
        <v>57500000</v>
      </c>
      <c r="BE15" s="68" t="n">
        <f aca="false">'📦 COGS &amp; OpEx'!BE9</f>
        <v>57500000</v>
      </c>
      <c r="BF15" s="68" t="n">
        <f aca="false">'📦 COGS &amp; OpEx'!BF9</f>
        <v>57500000</v>
      </c>
      <c r="BG15" s="68" t="n">
        <f aca="false">'📦 COGS &amp; OpEx'!BG9</f>
        <v>57500000</v>
      </c>
      <c r="BH15" s="68" t="n">
        <f aca="false">'📦 COGS &amp; OpEx'!BH9</f>
        <v>57500000</v>
      </c>
      <c r="BI15" s="68" t="n">
        <f aca="false">'📦 COGS &amp; OpEx'!BI9</f>
        <v>57500000</v>
      </c>
      <c r="BJ15" s="68" t="n">
        <f aca="false">'📦 COGS &amp; OpEx'!BJ9</f>
        <v>57500000</v>
      </c>
    </row>
    <row r="16" customFormat="false" ht="13.5" hidden="false" customHeight="true" outlineLevel="0" collapsed="false">
      <c r="A16" s="38" t="s">
        <v>373</v>
      </c>
      <c r="B16" s="68" t="n">
        <f aca="false">SUM(C16:BJ16)</f>
        <v>2217772000</v>
      </c>
      <c r="C16" s="60" t="n">
        <f aca="false">'📦 COGS &amp; OpEx'!C17</f>
        <v>0</v>
      </c>
      <c r="D16" s="60" t="n">
        <f aca="false">'📦 COGS &amp; OpEx'!D17</f>
        <v>0</v>
      </c>
      <c r="E16" s="60" t="n">
        <f aca="false">'📦 COGS &amp; OpEx'!E17</f>
        <v>28276000</v>
      </c>
      <c r="F16" s="60" t="n">
        <f aca="false">'📦 COGS &amp; OpEx'!F17</f>
        <v>28276000</v>
      </c>
      <c r="G16" s="60" t="n">
        <f aca="false">'📦 COGS &amp; OpEx'!G17</f>
        <v>27484000</v>
      </c>
      <c r="H16" s="60" t="n">
        <f aca="false">'📦 COGS &amp; OpEx'!H17</f>
        <v>28276000</v>
      </c>
      <c r="I16" s="60" t="n">
        <f aca="false">'📦 COGS &amp; OpEx'!I17</f>
        <v>33820000</v>
      </c>
      <c r="J16" s="60" t="n">
        <f aca="false">'📦 COGS &amp; OpEx'!J17</f>
        <v>34414000</v>
      </c>
      <c r="K16" s="60" t="n">
        <f aca="false">'📦 COGS &amp; OpEx'!K17</f>
        <v>33820000</v>
      </c>
      <c r="L16" s="60" t="n">
        <f aca="false">'📦 COGS &amp; OpEx'!L17</f>
        <v>34414000</v>
      </c>
      <c r="M16" s="60" t="n">
        <f aca="false">'📦 COGS &amp; OpEx'!M17</f>
        <v>34414000</v>
      </c>
      <c r="N16" s="60" t="n">
        <f aca="false">'📦 COGS &amp; OpEx'!N17</f>
        <v>33820000</v>
      </c>
      <c r="O16" s="60" t="n">
        <f aca="false">'📦 COGS &amp; OpEx'!O17</f>
        <v>34414000</v>
      </c>
      <c r="P16" s="60" t="n">
        <f aca="false">'📦 COGS &amp; OpEx'!P17</f>
        <v>33820000</v>
      </c>
      <c r="Q16" s="60" t="n">
        <f aca="false">'📦 COGS &amp; OpEx'!Q17</f>
        <v>34414000</v>
      </c>
      <c r="R16" s="60" t="n">
        <f aca="false">'📦 COGS &amp; OpEx'!R17</f>
        <v>34414000</v>
      </c>
      <c r="S16" s="60" t="n">
        <f aca="false">'📦 COGS &amp; OpEx'!S17</f>
        <v>38176000</v>
      </c>
      <c r="T16" s="60" t="n">
        <f aca="false">'📦 COGS &amp; OpEx'!T17</f>
        <v>40552000</v>
      </c>
      <c r="U16" s="60" t="n">
        <f aca="false">'📦 COGS &amp; OpEx'!U17</f>
        <v>39760000</v>
      </c>
      <c r="V16" s="60" t="n">
        <f aca="false">'📦 COGS &amp; OpEx'!V17</f>
        <v>40552000</v>
      </c>
      <c r="W16" s="60" t="n">
        <f aca="false">'📦 COGS &amp; OpEx'!W17</f>
        <v>39760000</v>
      </c>
      <c r="X16" s="60" t="n">
        <f aca="false">'📦 COGS &amp; OpEx'!X17</f>
        <v>40552000</v>
      </c>
      <c r="Y16" s="60" t="n">
        <f aca="false">'📦 COGS &amp; OpEx'!Y17</f>
        <v>40552000</v>
      </c>
      <c r="Z16" s="60" t="n">
        <f aca="false">'📦 COGS &amp; OpEx'!Z17</f>
        <v>39760000</v>
      </c>
      <c r="AA16" s="60" t="n">
        <f aca="false">'📦 COGS &amp; OpEx'!AA17</f>
        <v>40552000</v>
      </c>
      <c r="AB16" s="60" t="n">
        <f aca="false">'📦 COGS &amp; OpEx'!AB17</f>
        <v>39760000</v>
      </c>
      <c r="AC16" s="60" t="n">
        <f aca="false">'📦 COGS &amp; OpEx'!AC17</f>
        <v>40552000</v>
      </c>
      <c r="AD16" s="60" t="n">
        <f aca="false">'📦 COGS &amp; OpEx'!AD17</f>
        <v>40552000</v>
      </c>
      <c r="AE16" s="60" t="n">
        <f aca="false">'📦 COGS &amp; OpEx'!AE17</f>
        <v>38176000</v>
      </c>
      <c r="AF16" s="60" t="n">
        <f aca="false">'📦 COGS &amp; OpEx'!AF17</f>
        <v>40552000</v>
      </c>
      <c r="AG16" s="60" t="n">
        <f aca="false">'📦 COGS &amp; OpEx'!AG17</f>
        <v>39760000</v>
      </c>
      <c r="AH16" s="60" t="n">
        <f aca="false">'📦 COGS &amp; OpEx'!AH17</f>
        <v>40552000</v>
      </c>
      <c r="AI16" s="60" t="n">
        <f aca="false">'📦 COGS &amp; OpEx'!AI17</f>
        <v>39760000</v>
      </c>
      <c r="AJ16" s="60" t="n">
        <f aca="false">'📦 COGS &amp; OpEx'!AJ17</f>
        <v>40552000</v>
      </c>
      <c r="AK16" s="60" t="n">
        <f aca="false">'📦 COGS &amp; OpEx'!AK17</f>
        <v>40552000</v>
      </c>
      <c r="AL16" s="60" t="n">
        <f aca="false">'📦 COGS &amp; OpEx'!AL17</f>
        <v>39760000</v>
      </c>
      <c r="AM16" s="60" t="n">
        <f aca="false">'📦 COGS &amp; OpEx'!AM17</f>
        <v>40552000</v>
      </c>
      <c r="AN16" s="60" t="n">
        <f aca="false">'📦 COGS &amp; OpEx'!AN17</f>
        <v>39760000</v>
      </c>
      <c r="AO16" s="60" t="n">
        <f aca="false">'📦 COGS &amp; OpEx'!AO17</f>
        <v>40552000</v>
      </c>
      <c r="AP16" s="60" t="n">
        <f aca="false">'📦 COGS &amp; OpEx'!AP17</f>
        <v>40552000</v>
      </c>
      <c r="AQ16" s="60" t="n">
        <f aca="false">'📦 COGS &amp; OpEx'!AQ17</f>
        <v>38176000</v>
      </c>
      <c r="AR16" s="60" t="n">
        <f aca="false">'📦 COGS &amp; OpEx'!AR17</f>
        <v>40552000</v>
      </c>
      <c r="AS16" s="60" t="n">
        <f aca="false">'📦 COGS &amp; OpEx'!AS17</f>
        <v>39760000</v>
      </c>
      <c r="AT16" s="60" t="n">
        <f aca="false">'📦 COGS &amp; OpEx'!AT17</f>
        <v>40552000</v>
      </c>
      <c r="AU16" s="60" t="n">
        <f aca="false">'📦 COGS &amp; OpEx'!AU17</f>
        <v>39760000</v>
      </c>
      <c r="AV16" s="60" t="n">
        <f aca="false">'📦 COGS &amp; OpEx'!AV17</f>
        <v>40552000</v>
      </c>
      <c r="AW16" s="60" t="n">
        <f aca="false">'📦 COGS &amp; OpEx'!AW17</f>
        <v>40552000</v>
      </c>
      <c r="AX16" s="60" t="n">
        <f aca="false">'📦 COGS &amp; OpEx'!AX17</f>
        <v>39760000</v>
      </c>
      <c r="AY16" s="60" t="n">
        <f aca="false">'📦 COGS &amp; OpEx'!AY17</f>
        <v>40552000</v>
      </c>
      <c r="AZ16" s="60" t="n">
        <f aca="false">'📦 COGS &amp; OpEx'!AZ17</f>
        <v>39760000</v>
      </c>
      <c r="BA16" s="60" t="n">
        <f aca="false">'📦 COGS &amp; OpEx'!BA17</f>
        <v>40552000</v>
      </c>
      <c r="BB16" s="60" t="n">
        <f aca="false">'📦 COGS &amp; OpEx'!BB17</f>
        <v>40552000</v>
      </c>
      <c r="BC16" s="60" t="n">
        <f aca="false">'📦 COGS &amp; OpEx'!BC17</f>
        <v>38968000</v>
      </c>
      <c r="BD16" s="60" t="n">
        <f aca="false">'📦 COGS &amp; OpEx'!BD17</f>
        <v>40552000</v>
      </c>
      <c r="BE16" s="60" t="n">
        <f aca="false">'📦 COGS &amp; OpEx'!BE17</f>
        <v>39760000</v>
      </c>
      <c r="BF16" s="60" t="n">
        <f aca="false">'📦 COGS &amp; OpEx'!BF17</f>
        <v>40552000</v>
      </c>
      <c r="BG16" s="60" t="n">
        <f aca="false">'📦 COGS &amp; OpEx'!BG17</f>
        <v>39760000</v>
      </c>
      <c r="BH16" s="60" t="n">
        <f aca="false">'📦 COGS &amp; OpEx'!BH17</f>
        <v>40552000</v>
      </c>
      <c r="BI16" s="60" t="n">
        <f aca="false">'📦 COGS &amp; OpEx'!BI17</f>
        <v>40552000</v>
      </c>
      <c r="BJ16" s="60" t="n">
        <f aca="false">'📦 COGS &amp; OpEx'!BJ17</f>
        <v>39760000</v>
      </c>
    </row>
    <row r="17" customFormat="false" ht="13.5" hidden="false" customHeight="true" outlineLevel="0" collapsed="false">
      <c r="A17" s="37" t="s">
        <v>374</v>
      </c>
      <c r="B17" s="68" t="n">
        <f aca="false">SUM(C17:BJ17)</f>
        <v>1478578973.75</v>
      </c>
      <c r="C17" s="68" t="n">
        <f aca="false">'📦 COGS &amp; OpEx'!D9</f>
        <v>57500000</v>
      </c>
      <c r="D17" s="68" t="n">
        <f aca="false">'📦 COGS &amp; OpEx'!D10</f>
        <v>0</v>
      </c>
      <c r="E17" s="68" t="n">
        <f aca="false">'📦 COGS &amp; OpEx'!E10</f>
        <v>6403050</v>
      </c>
      <c r="F17" s="68" t="n">
        <f aca="false">'📦 COGS &amp; OpEx'!F10</f>
        <v>6403050</v>
      </c>
      <c r="G17" s="68" t="n">
        <f aca="false">'📦 COGS &amp; OpEx'!G10</f>
        <v>7626093.75</v>
      </c>
      <c r="H17" s="68" t="n">
        <f aca="false">'📦 COGS &amp; OpEx'!H10</f>
        <v>9111093.75</v>
      </c>
      <c r="I17" s="68" t="n">
        <f aca="false">'📦 COGS &amp; OpEx'!I10</f>
        <v>16010156.25</v>
      </c>
      <c r="J17" s="68" t="n">
        <f aca="false">'📦 COGS &amp; OpEx'!J10</f>
        <v>15105234.375</v>
      </c>
      <c r="K17" s="68" t="n">
        <f aca="false">'📦 COGS &amp; OpEx'!K10</f>
        <v>24300000</v>
      </c>
      <c r="L17" s="68" t="n">
        <f aca="false">'📦 COGS &amp; OpEx'!L10</f>
        <v>27071718.75</v>
      </c>
      <c r="M17" s="68" t="n">
        <f aca="false">'📦 COGS &amp; OpEx'!M10</f>
        <v>23540625</v>
      </c>
      <c r="N17" s="68" t="n">
        <f aca="false">'📦 COGS &amp; OpEx'!N10</f>
        <v>22844531.25</v>
      </c>
      <c r="O17" s="68" t="n">
        <f aca="false">'📦 COGS &amp; OpEx'!O10</f>
        <v>23606015.625</v>
      </c>
      <c r="P17" s="68" t="n">
        <f aca="false">'📦 COGS &amp; OpEx'!P10</f>
        <v>18073125</v>
      </c>
      <c r="Q17" s="68" t="n">
        <f aca="false">'📦 COGS &amp; OpEx'!Q10</f>
        <v>21343500</v>
      </c>
      <c r="R17" s="68" t="n">
        <f aca="false">'📦 COGS &amp; OpEx'!R10</f>
        <v>21343500</v>
      </c>
      <c r="S17" s="68" t="n">
        <f aca="false">'📦 COGS &amp; OpEx'!S10</f>
        <v>17671500</v>
      </c>
      <c r="T17" s="68" t="n">
        <f aca="false">'📦 COGS &amp; OpEx'!T10</f>
        <v>21866625</v>
      </c>
      <c r="U17" s="68" t="n">
        <f aca="false">'📦 COGS &amp; OpEx'!U10</f>
        <v>25616250</v>
      </c>
      <c r="V17" s="68" t="n">
        <f aca="false">'📦 COGS &amp; OpEx'!V10</f>
        <v>24168375</v>
      </c>
      <c r="W17" s="68" t="n">
        <f aca="false">'📦 COGS &amp; OpEx'!W10</f>
        <v>36450000</v>
      </c>
      <c r="X17" s="68" t="n">
        <f aca="false">'📦 COGS &amp; OpEx'!X10</f>
        <v>36095625</v>
      </c>
      <c r="Y17" s="68" t="n">
        <f aca="false">'📦 COGS &amp; OpEx'!Y10</f>
        <v>31387500</v>
      </c>
      <c r="Z17" s="68" t="n">
        <f aca="false">'📦 COGS &amp; OpEx'!Z10</f>
        <v>28856250</v>
      </c>
      <c r="AA17" s="68" t="n">
        <f aca="false">'📦 COGS &amp; OpEx'!AA10</f>
        <v>29818125</v>
      </c>
      <c r="AB17" s="68" t="n">
        <f aca="false">'📦 COGS &amp; OpEx'!AB10</f>
        <v>21687750</v>
      </c>
      <c r="AC17" s="68" t="n">
        <f aca="false">'📦 COGS &amp; OpEx'!AC10</f>
        <v>25612200</v>
      </c>
      <c r="AD17" s="68" t="n">
        <f aca="false">'📦 COGS &amp; OpEx'!AD10</f>
        <v>25612200</v>
      </c>
      <c r="AE17" s="68" t="n">
        <f aca="false">'📦 COGS &amp; OpEx'!AE10</f>
        <v>17671500</v>
      </c>
      <c r="AF17" s="68" t="n">
        <f aca="false">'📦 COGS &amp; OpEx'!AF10</f>
        <v>21866625</v>
      </c>
      <c r="AG17" s="68" t="n">
        <f aca="false">'📦 COGS &amp; OpEx'!AG10</f>
        <v>25616250</v>
      </c>
      <c r="AH17" s="68" t="n">
        <f aca="false">'📦 COGS &amp; OpEx'!AH10</f>
        <v>24168375</v>
      </c>
      <c r="AI17" s="68" t="n">
        <f aca="false">'📦 COGS &amp; OpEx'!AI10</f>
        <v>36450000</v>
      </c>
      <c r="AJ17" s="68" t="n">
        <f aca="false">'📦 COGS &amp; OpEx'!AJ10</f>
        <v>36095625</v>
      </c>
      <c r="AK17" s="68" t="n">
        <f aca="false">'📦 COGS &amp; OpEx'!AK10</f>
        <v>31387500</v>
      </c>
      <c r="AL17" s="68" t="n">
        <f aca="false">'📦 COGS &amp; OpEx'!AL10</f>
        <v>28856250</v>
      </c>
      <c r="AM17" s="68" t="n">
        <f aca="false">'📦 COGS &amp; OpEx'!AM10</f>
        <v>29818125</v>
      </c>
      <c r="AN17" s="68" t="n">
        <f aca="false">'📦 COGS &amp; OpEx'!AN10</f>
        <v>21687750</v>
      </c>
      <c r="AO17" s="68" t="n">
        <f aca="false">'📦 COGS &amp; OpEx'!AO10</f>
        <v>25612200</v>
      </c>
      <c r="AP17" s="68" t="n">
        <f aca="false">'📦 COGS &amp; OpEx'!AP10</f>
        <v>25612200</v>
      </c>
      <c r="AQ17" s="68" t="n">
        <f aca="false">'📦 COGS &amp; OpEx'!AQ10</f>
        <v>17671500</v>
      </c>
      <c r="AR17" s="68" t="n">
        <f aca="false">'📦 COGS &amp; OpEx'!AR10</f>
        <v>21866625</v>
      </c>
      <c r="AS17" s="68" t="n">
        <f aca="false">'📦 COGS &amp; OpEx'!AS10</f>
        <v>25616250</v>
      </c>
      <c r="AT17" s="68" t="n">
        <f aca="false">'📦 COGS &amp; OpEx'!AT10</f>
        <v>24168375</v>
      </c>
      <c r="AU17" s="68" t="n">
        <f aca="false">'📦 COGS &amp; OpEx'!AU10</f>
        <v>36450000</v>
      </c>
      <c r="AV17" s="68" t="n">
        <f aca="false">'📦 COGS &amp; OpEx'!AV10</f>
        <v>36095625</v>
      </c>
      <c r="AW17" s="68" t="n">
        <f aca="false">'📦 COGS &amp; OpEx'!AW10</f>
        <v>31387500</v>
      </c>
      <c r="AX17" s="68" t="n">
        <f aca="false">'📦 COGS &amp; OpEx'!AX10</f>
        <v>28856250</v>
      </c>
      <c r="AY17" s="68" t="n">
        <f aca="false">'📦 COGS &amp; OpEx'!AY10</f>
        <v>29818125</v>
      </c>
      <c r="AZ17" s="68" t="n">
        <f aca="false">'📦 COGS &amp; OpEx'!AZ10</f>
        <v>21687750</v>
      </c>
      <c r="BA17" s="68" t="n">
        <f aca="false">'📦 COGS &amp; OpEx'!BA10</f>
        <v>25612200</v>
      </c>
      <c r="BB17" s="68" t="n">
        <f aca="false">'📦 COGS &amp; OpEx'!BB10</f>
        <v>23804280</v>
      </c>
      <c r="BC17" s="68" t="n">
        <f aca="false">'📦 COGS &amp; OpEx'!BC10</f>
        <v>16971525</v>
      </c>
      <c r="BD17" s="68" t="n">
        <f aca="false">'📦 COGS &amp; OpEx'!BD10</f>
        <v>20276325</v>
      </c>
      <c r="BE17" s="68" t="n">
        <f aca="false">'📦 COGS &amp; OpEx'!BE10</f>
        <v>23753250</v>
      </c>
      <c r="BF17" s="68" t="n">
        <f aca="false">'📦 COGS &amp; OpEx'!BF10</f>
        <v>22410675</v>
      </c>
      <c r="BG17" s="68" t="n">
        <f aca="false">'📦 COGS &amp; OpEx'!BG10</f>
        <v>33534000</v>
      </c>
      <c r="BH17" s="68" t="n">
        <f aca="false">'📦 COGS &amp; OpEx'!BH10</f>
        <v>33207975</v>
      </c>
      <c r="BI17" s="68" t="n">
        <f aca="false">'📦 COGS &amp; OpEx'!BI10</f>
        <v>28876500</v>
      </c>
      <c r="BJ17" s="68" t="n">
        <f aca="false">'📦 COGS &amp; OpEx'!BJ10</f>
        <v>26547750</v>
      </c>
    </row>
    <row r="18" customFormat="false" ht="13.5" hidden="false" customHeight="true" outlineLevel="0" collapsed="false">
      <c r="A18" s="38" t="s">
        <v>375</v>
      </c>
      <c r="B18" s="68" t="n">
        <f aca="false">SUM(C18:BJ18)</f>
        <v>711120937.5</v>
      </c>
      <c r="C18" s="60" t="n">
        <f aca="false">'📦 COGS &amp; OpEx'!C15</f>
        <v>0</v>
      </c>
      <c r="D18" s="60" t="n">
        <f aca="false">'📦 COGS &amp; OpEx'!D15</f>
        <v>0</v>
      </c>
      <c r="E18" s="60" t="n">
        <f aca="false">'📦 COGS &amp; OpEx'!E15</f>
        <v>1255500</v>
      </c>
      <c r="F18" s="60" t="n">
        <f aca="false">'📦 COGS &amp; OpEx'!F15</f>
        <v>1255500</v>
      </c>
      <c r="G18" s="60" t="n">
        <f aca="false">'📦 COGS &amp; OpEx'!G15</f>
        <v>1386562.5</v>
      </c>
      <c r="H18" s="60" t="n">
        <f aca="false">'📦 COGS &amp; OpEx'!H15</f>
        <v>1656562.5</v>
      </c>
      <c r="I18" s="60" t="n">
        <f aca="false">'📦 COGS &amp; OpEx'!I15</f>
        <v>2910937.5</v>
      </c>
      <c r="J18" s="60" t="n">
        <f aca="false">'📦 COGS &amp; OpEx'!J15</f>
        <v>2746406.25</v>
      </c>
      <c r="K18" s="60" t="n">
        <f aca="false">'📦 COGS &amp; OpEx'!K15</f>
        <v>3240000</v>
      </c>
      <c r="L18" s="60" t="n">
        <f aca="false">'📦 COGS &amp; OpEx'!L15</f>
        <v>3609562.5</v>
      </c>
      <c r="M18" s="60" t="n">
        <f aca="false">'📦 COGS &amp; OpEx'!M15</f>
        <v>3138750</v>
      </c>
      <c r="N18" s="60" t="n">
        <f aca="false">'📦 COGS &amp; OpEx'!N15</f>
        <v>3045937.5</v>
      </c>
      <c r="O18" s="60" t="n">
        <f aca="false">'📦 COGS &amp; OpEx'!O15</f>
        <v>3147468.75</v>
      </c>
      <c r="P18" s="60" t="n">
        <f aca="false">'📦 COGS &amp; OpEx'!P15</f>
        <v>3543750</v>
      </c>
      <c r="Q18" s="60" t="n">
        <f aca="false">'📦 COGS &amp; OpEx'!Q15</f>
        <v>4185000</v>
      </c>
      <c r="R18" s="60" t="n">
        <f aca="false">'📦 COGS &amp; OpEx'!R15</f>
        <v>12555000</v>
      </c>
      <c r="S18" s="60" t="n">
        <f aca="false">'📦 COGS &amp; OpEx'!S15</f>
        <v>9639000</v>
      </c>
      <c r="T18" s="60" t="n">
        <f aca="false">'📦 COGS &amp; OpEx'!T15</f>
        <v>11927250</v>
      </c>
      <c r="U18" s="60" t="n">
        <f aca="false">'📦 COGS &amp; OpEx'!U15</f>
        <v>13972500</v>
      </c>
      <c r="V18" s="60" t="n">
        <f aca="false">'📦 COGS &amp; OpEx'!V15</f>
        <v>13182750</v>
      </c>
      <c r="W18" s="60" t="n">
        <f aca="false">'📦 COGS &amp; OpEx'!W15</f>
        <v>14580000</v>
      </c>
      <c r="X18" s="60" t="n">
        <f aca="false">'📦 COGS &amp; OpEx'!X15</f>
        <v>14438250</v>
      </c>
      <c r="Y18" s="60" t="n">
        <f aca="false">'📦 COGS &amp; OpEx'!Y15</f>
        <v>12555000</v>
      </c>
      <c r="Z18" s="60" t="n">
        <f aca="false">'📦 COGS &amp; OpEx'!Z15</f>
        <v>11542500</v>
      </c>
      <c r="AA18" s="60" t="n">
        <f aca="false">'📦 COGS &amp; OpEx'!AA15</f>
        <v>11927250</v>
      </c>
      <c r="AB18" s="60" t="n">
        <f aca="false">'📦 COGS &amp; OpEx'!AB15</f>
        <v>12757500</v>
      </c>
      <c r="AC18" s="60" t="n">
        <f aca="false">'📦 COGS &amp; OpEx'!AC15</f>
        <v>15066000</v>
      </c>
      <c r="AD18" s="60" t="n">
        <f aca="false">'📦 COGS &amp; OpEx'!AD15</f>
        <v>15066000</v>
      </c>
      <c r="AE18" s="60" t="n">
        <f aca="false">'📦 COGS &amp; OpEx'!AE15</f>
        <v>9639000</v>
      </c>
      <c r="AF18" s="60" t="n">
        <f aca="false">'📦 COGS &amp; OpEx'!AF15</f>
        <v>11927250</v>
      </c>
      <c r="AG18" s="60" t="n">
        <f aca="false">'📦 COGS &amp; OpEx'!AG15</f>
        <v>13972500</v>
      </c>
      <c r="AH18" s="60" t="n">
        <f aca="false">'📦 COGS &amp; OpEx'!AH15</f>
        <v>13182750</v>
      </c>
      <c r="AI18" s="60" t="n">
        <f aca="false">'📦 COGS &amp; OpEx'!AI15</f>
        <v>14580000</v>
      </c>
      <c r="AJ18" s="60" t="n">
        <f aca="false">'📦 COGS &amp; OpEx'!AJ15</f>
        <v>14438250</v>
      </c>
      <c r="AK18" s="60" t="n">
        <f aca="false">'📦 COGS &amp; OpEx'!AK15</f>
        <v>12555000</v>
      </c>
      <c r="AL18" s="60" t="n">
        <f aca="false">'📦 COGS &amp; OpEx'!AL15</f>
        <v>11542500</v>
      </c>
      <c r="AM18" s="60" t="n">
        <f aca="false">'📦 COGS &amp; OpEx'!AM15</f>
        <v>11927250</v>
      </c>
      <c r="AN18" s="60" t="n">
        <f aca="false">'📦 COGS &amp; OpEx'!AN15</f>
        <v>12757500</v>
      </c>
      <c r="AO18" s="60" t="n">
        <f aca="false">'📦 COGS &amp; OpEx'!AO15</f>
        <v>15066000</v>
      </c>
      <c r="AP18" s="60" t="n">
        <f aca="false">'📦 COGS &amp; OpEx'!AP15</f>
        <v>20088000</v>
      </c>
      <c r="AQ18" s="60" t="n">
        <f aca="false">'📦 COGS &amp; OpEx'!AQ15</f>
        <v>12852000</v>
      </c>
      <c r="AR18" s="60" t="n">
        <f aca="false">'📦 COGS &amp; OpEx'!AR15</f>
        <v>15903000</v>
      </c>
      <c r="AS18" s="60" t="n">
        <f aca="false">'📦 COGS &amp; OpEx'!AS15</f>
        <v>18630000</v>
      </c>
      <c r="AT18" s="60" t="n">
        <f aca="false">'📦 COGS &amp; OpEx'!AT15</f>
        <v>17577000</v>
      </c>
      <c r="AU18" s="60" t="n">
        <f aca="false">'📦 COGS &amp; OpEx'!AU15</f>
        <v>19440000</v>
      </c>
      <c r="AV18" s="60" t="n">
        <f aca="false">'📦 COGS &amp; OpEx'!AV15</f>
        <v>19251000</v>
      </c>
      <c r="AW18" s="60" t="n">
        <f aca="false">'📦 COGS &amp; OpEx'!AW15</f>
        <v>16740000</v>
      </c>
      <c r="AX18" s="60" t="n">
        <f aca="false">'📦 COGS &amp; OpEx'!AX15</f>
        <v>15390000</v>
      </c>
      <c r="AY18" s="60" t="n">
        <f aca="false">'📦 COGS &amp; OpEx'!AY15</f>
        <v>15903000</v>
      </c>
      <c r="AZ18" s="60" t="n">
        <f aca="false">'📦 COGS &amp; OpEx'!AZ15</f>
        <v>17010000</v>
      </c>
      <c r="BA18" s="60" t="n">
        <f aca="false">'📦 COGS &amp; OpEx'!BA15</f>
        <v>20088000</v>
      </c>
      <c r="BB18" s="60" t="n">
        <f aca="false">'📦 COGS &amp; OpEx'!BB15</f>
        <v>20088000</v>
      </c>
      <c r="BC18" s="60" t="n">
        <f aca="false">'📦 COGS &amp; OpEx'!BC15</f>
        <v>13311000</v>
      </c>
      <c r="BD18" s="60" t="n">
        <f aca="false">'📦 COGS &amp; OpEx'!BD15</f>
        <v>15903000</v>
      </c>
      <c r="BE18" s="60" t="n">
        <f aca="false">'📦 COGS &amp; OpEx'!BE15</f>
        <v>18630000</v>
      </c>
      <c r="BF18" s="60" t="n">
        <f aca="false">'📦 COGS &amp; OpEx'!BF15</f>
        <v>17577000</v>
      </c>
      <c r="BG18" s="60" t="n">
        <f aca="false">'📦 COGS &amp; OpEx'!BG15</f>
        <v>19440000</v>
      </c>
      <c r="BH18" s="60" t="n">
        <f aca="false">'📦 COGS &amp; OpEx'!BH15</f>
        <v>19251000</v>
      </c>
      <c r="BI18" s="60" t="n">
        <f aca="false">'📦 COGS &amp; OpEx'!BI15</f>
        <v>16740000</v>
      </c>
      <c r="BJ18" s="60" t="n">
        <f aca="false">'📦 COGS &amp; OpEx'!BJ15</f>
        <v>15390000</v>
      </c>
    </row>
    <row r="19" customFormat="false" ht="13.5" hidden="false" customHeight="true" outlineLevel="0" collapsed="false">
      <c r="A19" s="37" t="s">
        <v>376</v>
      </c>
      <c r="B19" s="68" t="n">
        <f aca="false">SUM(C19:BJ19)</f>
        <v>805395375</v>
      </c>
      <c r="C19" s="68" t="n">
        <f aca="false">'📦 COGS &amp; OpEx'!C18</f>
        <v>0</v>
      </c>
      <c r="D19" s="68" t="n">
        <f aca="false">'📦 COGS &amp; OpEx'!D18</f>
        <v>0</v>
      </c>
      <c r="E19" s="68" t="n">
        <f aca="false">'📦 COGS &amp; OpEx'!E18</f>
        <v>25110000</v>
      </c>
      <c r="F19" s="68" t="n">
        <f aca="false">'📦 COGS &amp; OpEx'!F18</f>
        <v>25110000</v>
      </c>
      <c r="G19" s="68" t="n">
        <f aca="false">'📦 COGS &amp; OpEx'!G18</f>
        <v>11092500</v>
      </c>
      <c r="H19" s="68" t="n">
        <f aca="false">'📦 COGS &amp; OpEx'!H18</f>
        <v>13252500</v>
      </c>
      <c r="I19" s="68" t="n">
        <f aca="false">'📦 COGS &amp; OpEx'!I18</f>
        <v>23287500</v>
      </c>
      <c r="J19" s="68" t="n">
        <f aca="false">'📦 COGS &amp; OpEx'!J18</f>
        <v>21971250</v>
      </c>
      <c r="K19" s="68" t="n">
        <f aca="false">'📦 COGS &amp; OpEx'!K18</f>
        <v>25920000</v>
      </c>
      <c r="L19" s="68" t="n">
        <f aca="false">'📦 COGS &amp; OpEx'!L18</f>
        <v>14438250</v>
      </c>
      <c r="M19" s="68" t="n">
        <f aca="false">'📦 COGS &amp; OpEx'!M18</f>
        <v>12555000</v>
      </c>
      <c r="N19" s="68" t="n">
        <f aca="false">'📦 COGS &amp; OpEx'!N18</f>
        <v>12183750</v>
      </c>
      <c r="O19" s="68" t="n">
        <f aca="false">'📦 COGS &amp; OpEx'!O18</f>
        <v>12589875</v>
      </c>
      <c r="P19" s="68" t="n">
        <f aca="false">'📦 COGS &amp; OpEx'!P18</f>
        <v>10631250</v>
      </c>
      <c r="Q19" s="68" t="n">
        <f aca="false">'📦 COGS &amp; OpEx'!Q18</f>
        <v>12555000</v>
      </c>
      <c r="R19" s="68" t="n">
        <f aca="false">'📦 COGS &amp; OpEx'!R18</f>
        <v>12555000</v>
      </c>
      <c r="S19" s="68" t="n">
        <f aca="false">'📦 COGS &amp; OpEx'!S18</f>
        <v>9639000</v>
      </c>
      <c r="T19" s="68" t="n">
        <f aca="false">'📦 COGS &amp; OpEx'!T18</f>
        <v>11927250</v>
      </c>
      <c r="U19" s="68" t="n">
        <f aca="false">'📦 COGS &amp; OpEx'!U18</f>
        <v>13972500</v>
      </c>
      <c r="V19" s="68" t="n">
        <f aca="false">'📦 COGS &amp; OpEx'!V18</f>
        <v>13182750</v>
      </c>
      <c r="W19" s="68" t="n">
        <f aca="false">'📦 COGS &amp; OpEx'!W18</f>
        <v>14580000</v>
      </c>
      <c r="X19" s="68" t="n">
        <f aca="false">'📦 COGS &amp; OpEx'!X18</f>
        <v>14438250</v>
      </c>
      <c r="Y19" s="68" t="n">
        <f aca="false">'📦 COGS &amp; OpEx'!Y18</f>
        <v>12555000</v>
      </c>
      <c r="Z19" s="68" t="n">
        <f aca="false">'📦 COGS &amp; OpEx'!Z18</f>
        <v>11542500</v>
      </c>
      <c r="AA19" s="68" t="n">
        <f aca="false">'📦 COGS &amp; OpEx'!AA18</f>
        <v>11927250</v>
      </c>
      <c r="AB19" s="68" t="n">
        <f aca="false">'📦 COGS &amp; OpEx'!AB18</f>
        <v>12757500</v>
      </c>
      <c r="AC19" s="68" t="n">
        <f aca="false">'📦 COGS &amp; OpEx'!AC18</f>
        <v>15066000</v>
      </c>
      <c r="AD19" s="68" t="n">
        <f aca="false">'📦 COGS &amp; OpEx'!AD18</f>
        <v>15066000</v>
      </c>
      <c r="AE19" s="68" t="n">
        <f aca="false">'📦 COGS &amp; OpEx'!AE18</f>
        <v>9639000</v>
      </c>
      <c r="AF19" s="68" t="n">
        <f aca="false">'📦 COGS &amp; OpEx'!AF18</f>
        <v>11927250</v>
      </c>
      <c r="AG19" s="68" t="n">
        <f aca="false">'📦 COGS &amp; OpEx'!AG18</f>
        <v>13972500</v>
      </c>
      <c r="AH19" s="68" t="n">
        <f aca="false">'📦 COGS &amp; OpEx'!AH18</f>
        <v>13182750</v>
      </c>
      <c r="AI19" s="68" t="n">
        <f aca="false">'📦 COGS &amp; OpEx'!AI18</f>
        <v>14580000</v>
      </c>
      <c r="AJ19" s="68" t="n">
        <f aca="false">'📦 COGS &amp; OpEx'!AJ18</f>
        <v>14438250</v>
      </c>
      <c r="AK19" s="68" t="n">
        <f aca="false">'📦 COGS &amp; OpEx'!AK18</f>
        <v>12555000</v>
      </c>
      <c r="AL19" s="68" t="n">
        <f aca="false">'📦 COGS &amp; OpEx'!AL18</f>
        <v>11542500</v>
      </c>
      <c r="AM19" s="68" t="n">
        <f aca="false">'📦 COGS &amp; OpEx'!AM18</f>
        <v>11927250</v>
      </c>
      <c r="AN19" s="68" t="n">
        <f aca="false">'📦 COGS &amp; OpEx'!AN18</f>
        <v>12757500</v>
      </c>
      <c r="AO19" s="68" t="n">
        <f aca="false">'📦 COGS &amp; OpEx'!AO18</f>
        <v>15066000</v>
      </c>
      <c r="AP19" s="68" t="n">
        <f aca="false">'📦 COGS &amp; OpEx'!AP18</f>
        <v>15066000</v>
      </c>
      <c r="AQ19" s="68" t="n">
        <f aca="false">'📦 COGS &amp; OpEx'!AQ18</f>
        <v>9639000</v>
      </c>
      <c r="AR19" s="68" t="n">
        <f aca="false">'📦 COGS &amp; OpEx'!AR18</f>
        <v>11927250</v>
      </c>
      <c r="AS19" s="68" t="n">
        <f aca="false">'📦 COGS &amp; OpEx'!AS18</f>
        <v>13972500</v>
      </c>
      <c r="AT19" s="68" t="n">
        <f aca="false">'📦 COGS &amp; OpEx'!AT18</f>
        <v>13182750</v>
      </c>
      <c r="AU19" s="68" t="n">
        <f aca="false">'📦 COGS &amp; OpEx'!AU18</f>
        <v>14580000</v>
      </c>
      <c r="AV19" s="68" t="n">
        <f aca="false">'📦 COGS &amp; OpEx'!AV18</f>
        <v>14438250</v>
      </c>
      <c r="AW19" s="68" t="n">
        <f aca="false">'📦 COGS &amp; OpEx'!AW18</f>
        <v>12555000</v>
      </c>
      <c r="AX19" s="68" t="n">
        <f aca="false">'📦 COGS &amp; OpEx'!AX18</f>
        <v>11542500</v>
      </c>
      <c r="AY19" s="68" t="n">
        <f aca="false">'📦 COGS &amp; OpEx'!AY18</f>
        <v>11927250</v>
      </c>
      <c r="AZ19" s="68" t="n">
        <f aca="false">'📦 COGS &amp; OpEx'!AZ18</f>
        <v>12757500</v>
      </c>
      <c r="BA19" s="68" t="n">
        <f aca="false">'📦 COGS &amp; OpEx'!BA18</f>
        <v>15066000</v>
      </c>
      <c r="BB19" s="68" t="n">
        <f aca="false">'📦 COGS &amp; OpEx'!BB18</f>
        <v>15066000</v>
      </c>
      <c r="BC19" s="68" t="n">
        <f aca="false">'📦 COGS &amp; OpEx'!BC18</f>
        <v>9983250</v>
      </c>
      <c r="BD19" s="68" t="n">
        <f aca="false">'📦 COGS &amp; OpEx'!BD18</f>
        <v>11927250</v>
      </c>
      <c r="BE19" s="68" t="n">
        <f aca="false">'📦 COGS &amp; OpEx'!BE18</f>
        <v>13972500</v>
      </c>
      <c r="BF19" s="68" t="n">
        <f aca="false">'📦 COGS &amp; OpEx'!BF18</f>
        <v>13182750</v>
      </c>
      <c r="BG19" s="68" t="n">
        <f aca="false">'📦 COGS &amp; OpEx'!BG18</f>
        <v>14580000</v>
      </c>
      <c r="BH19" s="68" t="n">
        <f aca="false">'📦 COGS &amp; OpEx'!BH18</f>
        <v>14438250</v>
      </c>
      <c r="BI19" s="68" t="n">
        <f aca="false">'📦 COGS &amp; OpEx'!BI18</f>
        <v>12555000</v>
      </c>
      <c r="BJ19" s="68" t="n">
        <f aca="false">'📦 COGS &amp; OpEx'!BJ18</f>
        <v>11542500</v>
      </c>
    </row>
    <row r="20" customFormat="false" ht="13.5" hidden="false" customHeight="true" outlineLevel="0" collapsed="false">
      <c r="A20" s="38" t="s">
        <v>377</v>
      </c>
      <c r="B20" s="60" t="n">
        <f aca="false">SUM(C20:AL20)</f>
        <v>0</v>
      </c>
      <c r="C20" s="60" t="n">
        <f aca="false">'📦 COGS &amp; OpEx'!C22</f>
        <v>0</v>
      </c>
      <c r="D20" s="60" t="n">
        <f aca="false">'📦 COGS &amp; OpEx'!D22</f>
        <v>0</v>
      </c>
      <c r="E20" s="60" t="n">
        <f aca="false">'📦 COGS &amp; OpEx'!E22</f>
        <v>0</v>
      </c>
      <c r="F20" s="60" t="n">
        <f aca="false">'📦 COGS &amp; OpEx'!F22</f>
        <v>0</v>
      </c>
      <c r="G20" s="60" t="n">
        <f aca="false">'📦 COGS &amp; OpEx'!G22</f>
        <v>0</v>
      </c>
      <c r="H20" s="60" t="n">
        <f aca="false">'📦 COGS &amp; OpEx'!H22</f>
        <v>0</v>
      </c>
      <c r="I20" s="60" t="n">
        <f aca="false">'📦 COGS &amp; OpEx'!I22</f>
        <v>0</v>
      </c>
      <c r="J20" s="60" t="n">
        <f aca="false">'📦 COGS &amp; OpEx'!J22</f>
        <v>0</v>
      </c>
      <c r="K20" s="60" t="n">
        <f aca="false">'📦 COGS &amp; OpEx'!K22</f>
        <v>0</v>
      </c>
      <c r="L20" s="60" t="n">
        <f aca="false">'📦 COGS &amp; OpEx'!L22</f>
        <v>0</v>
      </c>
      <c r="M20" s="60" t="n">
        <f aca="false">'📦 COGS &amp; OpEx'!M22</f>
        <v>0</v>
      </c>
      <c r="N20" s="60" t="n">
        <f aca="false">'📦 COGS &amp; OpEx'!N22</f>
        <v>0</v>
      </c>
      <c r="O20" s="60" t="n">
        <f aca="false">'📦 COGS &amp; OpEx'!O22</f>
        <v>0</v>
      </c>
      <c r="P20" s="60" t="n">
        <f aca="false">'📦 COGS &amp; OpEx'!P22</f>
        <v>0</v>
      </c>
      <c r="Q20" s="60" t="n">
        <f aca="false">'📦 COGS &amp; OpEx'!Q22</f>
        <v>0</v>
      </c>
      <c r="R20" s="60" t="n">
        <f aca="false">'📦 COGS &amp; OpEx'!R22</f>
        <v>0</v>
      </c>
      <c r="S20" s="60" t="n">
        <f aca="false">'📦 COGS &amp; OpEx'!S22</f>
        <v>0</v>
      </c>
      <c r="T20" s="60" t="n">
        <f aca="false">'📦 COGS &amp; OpEx'!T22</f>
        <v>0</v>
      </c>
      <c r="U20" s="60" t="n">
        <f aca="false">'📦 COGS &amp; OpEx'!U22</f>
        <v>0</v>
      </c>
      <c r="V20" s="60" t="n">
        <f aca="false">'📦 COGS &amp; OpEx'!V22</f>
        <v>0</v>
      </c>
      <c r="W20" s="60" t="n">
        <f aca="false">'📦 COGS &amp; OpEx'!W22</f>
        <v>0</v>
      </c>
      <c r="X20" s="60" t="n">
        <f aca="false">'📦 COGS &amp; OpEx'!X22</f>
        <v>0</v>
      </c>
      <c r="Y20" s="60" t="n">
        <f aca="false">'📦 COGS &amp; OpEx'!Y22</f>
        <v>0</v>
      </c>
      <c r="Z20" s="60" t="n">
        <f aca="false">'📦 COGS &amp; OpEx'!Z22</f>
        <v>0</v>
      </c>
      <c r="AA20" s="60" t="n">
        <f aca="false">'📦 COGS &amp; OpEx'!AA22</f>
        <v>0</v>
      </c>
      <c r="AB20" s="60" t="n">
        <f aca="false">'📦 COGS &amp; OpEx'!AB22</f>
        <v>0</v>
      </c>
      <c r="AC20" s="60" t="n">
        <f aca="false">'📦 COGS &amp; OpEx'!AC22</f>
        <v>0</v>
      </c>
      <c r="AD20" s="60" t="n">
        <f aca="false">'📦 COGS &amp; OpEx'!AD22</f>
        <v>0</v>
      </c>
      <c r="AE20" s="60" t="n">
        <f aca="false">'📦 COGS &amp; OpEx'!AE22</f>
        <v>0</v>
      </c>
      <c r="AF20" s="60" t="n">
        <f aca="false">'📦 COGS &amp; OpEx'!AF22</f>
        <v>0</v>
      </c>
      <c r="AG20" s="60" t="n">
        <f aca="false">'📦 COGS &amp; OpEx'!AG22</f>
        <v>0</v>
      </c>
      <c r="AH20" s="60" t="n">
        <f aca="false">'📦 COGS &amp; OpEx'!AH22</f>
        <v>0</v>
      </c>
      <c r="AI20" s="60" t="n">
        <f aca="false">'📦 COGS &amp; OpEx'!AI22</f>
        <v>0</v>
      </c>
      <c r="AJ20" s="60" t="n">
        <f aca="false">'📦 COGS &amp; OpEx'!AJ22</f>
        <v>0</v>
      </c>
      <c r="AK20" s="60" t="n">
        <f aca="false">'📦 COGS &amp; OpEx'!AK22</f>
        <v>0</v>
      </c>
      <c r="AL20" s="60" t="n">
        <f aca="false">'📦 COGS &amp; OpEx'!AL22</f>
        <v>0</v>
      </c>
      <c r="AM20" s="60" t="n">
        <f aca="false">'📦 COGS &amp; OpEx'!AM22</f>
        <v>0</v>
      </c>
      <c r="AN20" s="60" t="n">
        <f aca="false">'📦 COGS &amp; OpEx'!AN22</f>
        <v>0</v>
      </c>
      <c r="AO20" s="60" t="n">
        <f aca="false">'📦 COGS &amp; OpEx'!AO22</f>
        <v>0</v>
      </c>
      <c r="AP20" s="60" t="n">
        <f aca="false">'📦 COGS &amp; OpEx'!AP22</f>
        <v>0</v>
      </c>
      <c r="AQ20" s="60" t="n">
        <f aca="false">'📦 COGS &amp; OpEx'!AQ22</f>
        <v>0</v>
      </c>
      <c r="AR20" s="60" t="n">
        <f aca="false">'📦 COGS &amp; OpEx'!AR22</f>
        <v>0</v>
      </c>
      <c r="AS20" s="60" t="n">
        <f aca="false">'📦 COGS &amp; OpEx'!AS22</f>
        <v>0</v>
      </c>
      <c r="AT20" s="60" t="n">
        <f aca="false">'📦 COGS &amp; OpEx'!AT22</f>
        <v>0</v>
      </c>
      <c r="AU20" s="60" t="n">
        <f aca="false">'📦 COGS &amp; OpEx'!AU22</f>
        <v>0</v>
      </c>
      <c r="AV20" s="60" t="n">
        <f aca="false">'📦 COGS &amp; OpEx'!AV22</f>
        <v>0</v>
      </c>
      <c r="AW20" s="60" t="n">
        <f aca="false">'📦 COGS &amp; OpEx'!AW22</f>
        <v>0</v>
      </c>
      <c r="AX20" s="60" t="n">
        <f aca="false">'📦 COGS &amp; OpEx'!AX22</f>
        <v>0</v>
      </c>
      <c r="AY20" s="60" t="n">
        <f aca="false">'📦 COGS &amp; OpEx'!AY22</f>
        <v>0</v>
      </c>
      <c r="AZ20" s="60" t="n">
        <f aca="false">'📦 COGS &amp; OpEx'!AZ22</f>
        <v>0</v>
      </c>
      <c r="BA20" s="60" t="n">
        <f aca="false">'📦 COGS &amp; OpEx'!BA22</f>
        <v>0</v>
      </c>
      <c r="BB20" s="60" t="n">
        <f aca="false">'📦 COGS &amp; OpEx'!BB22</f>
        <v>0</v>
      </c>
      <c r="BC20" s="60" t="n">
        <f aca="false">'📦 COGS &amp; OpEx'!BC22</f>
        <v>0</v>
      </c>
      <c r="BD20" s="60" t="n">
        <f aca="false">'📦 COGS &amp; OpEx'!BD22</f>
        <v>0</v>
      </c>
      <c r="BE20" s="60" t="n">
        <f aca="false">'📦 COGS &amp; OpEx'!BE22</f>
        <v>0</v>
      </c>
      <c r="BF20" s="60" t="n">
        <f aca="false">'📦 COGS &amp; OpEx'!BF22</f>
        <v>0</v>
      </c>
      <c r="BG20" s="60" t="n">
        <f aca="false">'📦 COGS &amp; OpEx'!BG22</f>
        <v>0</v>
      </c>
      <c r="BH20" s="60" t="n">
        <f aca="false">'📦 COGS &amp; OpEx'!BH22</f>
        <v>0</v>
      </c>
      <c r="BI20" s="60" t="n">
        <f aca="false">'📦 COGS &amp; OpEx'!BI22</f>
        <v>0</v>
      </c>
      <c r="BJ20" s="60" t="n">
        <f aca="false">'📦 COGS &amp; OpEx'!BJ22</f>
        <v>0</v>
      </c>
    </row>
    <row r="21" customFormat="false" ht="13.5" hidden="false" customHeight="true" outlineLevel="0" collapsed="false">
      <c r="A21" s="37" t="s">
        <v>378</v>
      </c>
      <c r="B21" s="68" t="n">
        <f aca="false">SUM(C21:BJ21)</f>
        <v>172107345.725</v>
      </c>
      <c r="C21" s="68" t="n">
        <f aca="false">'📦 COGS &amp; OpEx'!C25</f>
        <v>1150000</v>
      </c>
      <c r="D21" s="68" t="n">
        <f aca="false">'📦 COGS &amp; OpEx'!D25</f>
        <v>1150000</v>
      </c>
      <c r="E21" s="68" t="n">
        <f aca="false">'📦 COGS &amp; OpEx'!E25</f>
        <v>2370891</v>
      </c>
      <c r="F21" s="68" t="n">
        <f aca="false">'📦 COGS &amp; OpEx'!F25</f>
        <v>2370891</v>
      </c>
      <c r="G21" s="68" t="n">
        <f aca="false">'📦 COGS &amp; OpEx'!G25</f>
        <v>2101783.125</v>
      </c>
      <c r="H21" s="68" t="n">
        <f aca="false">'📦 COGS &amp; OpEx'!H25</f>
        <v>2195923.125</v>
      </c>
      <c r="I21" s="68" t="n">
        <f aca="false">'📦 COGS &amp; OpEx'!I25</f>
        <v>2670571.875</v>
      </c>
      <c r="J21" s="68" t="n">
        <f aca="false">'📦 COGS &amp; OpEx'!J25</f>
        <v>2634737.8125</v>
      </c>
      <c r="K21" s="68" t="n">
        <f aca="false">'📦 COGS &amp; OpEx'!K25</f>
        <v>2895600</v>
      </c>
      <c r="L21" s="68" t="n">
        <f aca="false">'📦 COGS &amp; OpEx'!L25</f>
        <v>2740670.625</v>
      </c>
      <c r="M21" s="68" t="n">
        <f aca="false">'📦 COGS &amp; OpEx'!M25</f>
        <v>2622967.5</v>
      </c>
      <c r="N21" s="68" t="n">
        <f aca="false">'📦 COGS &amp; OpEx'!N25</f>
        <v>2587884.375</v>
      </c>
      <c r="O21" s="68" t="n">
        <f aca="false">'📦 COGS &amp; OpEx'!O25</f>
        <v>2625147.1875</v>
      </c>
      <c r="P21" s="68" t="n">
        <f aca="false">'📦 COGS &amp; OpEx'!P25</f>
        <v>2471362.5</v>
      </c>
      <c r="Q21" s="68" t="n">
        <f aca="false">'📦 COGS &amp; OpEx'!Q25</f>
        <v>2599950</v>
      </c>
      <c r="R21" s="68" t="n">
        <f aca="false">'📦 COGS &amp; OpEx'!R25</f>
        <v>2767350</v>
      </c>
      <c r="S21" s="68" t="n">
        <f aca="false">'📦 COGS &amp; OpEx'!S25</f>
        <v>2652510</v>
      </c>
      <c r="T21" s="68" t="n">
        <f aca="false">'📦 COGS &amp; OpEx'!T25</f>
        <v>2875462.5</v>
      </c>
      <c r="U21" s="68" t="n">
        <f aca="false">'📦 COGS &amp; OpEx'!U25</f>
        <v>3016425</v>
      </c>
      <c r="V21" s="68" t="n">
        <f aca="false">'📦 COGS &amp; OpEx'!V25</f>
        <v>2971717.5</v>
      </c>
      <c r="W21" s="68" t="n">
        <f aca="false">'📦 COGS &amp; OpEx'!W25</f>
        <v>3257400</v>
      </c>
      <c r="X21" s="68" t="n">
        <f aca="false">'📦 COGS &amp; OpEx'!X25</f>
        <v>3260482.5</v>
      </c>
      <c r="Y21" s="68" t="n">
        <f aca="false">'📦 COGS &amp; OpEx'!Y25</f>
        <v>3090990</v>
      </c>
      <c r="Z21" s="68" t="n">
        <f aca="false">'📦 COGS &amp; OpEx'!Z25</f>
        <v>2984025</v>
      </c>
      <c r="AA21" s="68" t="n">
        <f aca="false">'📦 COGS &amp; OpEx'!AA25</f>
        <v>3034492.5</v>
      </c>
      <c r="AB21" s="68" t="n">
        <f aca="false">'📦 COGS &amp; OpEx'!AB25</f>
        <v>2889255</v>
      </c>
      <c r="AC21" s="68" t="n">
        <f aca="false">'📦 COGS &amp; OpEx'!AC25</f>
        <v>3075924</v>
      </c>
      <c r="AD21" s="68" t="n">
        <f aca="false">'📦 COGS &amp; OpEx'!AD25</f>
        <v>3075924</v>
      </c>
      <c r="AE21" s="68" t="n">
        <f aca="false">'📦 COGS &amp; OpEx'!AE25</f>
        <v>2652510</v>
      </c>
      <c r="AF21" s="68" t="n">
        <f aca="false">'📦 COGS &amp; OpEx'!AF25</f>
        <v>2875462.5</v>
      </c>
      <c r="AG21" s="68" t="n">
        <f aca="false">'📦 COGS &amp; OpEx'!AG25</f>
        <v>3016425</v>
      </c>
      <c r="AH21" s="68" t="n">
        <f aca="false">'📦 COGS &amp; OpEx'!AH25</f>
        <v>2971717.5</v>
      </c>
      <c r="AI21" s="68" t="n">
        <f aca="false">'📦 COGS &amp; OpEx'!AI25</f>
        <v>3257400</v>
      </c>
      <c r="AJ21" s="68" t="n">
        <f aca="false">'📦 COGS &amp; OpEx'!AJ25</f>
        <v>3260482.5</v>
      </c>
      <c r="AK21" s="68" t="n">
        <f aca="false">'📦 COGS &amp; OpEx'!AK25</f>
        <v>3090990</v>
      </c>
      <c r="AL21" s="68" t="n">
        <f aca="false">'📦 COGS &amp; OpEx'!AL25</f>
        <v>2984025</v>
      </c>
      <c r="AM21" s="68" t="n">
        <f aca="false">'📦 COGS &amp; OpEx'!AM25</f>
        <v>3034492.5</v>
      </c>
      <c r="AN21" s="68" t="n">
        <f aca="false">'📦 COGS &amp; OpEx'!AN25</f>
        <v>2889255</v>
      </c>
      <c r="AO21" s="68" t="n">
        <f aca="false">'📦 COGS &amp; OpEx'!AO25</f>
        <v>3075924</v>
      </c>
      <c r="AP21" s="68" t="n">
        <f aca="false">'📦 COGS &amp; OpEx'!AP25</f>
        <v>3176364</v>
      </c>
      <c r="AQ21" s="68" t="n">
        <f aca="false">'📦 COGS &amp; OpEx'!AQ25</f>
        <v>2716770</v>
      </c>
      <c r="AR21" s="68" t="n">
        <f aca="false">'📦 COGS &amp; OpEx'!AR25</f>
        <v>2954977.5</v>
      </c>
      <c r="AS21" s="68" t="n">
        <f aca="false">'📦 COGS &amp; OpEx'!AS25</f>
        <v>3109575</v>
      </c>
      <c r="AT21" s="68" t="n">
        <f aca="false">'📦 COGS &amp; OpEx'!AT25</f>
        <v>3059602.5</v>
      </c>
      <c r="AU21" s="68" t="n">
        <f aca="false">'📦 COGS &amp; OpEx'!AU25</f>
        <v>3354600</v>
      </c>
      <c r="AV21" s="68" t="n">
        <f aca="false">'📦 COGS &amp; OpEx'!AV25</f>
        <v>3356737.5</v>
      </c>
      <c r="AW21" s="68" t="n">
        <f aca="false">'📦 COGS &amp; OpEx'!AW25</f>
        <v>3174690</v>
      </c>
      <c r="AX21" s="68" t="n">
        <f aca="false">'📦 COGS &amp; OpEx'!AX25</f>
        <v>3060975</v>
      </c>
      <c r="AY21" s="68" t="n">
        <f aca="false">'📦 COGS &amp; OpEx'!AY25</f>
        <v>3114007.5</v>
      </c>
      <c r="AZ21" s="68" t="n">
        <f aca="false">'📦 COGS &amp; OpEx'!AZ25</f>
        <v>2974305</v>
      </c>
      <c r="BA21" s="68" t="n">
        <f aca="false">'📦 COGS &amp; OpEx'!BA25</f>
        <v>3176364</v>
      </c>
      <c r="BB21" s="68" t="n">
        <f aca="false">'📦 COGS &amp; OpEx'!BB25</f>
        <v>3140205.6</v>
      </c>
      <c r="BC21" s="68" t="n">
        <f aca="false">'📦 COGS &amp; OpEx'!BC25</f>
        <v>2734675.5</v>
      </c>
      <c r="BD21" s="68" t="n">
        <f aca="false">'📦 COGS &amp; OpEx'!BD25</f>
        <v>2923171.5</v>
      </c>
      <c r="BE21" s="68" t="n">
        <f aca="false">'📦 COGS &amp; OpEx'!BE25</f>
        <v>3072315</v>
      </c>
      <c r="BF21" s="68" t="n">
        <f aca="false">'📦 COGS &amp; OpEx'!BF25</f>
        <v>3024448.5</v>
      </c>
      <c r="BG21" s="68" t="n">
        <f aca="false">'📦 COGS &amp; OpEx'!BG25</f>
        <v>3296280</v>
      </c>
      <c r="BH21" s="68" t="n">
        <f aca="false">'📦 COGS &amp; OpEx'!BH25</f>
        <v>3298984.5</v>
      </c>
      <c r="BI21" s="68" t="n">
        <f aca="false">'📦 COGS &amp; OpEx'!BI25</f>
        <v>3124470</v>
      </c>
      <c r="BJ21" s="68" t="n">
        <f aca="false">'📦 COGS &amp; OpEx'!BJ25</f>
        <v>3014805</v>
      </c>
    </row>
    <row r="22" customFormat="false" ht="13.5" hidden="false" customHeight="true" outlineLevel="0" collapsed="false">
      <c r="A22" s="38" t="s">
        <v>379</v>
      </c>
      <c r="B22" s="68" t="n">
        <f aca="false">SUM(C22:BJ22)</f>
        <v>258161018.5875</v>
      </c>
      <c r="C22" s="60" t="n">
        <f aca="false">'📦 COGS &amp; OpEx'!C26</f>
        <v>1725000</v>
      </c>
      <c r="D22" s="60" t="n">
        <f aca="false">'📦 COGS &amp; OpEx'!D26</f>
        <v>1725000</v>
      </c>
      <c r="E22" s="60" t="n">
        <f aca="false">'📦 COGS &amp; OpEx'!E26</f>
        <v>3556336.5</v>
      </c>
      <c r="F22" s="60" t="n">
        <f aca="false">'📦 COGS &amp; OpEx'!F26</f>
        <v>3556336.5</v>
      </c>
      <c r="G22" s="60" t="n">
        <f aca="false">'📦 COGS &amp; OpEx'!G26</f>
        <v>3152674.6875</v>
      </c>
      <c r="H22" s="60" t="n">
        <f aca="false">'📦 COGS &amp; OpEx'!H26</f>
        <v>3293884.6875</v>
      </c>
      <c r="I22" s="60" t="n">
        <f aca="false">'📦 COGS &amp; OpEx'!I26</f>
        <v>4005857.8125</v>
      </c>
      <c r="J22" s="60" t="n">
        <f aca="false">'📦 COGS &amp; OpEx'!J26</f>
        <v>3952106.71875</v>
      </c>
      <c r="K22" s="60" t="n">
        <f aca="false">'📦 COGS &amp; OpEx'!K26</f>
        <v>4343400</v>
      </c>
      <c r="L22" s="60" t="n">
        <f aca="false">'📦 COGS &amp; OpEx'!L26</f>
        <v>4111005.9375</v>
      </c>
      <c r="M22" s="60" t="n">
        <f aca="false">'📦 COGS &amp; OpEx'!M26</f>
        <v>3934451.25</v>
      </c>
      <c r="N22" s="60" t="n">
        <f aca="false">'📦 COGS &amp; OpEx'!N26</f>
        <v>3881826.5625</v>
      </c>
      <c r="O22" s="60" t="n">
        <f aca="false">'📦 COGS &amp; OpEx'!O26</f>
        <v>3937720.78125</v>
      </c>
      <c r="P22" s="60" t="n">
        <f aca="false">'📦 COGS &amp; OpEx'!P26</f>
        <v>3707043.75</v>
      </c>
      <c r="Q22" s="60" t="n">
        <f aca="false">'📦 COGS &amp; OpEx'!Q26</f>
        <v>3899925</v>
      </c>
      <c r="R22" s="60" t="n">
        <f aca="false">'📦 COGS &amp; OpEx'!R26</f>
        <v>4151025</v>
      </c>
      <c r="S22" s="60" t="n">
        <f aca="false">'📦 COGS &amp; OpEx'!S26</f>
        <v>3978765</v>
      </c>
      <c r="T22" s="60" t="n">
        <f aca="false">'📦 COGS &amp; OpEx'!T26</f>
        <v>4313193.75</v>
      </c>
      <c r="U22" s="60" t="n">
        <f aca="false">'📦 COGS &amp; OpEx'!U26</f>
        <v>4524637.5</v>
      </c>
      <c r="V22" s="60" t="n">
        <f aca="false">'📦 COGS &amp; OpEx'!V26</f>
        <v>4457576.25</v>
      </c>
      <c r="W22" s="60" t="n">
        <f aca="false">'📦 COGS &amp; OpEx'!W26</f>
        <v>4886100</v>
      </c>
      <c r="X22" s="60" t="n">
        <f aca="false">'📦 COGS &amp; OpEx'!X26</f>
        <v>4890723.75</v>
      </c>
      <c r="Y22" s="60" t="n">
        <f aca="false">'📦 COGS &amp; OpEx'!Y26</f>
        <v>4636485</v>
      </c>
      <c r="Z22" s="60" t="n">
        <f aca="false">'📦 COGS &amp; OpEx'!Z26</f>
        <v>4476037.5</v>
      </c>
      <c r="AA22" s="60" t="n">
        <f aca="false">'📦 COGS &amp; OpEx'!AA26</f>
        <v>4551738.75</v>
      </c>
      <c r="AB22" s="60" t="n">
        <f aca="false">'📦 COGS &amp; OpEx'!AB26</f>
        <v>4333882.5</v>
      </c>
      <c r="AC22" s="60" t="n">
        <f aca="false">'📦 COGS &amp; OpEx'!AC26</f>
        <v>4613886</v>
      </c>
      <c r="AD22" s="60" t="n">
        <f aca="false">'📦 COGS &amp; OpEx'!AD26</f>
        <v>4613886</v>
      </c>
      <c r="AE22" s="60" t="n">
        <f aca="false">'📦 COGS &amp; OpEx'!AE26</f>
        <v>3978765</v>
      </c>
      <c r="AF22" s="60" t="n">
        <f aca="false">'📦 COGS &amp; OpEx'!AF26</f>
        <v>4313193.75</v>
      </c>
      <c r="AG22" s="60" t="n">
        <f aca="false">'📦 COGS &amp; OpEx'!AG26</f>
        <v>4524637.5</v>
      </c>
      <c r="AH22" s="60" t="n">
        <f aca="false">'📦 COGS &amp; OpEx'!AH26</f>
        <v>4457576.25</v>
      </c>
      <c r="AI22" s="60" t="n">
        <f aca="false">'📦 COGS &amp; OpEx'!AI26</f>
        <v>4886100</v>
      </c>
      <c r="AJ22" s="60" t="n">
        <f aca="false">'📦 COGS &amp; OpEx'!AJ26</f>
        <v>4890723.75</v>
      </c>
      <c r="AK22" s="60" t="n">
        <f aca="false">'📦 COGS &amp; OpEx'!AK26</f>
        <v>4636485</v>
      </c>
      <c r="AL22" s="60" t="n">
        <f aca="false">'📦 COGS &amp; OpEx'!AL26</f>
        <v>4476037.5</v>
      </c>
      <c r="AM22" s="60" t="n">
        <f aca="false">'📦 COGS &amp; OpEx'!AM26</f>
        <v>4551738.75</v>
      </c>
      <c r="AN22" s="60" t="n">
        <f aca="false">'📦 COGS &amp; OpEx'!AN26</f>
        <v>4333882.5</v>
      </c>
      <c r="AO22" s="60" t="n">
        <f aca="false">'📦 COGS &amp; OpEx'!AO26</f>
        <v>4613886</v>
      </c>
      <c r="AP22" s="60" t="n">
        <f aca="false">'📦 COGS &amp; OpEx'!AP26</f>
        <v>4764546</v>
      </c>
      <c r="AQ22" s="60" t="n">
        <f aca="false">'📦 COGS &amp; OpEx'!AQ26</f>
        <v>4075155</v>
      </c>
      <c r="AR22" s="60" t="n">
        <f aca="false">'📦 COGS &amp; OpEx'!AR26</f>
        <v>4432466.25</v>
      </c>
      <c r="AS22" s="60" t="n">
        <f aca="false">'📦 COGS &amp; OpEx'!AS26</f>
        <v>4664362.5</v>
      </c>
      <c r="AT22" s="60" t="n">
        <f aca="false">'📦 COGS &amp; OpEx'!AT26</f>
        <v>4589403.75</v>
      </c>
      <c r="AU22" s="60" t="n">
        <f aca="false">'📦 COGS &amp; OpEx'!AU26</f>
        <v>5031900</v>
      </c>
      <c r="AV22" s="60" t="n">
        <f aca="false">'📦 COGS &amp; OpEx'!AV26</f>
        <v>5035106.25</v>
      </c>
      <c r="AW22" s="60" t="n">
        <f aca="false">'📦 COGS &amp; OpEx'!AW26</f>
        <v>4762035</v>
      </c>
      <c r="AX22" s="60" t="n">
        <f aca="false">'📦 COGS &amp; OpEx'!AX26</f>
        <v>4591462.5</v>
      </c>
      <c r="AY22" s="60" t="n">
        <f aca="false">'📦 COGS &amp; OpEx'!AY26</f>
        <v>4671011.25</v>
      </c>
      <c r="AZ22" s="60" t="n">
        <f aca="false">'📦 COGS &amp; OpEx'!AZ26</f>
        <v>4461457.5</v>
      </c>
      <c r="BA22" s="60" t="n">
        <f aca="false">'📦 COGS &amp; OpEx'!BA26</f>
        <v>4764546</v>
      </c>
      <c r="BB22" s="60" t="n">
        <f aca="false">'📦 COGS &amp; OpEx'!BB26</f>
        <v>4710308.4</v>
      </c>
      <c r="BC22" s="60" t="n">
        <f aca="false">'📦 COGS &amp; OpEx'!BC26</f>
        <v>4102013.25</v>
      </c>
      <c r="BD22" s="60" t="n">
        <f aca="false">'📦 COGS &amp; OpEx'!BD26</f>
        <v>4384757.25</v>
      </c>
      <c r="BE22" s="60" t="n">
        <f aca="false">'📦 COGS &amp; OpEx'!BE26</f>
        <v>4608472.5</v>
      </c>
      <c r="BF22" s="60" t="n">
        <f aca="false">'📦 COGS &amp; OpEx'!BF26</f>
        <v>4536672.75</v>
      </c>
      <c r="BG22" s="60" t="n">
        <f aca="false">'📦 COGS &amp; OpEx'!BG26</f>
        <v>4944420</v>
      </c>
      <c r="BH22" s="60" t="n">
        <f aca="false">'📦 COGS &amp; OpEx'!BH26</f>
        <v>4948476.75</v>
      </c>
      <c r="BI22" s="60" t="n">
        <f aca="false">'📦 COGS &amp; OpEx'!BI26</f>
        <v>4686705</v>
      </c>
      <c r="BJ22" s="60" t="n">
        <f aca="false">'📦 COGS &amp; OpEx'!BJ26</f>
        <v>4522207.5</v>
      </c>
    </row>
    <row r="23" customFormat="false" ht="13.5" hidden="false" customHeight="true" outlineLevel="0" collapsed="false">
      <c r="A23" s="37" t="s">
        <v>380</v>
      </c>
      <c r="B23" s="68" t="n">
        <f aca="false">SUM(C23:BJ23)</f>
        <v>300000000</v>
      </c>
      <c r="C23" s="68" t="n">
        <f aca="false">'📦 COGS &amp; OpEx'!C30</f>
        <v>5000000</v>
      </c>
      <c r="D23" s="68" t="n">
        <f aca="false">'📦 COGS &amp; OpEx'!D30</f>
        <v>5000000</v>
      </c>
      <c r="E23" s="68" t="n">
        <f aca="false">'📦 COGS &amp; OpEx'!E30</f>
        <v>5000000</v>
      </c>
      <c r="F23" s="68" t="n">
        <f aca="false">'📦 COGS &amp; OpEx'!F30</f>
        <v>5000000</v>
      </c>
      <c r="G23" s="68" t="n">
        <f aca="false">'📦 COGS &amp; OpEx'!G30</f>
        <v>5000000</v>
      </c>
      <c r="H23" s="68" t="n">
        <f aca="false">'📦 COGS &amp; OpEx'!H30</f>
        <v>5000000</v>
      </c>
      <c r="I23" s="68" t="n">
        <f aca="false">'📦 COGS &amp; OpEx'!I30</f>
        <v>5000000</v>
      </c>
      <c r="J23" s="68" t="n">
        <f aca="false">'📦 COGS &amp; OpEx'!J30</f>
        <v>5000000</v>
      </c>
      <c r="K23" s="68" t="n">
        <f aca="false">'📦 COGS &amp; OpEx'!K30</f>
        <v>5000000</v>
      </c>
      <c r="L23" s="68" t="n">
        <f aca="false">'📦 COGS &amp; OpEx'!L30</f>
        <v>5000000</v>
      </c>
      <c r="M23" s="68" t="n">
        <f aca="false">'📦 COGS &amp; OpEx'!M30</f>
        <v>5000000</v>
      </c>
      <c r="N23" s="68" t="n">
        <f aca="false">'📦 COGS &amp; OpEx'!N30</f>
        <v>5000000</v>
      </c>
      <c r="O23" s="68" t="n">
        <f aca="false">'📦 COGS &amp; OpEx'!O30</f>
        <v>5000000</v>
      </c>
      <c r="P23" s="68" t="n">
        <f aca="false">'📦 COGS &amp; OpEx'!P30</f>
        <v>5000000</v>
      </c>
      <c r="Q23" s="68" t="n">
        <f aca="false">'📦 COGS &amp; OpEx'!Q30</f>
        <v>5000000</v>
      </c>
      <c r="R23" s="68" t="n">
        <f aca="false">'📦 COGS &amp; OpEx'!R30</f>
        <v>5000000</v>
      </c>
      <c r="S23" s="68" t="n">
        <f aca="false">'📦 COGS &amp; OpEx'!S30</f>
        <v>5000000</v>
      </c>
      <c r="T23" s="68" t="n">
        <f aca="false">'📦 COGS &amp; OpEx'!T30</f>
        <v>5000000</v>
      </c>
      <c r="U23" s="68" t="n">
        <f aca="false">'📦 COGS &amp; OpEx'!U30</f>
        <v>5000000</v>
      </c>
      <c r="V23" s="68" t="n">
        <f aca="false">'📦 COGS &amp; OpEx'!V30</f>
        <v>5000000</v>
      </c>
      <c r="W23" s="68" t="n">
        <f aca="false">'📦 COGS &amp; OpEx'!W30</f>
        <v>5000000</v>
      </c>
      <c r="X23" s="68" t="n">
        <f aca="false">'📦 COGS &amp; OpEx'!X30</f>
        <v>5000000</v>
      </c>
      <c r="Y23" s="68" t="n">
        <f aca="false">'📦 COGS &amp; OpEx'!Y30</f>
        <v>5000000</v>
      </c>
      <c r="Z23" s="68" t="n">
        <f aca="false">'📦 COGS &amp; OpEx'!Z30</f>
        <v>5000000</v>
      </c>
      <c r="AA23" s="68" t="n">
        <f aca="false">'📦 COGS &amp; OpEx'!AA30</f>
        <v>5000000</v>
      </c>
      <c r="AB23" s="68" t="n">
        <f aca="false">'📦 COGS &amp; OpEx'!AB30</f>
        <v>5000000</v>
      </c>
      <c r="AC23" s="68" t="n">
        <f aca="false">'📦 COGS &amp; OpEx'!AC30</f>
        <v>5000000</v>
      </c>
      <c r="AD23" s="68" t="n">
        <f aca="false">'📦 COGS &amp; OpEx'!AD30</f>
        <v>5000000</v>
      </c>
      <c r="AE23" s="68" t="n">
        <f aca="false">'📦 COGS &amp; OpEx'!AE30</f>
        <v>5000000</v>
      </c>
      <c r="AF23" s="68" t="n">
        <f aca="false">'📦 COGS &amp; OpEx'!AF30</f>
        <v>5000000</v>
      </c>
      <c r="AG23" s="68" t="n">
        <f aca="false">'📦 COGS &amp; OpEx'!AG30</f>
        <v>5000000</v>
      </c>
      <c r="AH23" s="68" t="n">
        <f aca="false">'📦 COGS &amp; OpEx'!AH30</f>
        <v>5000000</v>
      </c>
      <c r="AI23" s="68" t="n">
        <f aca="false">'📦 COGS &amp; OpEx'!AI30</f>
        <v>5000000</v>
      </c>
      <c r="AJ23" s="68" t="n">
        <f aca="false">'📦 COGS &amp; OpEx'!AJ30</f>
        <v>5000000</v>
      </c>
      <c r="AK23" s="68" t="n">
        <f aca="false">'📦 COGS &amp; OpEx'!AK30</f>
        <v>5000000</v>
      </c>
      <c r="AL23" s="68" t="n">
        <f aca="false">'📦 COGS &amp; OpEx'!AL30</f>
        <v>5000000</v>
      </c>
      <c r="AM23" s="68" t="n">
        <f aca="false">'📦 COGS &amp; OpEx'!AM30</f>
        <v>5000000</v>
      </c>
      <c r="AN23" s="68" t="n">
        <f aca="false">'📦 COGS &amp; OpEx'!AN30</f>
        <v>5000000</v>
      </c>
      <c r="AO23" s="68" t="n">
        <f aca="false">'📦 COGS &amp; OpEx'!AO30</f>
        <v>5000000</v>
      </c>
      <c r="AP23" s="68" t="n">
        <f aca="false">'📦 COGS &amp; OpEx'!AP30</f>
        <v>5000000</v>
      </c>
      <c r="AQ23" s="68" t="n">
        <f aca="false">'📦 COGS &amp; OpEx'!AQ30</f>
        <v>5000000</v>
      </c>
      <c r="AR23" s="68" t="n">
        <f aca="false">'📦 COGS &amp; OpEx'!AR30</f>
        <v>5000000</v>
      </c>
      <c r="AS23" s="68" t="n">
        <f aca="false">'📦 COGS &amp; OpEx'!AS30</f>
        <v>5000000</v>
      </c>
      <c r="AT23" s="68" t="n">
        <f aca="false">'📦 COGS &amp; OpEx'!AT30</f>
        <v>5000000</v>
      </c>
      <c r="AU23" s="68" t="n">
        <f aca="false">'📦 COGS &amp; OpEx'!AU30</f>
        <v>5000000</v>
      </c>
      <c r="AV23" s="68" t="n">
        <f aca="false">'📦 COGS &amp; OpEx'!AV30</f>
        <v>5000000</v>
      </c>
      <c r="AW23" s="68" t="n">
        <f aca="false">'📦 COGS &amp; OpEx'!AW30</f>
        <v>5000000</v>
      </c>
      <c r="AX23" s="68" t="n">
        <f aca="false">'📦 COGS &amp; OpEx'!AX30</f>
        <v>5000000</v>
      </c>
      <c r="AY23" s="68" t="n">
        <f aca="false">'📦 COGS &amp; OpEx'!AY30</f>
        <v>5000000</v>
      </c>
      <c r="AZ23" s="68" t="n">
        <f aca="false">'📦 COGS &amp; OpEx'!AZ30</f>
        <v>5000000</v>
      </c>
      <c r="BA23" s="68" t="n">
        <f aca="false">'📦 COGS &amp; OpEx'!BA30</f>
        <v>5000000</v>
      </c>
      <c r="BB23" s="68" t="n">
        <f aca="false">'📦 COGS &amp; OpEx'!BB30</f>
        <v>5000000</v>
      </c>
      <c r="BC23" s="68" t="n">
        <f aca="false">'📦 COGS &amp; OpEx'!BC30</f>
        <v>5000000</v>
      </c>
      <c r="BD23" s="68" t="n">
        <f aca="false">'📦 COGS &amp; OpEx'!BD30</f>
        <v>5000000</v>
      </c>
      <c r="BE23" s="68" t="n">
        <f aca="false">'📦 COGS &amp; OpEx'!BE30</f>
        <v>5000000</v>
      </c>
      <c r="BF23" s="68" t="n">
        <f aca="false">'📦 COGS &amp; OpEx'!BF30</f>
        <v>5000000</v>
      </c>
      <c r="BG23" s="68" t="n">
        <f aca="false">'📦 COGS &amp; OpEx'!BG30</f>
        <v>5000000</v>
      </c>
      <c r="BH23" s="68" t="n">
        <f aca="false">'📦 COGS &amp; OpEx'!BH30</f>
        <v>5000000</v>
      </c>
      <c r="BI23" s="68" t="n">
        <f aca="false">'📦 COGS &amp; OpEx'!BI30</f>
        <v>5000000</v>
      </c>
      <c r="BJ23" s="68" t="n">
        <f aca="false">'📦 COGS &amp; OpEx'!BJ30</f>
        <v>5000000</v>
      </c>
    </row>
    <row r="24" customFormat="false" ht="13.5" hidden="false" customHeight="true" outlineLevel="0" collapsed="false">
      <c r="A24" s="38" t="s">
        <v>381</v>
      </c>
      <c r="B24" s="68" t="n">
        <f aca="false">SUM(C24:BJ24)</f>
        <v>93981133.0037044</v>
      </c>
      <c r="C24" s="60" t="n">
        <f aca="false">'🏦 Loan Schedule'!D14</f>
        <v>3386250</v>
      </c>
      <c r="D24" s="60" t="n">
        <f aca="false">'🏦 Loan Schedule'!D15</f>
        <v>3303965.03028028</v>
      </c>
      <c r="E24" s="60" t="n">
        <f aca="false">'🏦 Loan Schedule'!D16</f>
        <v>3221062.92328765</v>
      </c>
      <c r="F24" s="60" t="n">
        <f aca="false">'🏦 Loan Schedule'!D17</f>
        <v>3137539.05049259</v>
      </c>
      <c r="G24" s="60" t="n">
        <f aca="false">'🏦 Loan Schedule'!D18</f>
        <v>3053388.74865156</v>
      </c>
      <c r="H24" s="60" t="n">
        <f aca="false">'🏦 Loan Schedule'!D19</f>
        <v>2968607.31954672</v>
      </c>
      <c r="I24" s="60" t="n">
        <f aca="false">'🏦 Loan Schedule'!D20</f>
        <v>2883190.0297236</v>
      </c>
      <c r="J24" s="60" t="n">
        <f aca="false">'🏦 Loan Schedule'!D21</f>
        <v>2797132.1102268</v>
      </c>
      <c r="K24" s="60" t="n">
        <f aca="false">'🏦 Loan Schedule'!D22</f>
        <v>2710428.75633378</v>
      </c>
      <c r="L24" s="60" t="n">
        <f aca="false">'🏦 Loan Schedule'!D23</f>
        <v>2623075.12728655</v>
      </c>
      <c r="M24" s="60" t="n">
        <f aca="false">'🏦 Loan Schedule'!D24</f>
        <v>2535066.34602148</v>
      </c>
      <c r="N24" s="60" t="n">
        <f aca="false">'🏦 Loan Schedule'!D25</f>
        <v>2446397.49889692</v>
      </c>
      <c r="O24" s="60" t="n">
        <f aca="false">'🏦 Loan Schedule'!D26</f>
        <v>2357063.63541892</v>
      </c>
      <c r="P24" s="60" t="n">
        <f aca="false">'🏦 Loan Schedule'!D27</f>
        <v>2267059.76796484</v>
      </c>
      <c r="Q24" s="60" t="n">
        <f aca="false">'🏦 Loan Schedule'!D28</f>
        <v>2176380.87150485</v>
      </c>
      <c r="R24" s="60" t="n">
        <f aca="false">'🏦 Loan Schedule'!D29</f>
        <v>2085021.88332141</v>
      </c>
      <c r="S24" s="60" t="n">
        <f aca="false">'🏦 Loan Schedule'!D30</f>
        <v>1992977.7027266</v>
      </c>
      <c r="T24" s="60" t="n">
        <f aca="false">'🏦 Loan Schedule'!D31</f>
        <v>1900243.19077732</v>
      </c>
      <c r="U24" s="60" t="n">
        <f aca="false">'🏦 Loan Schedule'!D32</f>
        <v>1806813.16998843</v>
      </c>
      <c r="V24" s="60" t="n">
        <f aca="false">'🏦 Loan Schedule'!D33</f>
        <v>1712682.42404362</v>
      </c>
      <c r="W24" s="60" t="n">
        <f aca="false">'🏦 Loan Schedule'!D34</f>
        <v>1617845.69750422</v>
      </c>
      <c r="X24" s="60" t="n">
        <f aca="false">'🏦 Loan Schedule'!D35</f>
        <v>1522297.69551578</v>
      </c>
      <c r="Y24" s="60" t="n">
        <f aca="false">'🏦 Loan Schedule'!D36</f>
        <v>1426033.08351242</v>
      </c>
      <c r="Z24" s="60" t="n">
        <f aca="false">'🏦 Loan Schedule'!D37</f>
        <v>1329046.48691904</v>
      </c>
      <c r="AA24" s="60" t="n">
        <f aca="false">'🏦 Loan Schedule'!D38</f>
        <v>1231332.49085121</v>
      </c>
      <c r="AB24" s="60" t="n">
        <f aca="false">'🏦 Loan Schedule'!D39</f>
        <v>1132885.63981287</v>
      </c>
      <c r="AC24" s="60" t="n">
        <f aca="false">'🏦 Loan Schedule'!D40</f>
        <v>1033700.43739174</v>
      </c>
      <c r="AD24" s="60" t="n">
        <f aca="false">'🏦 Loan Schedule'!D41</f>
        <v>933771.345952457</v>
      </c>
      <c r="AE24" s="60" t="n">
        <f aca="false">'🏦 Loan Schedule'!D42</f>
        <v>833092.786327376</v>
      </c>
      <c r="AF24" s="60" t="n">
        <f aca="false">'🏦 Loan Schedule'!D43</f>
        <v>731659.137505107</v>
      </c>
      <c r="AG24" s="60" t="n">
        <f aca="false">'🏦 Loan Schedule'!D44</f>
        <v>629464.736316672</v>
      </c>
      <c r="AH24" s="60" t="n">
        <f aca="false">'🏦 Loan Schedule'!D45</f>
        <v>526503.877119322</v>
      </c>
      <c r="AI24" s="60" t="n">
        <f aca="false">'🏦 Loan Schedule'!D46</f>
        <v>422770.811477993</v>
      </c>
      <c r="AJ24" s="60" t="n">
        <f aca="false">'🏦 Loan Schedule'!D47</f>
        <v>318259.747844354</v>
      </c>
      <c r="AK24" s="60" t="n">
        <f aca="false">'🏦 Loan Schedule'!D48</f>
        <v>212964.851233463</v>
      </c>
      <c r="AL24" s="60" t="n">
        <f aca="false">'🏦 Loan Schedule'!D49</f>
        <v>106880.242897989</v>
      </c>
      <c r="AM24" s="60" t="n">
        <f aca="false">'🏦 Loan Schedule'!E49</f>
        <v>14250699.0530652</v>
      </c>
      <c r="AN24" s="60" t="n">
        <f aca="false">'🏦 Loan Schedule'!F49</f>
        <v>14357579.2959632</v>
      </c>
      <c r="AO24" s="60" t="n">
        <f aca="false">'🏦 Loan Schedule'!G49</f>
        <v>0</v>
      </c>
      <c r="AP24" s="60" t="n">
        <f aca="false">'🏦 Loan Schedule'!H49</f>
        <v>0</v>
      </c>
      <c r="AQ24" s="60" t="n">
        <f aca="false">'🏦 Loan Schedule'!I49</f>
        <v>0</v>
      </c>
      <c r="AR24" s="60" t="n">
        <f aca="false">'🏦 Loan Schedule'!J49</f>
        <v>0</v>
      </c>
      <c r="AS24" s="60" t="n">
        <f aca="false">'🏦 Loan Schedule'!K49</f>
        <v>0</v>
      </c>
      <c r="AT24" s="60" t="n">
        <f aca="false">'🏦 Loan Schedule'!L49</f>
        <v>0</v>
      </c>
      <c r="AU24" s="60" t="n">
        <f aca="false">'🏦 Loan Schedule'!M49</f>
        <v>0</v>
      </c>
      <c r="AV24" s="60" t="n">
        <f aca="false">'🏦 Loan Schedule'!N49</f>
        <v>0</v>
      </c>
      <c r="AW24" s="60" t="n">
        <f aca="false">'🏦 Loan Schedule'!O49</f>
        <v>0</v>
      </c>
      <c r="AX24" s="60" t="n">
        <f aca="false">'🏦 Loan Schedule'!P49</f>
        <v>0</v>
      </c>
      <c r="AY24" s="60" t="n">
        <f aca="false">'🏦 Loan Schedule'!Q49</f>
        <v>0</v>
      </c>
      <c r="AZ24" s="60" t="n">
        <f aca="false">'🏦 Loan Schedule'!R49</f>
        <v>0</v>
      </c>
      <c r="BA24" s="60" t="n">
        <f aca="false">'🏦 Loan Schedule'!S49</f>
        <v>0</v>
      </c>
      <c r="BB24" s="60" t="n">
        <f aca="false">'🏦 Loan Schedule'!T49</f>
        <v>0</v>
      </c>
      <c r="BC24" s="60" t="n">
        <f aca="false">'🏦 Loan Schedule'!U49</f>
        <v>0</v>
      </c>
      <c r="BD24" s="60" t="n">
        <f aca="false">'🏦 Loan Schedule'!V49</f>
        <v>0</v>
      </c>
      <c r="BE24" s="60" t="n">
        <f aca="false">'🏦 Loan Schedule'!W49</f>
        <v>0</v>
      </c>
      <c r="BF24" s="60" t="n">
        <f aca="false">'🏦 Loan Schedule'!X49</f>
        <v>0</v>
      </c>
      <c r="BG24" s="60" t="n">
        <f aca="false">'🏦 Loan Schedule'!Y49</f>
        <v>0</v>
      </c>
      <c r="BH24" s="60" t="n">
        <f aca="false">'🏦 Loan Schedule'!Z49</f>
        <v>0</v>
      </c>
      <c r="BI24" s="60" t="n">
        <f aca="false">'🏦 Loan Schedule'!AA49</f>
        <v>0</v>
      </c>
      <c r="BJ24" s="60" t="n">
        <f aca="false">'🏦 Loan Schedule'!AB49</f>
        <v>0</v>
      </c>
    </row>
    <row r="25" customFormat="false" ht="13.5" hidden="false" customHeight="true" outlineLevel="0" collapsed="false">
      <c r="A25" s="66" t="s">
        <v>382</v>
      </c>
      <c r="B25" s="67" t="n">
        <f aca="false">SUM(C25:BJ25)</f>
        <v>9429616783.5662</v>
      </c>
      <c r="C25" s="67" t="n">
        <f aca="false">C15+C16+C17+C18+C19+C20+C21+C22+C23+C24</f>
        <v>68761250</v>
      </c>
      <c r="D25" s="67" t="n">
        <f aca="false">D15+D16+D17+D18+D19+D20+D21+D22+D23+D24</f>
        <v>68678965.0302803</v>
      </c>
      <c r="E25" s="67" t="n">
        <f aca="false">E15+E16+E17+E18+E19+E20+E21+E22+E23+E24</f>
        <v>132692840.423288</v>
      </c>
      <c r="F25" s="67" t="n">
        <f aca="false">F15+F16+F17+F18+F19+F20+F21+F22+F23+F24</f>
        <v>132609316.550493</v>
      </c>
      <c r="G25" s="67" t="n">
        <f aca="false">G15+G16+G17+G18+G19+G20+G21+G22+G23+G24</f>
        <v>118397002.811152</v>
      </c>
      <c r="H25" s="67" t="n">
        <f aca="false">H15+H16+H17+H18+H19+H20+H21+H22+H23+H24</f>
        <v>123254571.382047</v>
      </c>
      <c r="I25" s="67" t="n">
        <f aca="false">I15+I16+I17+I18+I19+I20+I21+I22+I23+I24</f>
        <v>148088213.467224</v>
      </c>
      <c r="J25" s="67" t="n">
        <f aca="false">J15+J16+J17+J18+J19+J20+J21+J22+J23+J24</f>
        <v>146120867.266477</v>
      </c>
      <c r="K25" s="67" t="n">
        <f aca="false">K15+K16+K17+K18+K19+K20+K21+K22+K23+K24</f>
        <v>159729428.756334</v>
      </c>
      <c r="L25" s="67" t="n">
        <f aca="false">L15+L16+L17+L18+L19+L20+L21+L22+L23+L24</f>
        <v>151508282.939787</v>
      </c>
      <c r="M25" s="67" t="n">
        <f aca="false">M15+M16+M17+M18+M19+M20+M21+M22+M23+M24</f>
        <v>145240860.096021</v>
      </c>
      <c r="N25" s="67" t="n">
        <f aca="false">N15+N16+N17+N18+N19+N20+N21+N22+N23+N24</f>
        <v>143310327.186397</v>
      </c>
      <c r="O25" s="67" t="n">
        <f aca="false">O15+O16+O17+O18+O19+O20+O21+O22+O23+O24</f>
        <v>145177290.979169</v>
      </c>
      <c r="P25" s="67" t="n">
        <f aca="false">P15+P16+P17+P18+P19+P20+P21+P22+P23+P24</f>
        <v>137013591.017965</v>
      </c>
      <c r="Q25" s="67" t="n">
        <f aca="false">Q15+Q16+Q17+Q18+Q19+Q20+Q21+Q22+Q23+Q24</f>
        <v>143673755.871505</v>
      </c>
      <c r="R25" s="67" t="n">
        <f aca="false">R15+R16+R17+R18+R19+R20+R21+R22+R23+R24</f>
        <v>152370896.883321</v>
      </c>
      <c r="S25" s="67" t="n">
        <f aca="false">S15+S16+S17+S18+S19+S20+S21+S22+S23+S24</f>
        <v>146249752.702727</v>
      </c>
      <c r="T25" s="67" t="n">
        <f aca="false">T15+T16+T17+T18+T19+T20+T21+T22+T23+T24</f>
        <v>157862024.440777</v>
      </c>
      <c r="U25" s="67" t="n">
        <f aca="false">U15+U16+U17+U18+U19+U20+U21+U22+U23+U24</f>
        <v>165169125.669988</v>
      </c>
      <c r="V25" s="67" t="n">
        <f aca="false">V15+V16+V17+V18+V19+V20+V21+V22+V23+V24</f>
        <v>162727851.174044</v>
      </c>
      <c r="W25" s="67" t="n">
        <f aca="false">W15+W16+W17+W18+W19+W20+W21+W22+W23+W24</f>
        <v>177631345.697504</v>
      </c>
      <c r="X25" s="67" t="n">
        <f aca="false">X15+X16+X17+X18+X19+X20+X21+X22+X23+X24</f>
        <v>177697628.945516</v>
      </c>
      <c r="Y25" s="67" t="n">
        <f aca="false">Y15+Y16+Y17+Y18+Y19+Y20+Y21+Y22+Y23+Y24</f>
        <v>168703008.083512</v>
      </c>
      <c r="Z25" s="67" t="n">
        <f aca="false">Z15+Z16+Z17+Z18+Z19+Z20+Z21+Z22+Z23+Z24</f>
        <v>162990358.986919</v>
      </c>
      <c r="AA25" s="67" t="n">
        <f aca="false">AA15+AA16+AA17+AA18+AA19+AA20+AA21+AA22+AA23+AA24</f>
        <v>165542188.740851</v>
      </c>
      <c r="AB25" s="67" t="n">
        <f aca="false">AB15+AB16+AB17+AB18+AB19+AB20+AB21+AB22+AB23+AB24</f>
        <v>157818773.139813</v>
      </c>
      <c r="AC25" s="67" t="n">
        <f aca="false">AC15+AC16+AC17+AC18+AC19+AC20+AC21+AC22+AC23+AC24</f>
        <v>167519710.437392</v>
      </c>
      <c r="AD25" s="67" t="n">
        <f aca="false">AD15+AD16+AD17+AD18+AD19+AD20+AD21+AD22+AD23+AD24</f>
        <v>167419781.345952</v>
      </c>
      <c r="AE25" s="67" t="n">
        <f aca="false">AE15+AE16+AE17+AE18+AE19+AE20+AE21+AE22+AE23+AE24</f>
        <v>145089867.786327</v>
      </c>
      <c r="AF25" s="67" t="n">
        <f aca="false">AF15+AF16+AF17+AF18+AF19+AF20+AF21+AF22+AF23+AF24</f>
        <v>156693440.387505</v>
      </c>
      <c r="AG25" s="67" t="n">
        <f aca="false">AG15+AG16+AG17+AG18+AG19+AG20+AG21+AG22+AG23+AG24</f>
        <v>163991777.236317</v>
      </c>
      <c r="AH25" s="67" t="n">
        <f aca="false">AH15+AH16+AH17+AH18+AH19+AH20+AH21+AH22+AH23+AH24</f>
        <v>161541672.627119</v>
      </c>
      <c r="AI25" s="67" t="n">
        <f aca="false">AI15+AI16+AI17+AI18+AI19+AI20+AI21+AI22+AI23+AI24</f>
        <v>176436270.811478</v>
      </c>
      <c r="AJ25" s="67" t="n">
        <f aca="false">AJ15+AJ16+AJ17+AJ18+AJ19+AJ20+AJ21+AJ22+AJ23+AJ24</f>
        <v>176493590.997844</v>
      </c>
      <c r="AK25" s="67" t="n">
        <f aca="false">AK15+AK16+AK17+AK18+AK19+AK20+AK21+AK22+AK23+AK24</f>
        <v>167489939.851233</v>
      </c>
      <c r="AL25" s="67" t="n">
        <f aca="false">AL15+AL16+AL17+AL18+AL19+AL20+AL21+AL22+AL23+AL24</f>
        <v>161768192.742898</v>
      </c>
      <c r="AM25" s="67" t="n">
        <f aca="false">AM15+AM16+AM17+AM18+AM19+AM20+AM21+AM22+AM23+AM24</f>
        <v>178561555.303065</v>
      </c>
      <c r="AN25" s="67" t="n">
        <f aca="false">AN15+AN16+AN17+AN18+AN19+AN20+AN21+AN22+AN23+AN24</f>
        <v>171043466.795963</v>
      </c>
      <c r="AO25" s="67" t="n">
        <f aca="false">AO15+AO16+AO17+AO18+AO19+AO20+AO21+AO22+AO23+AO24</f>
        <v>166486010</v>
      </c>
      <c r="AP25" s="67" t="n">
        <f aca="false">AP15+AP16+AP17+AP18+AP19+AP20+AP21+AP22+AP23+AP24</f>
        <v>171759110</v>
      </c>
      <c r="AQ25" s="67" t="n">
        <f aca="false">AQ15+AQ16+AQ17+AQ18+AQ19+AQ20+AQ21+AQ22+AQ23+AQ24</f>
        <v>147630425</v>
      </c>
      <c r="AR25" s="67" t="n">
        <f aca="false">AR15+AR16+AR17+AR18+AR19+AR20+AR21+AR22+AR23+AR24</f>
        <v>160136318.75</v>
      </c>
      <c r="AS25" s="67" t="n">
        <f aca="false">AS15+AS16+AS17+AS18+AS19+AS20+AS21+AS22+AS23+AS24</f>
        <v>168252687.5</v>
      </c>
      <c r="AT25" s="67" t="n">
        <f aca="false">AT15+AT16+AT17+AT18+AT19+AT20+AT21+AT22+AT23+AT24</f>
        <v>165629131.25</v>
      </c>
      <c r="AU25" s="67" t="n">
        <f aca="false">AU15+AU16+AU17+AU18+AU19+AU20+AU21+AU22+AU23+AU24</f>
        <v>181116500</v>
      </c>
      <c r="AV25" s="67" t="n">
        <f aca="false">AV15+AV16+AV17+AV18+AV19+AV20+AV21+AV22+AV23+AV24</f>
        <v>181228718.75</v>
      </c>
      <c r="AW25" s="67" t="n">
        <f aca="false">AW15+AW16+AW17+AW18+AW19+AW20+AW21+AW22+AW23+AW24</f>
        <v>171671225</v>
      </c>
      <c r="AX25" s="67" t="n">
        <f aca="false">AX15+AX16+AX17+AX18+AX19+AX20+AX21+AX22+AX23+AX24</f>
        <v>165701187.5</v>
      </c>
      <c r="AY25" s="67" t="n">
        <f aca="false">AY15+AY16+AY17+AY18+AY19+AY20+AY21+AY22+AY23+AY24</f>
        <v>168485393.75</v>
      </c>
      <c r="AZ25" s="67" t="n">
        <f aca="false">AZ15+AZ16+AZ17+AZ18+AZ19+AZ20+AZ21+AZ22+AZ23+AZ24</f>
        <v>161151012.5</v>
      </c>
      <c r="BA25" s="67" t="n">
        <f aca="false">BA15+BA16+BA17+BA18+BA19+BA20+BA21+BA22+BA23+BA24</f>
        <v>171759110</v>
      </c>
      <c r="BB25" s="67" t="n">
        <f aca="false">BB15+BB16+BB17+BB18+BB19+BB20+BB21+BB22+BB23+BB24</f>
        <v>169860794</v>
      </c>
      <c r="BC25" s="67" t="n">
        <f aca="false">BC15+BC16+BC17+BC18+BC19+BC20+BC21+BC22+BC23+BC24</f>
        <v>148570463.75</v>
      </c>
      <c r="BD25" s="67" t="n">
        <f aca="false">BD15+BD16+BD17+BD18+BD19+BD20+BD21+BD22+BD23+BD24</f>
        <v>158466503.75</v>
      </c>
      <c r="BE25" s="67" t="n">
        <f aca="false">BE15+BE16+BE17+BE18+BE19+BE20+BE21+BE22+BE23+BE24</f>
        <v>166296537.5</v>
      </c>
      <c r="BF25" s="67" t="n">
        <f aca="false">BF15+BF16+BF17+BF18+BF19+BF20+BF21+BF22+BF23+BF24</f>
        <v>163783546.25</v>
      </c>
      <c r="BG25" s="67" t="n">
        <f aca="false">BG15+BG16+BG17+BG18+BG19+BG20+BG21+BG22+BG23+BG24</f>
        <v>178054700</v>
      </c>
      <c r="BH25" s="67" t="n">
        <f aca="false">BH15+BH16+BH17+BH18+BH19+BH20+BH21+BH22+BH23+BH24</f>
        <v>178196686.25</v>
      </c>
      <c r="BI25" s="67" t="n">
        <f aca="false">BI15+BI16+BI17+BI18+BI19+BI20+BI21+BI22+BI23+BI24</f>
        <v>169034675</v>
      </c>
      <c r="BJ25" s="67" t="n">
        <f aca="false">BJ15+BJ16+BJ17+BJ18+BJ19+BJ20+BJ21+BJ22+BJ23+BJ24</f>
        <v>163277262.5</v>
      </c>
    </row>
    <row r="26" customFormat="false" ht="13.5" hidden="false" customHeight="true" outlineLevel="0" collapsed="false">
      <c r="A26" s="69" t="s">
        <v>383</v>
      </c>
      <c r="B26" s="70" t="n">
        <f aca="false">SUM(C26:BJ26)</f>
        <v>8474506949.4375</v>
      </c>
      <c r="C26" s="70" t="n">
        <f aca="false">C12-C25+C23+C24</f>
        <v>-60375000</v>
      </c>
      <c r="D26" s="70" t="n">
        <f aca="false">D12-D25+D23+D24</f>
        <v>-60375000</v>
      </c>
      <c r="E26" s="70" t="n">
        <f aca="false">E12-E25+E23+E24</f>
        <v>-34075777.5</v>
      </c>
      <c r="F26" s="70" t="n">
        <f aca="false">F12-F25+F23+F24</f>
        <v>-32066977.5</v>
      </c>
      <c r="G26" s="70" t="n">
        <f aca="false">G12-G25+G23+G24</f>
        <v>-8292614.06250001</v>
      </c>
      <c r="H26" s="70" t="n">
        <f aca="false">H12-H25+H23+H24</f>
        <v>6637035.93750001</v>
      </c>
      <c r="I26" s="70" t="n">
        <f aca="false">I12-I25+I23+I24</f>
        <v>74039976.5625</v>
      </c>
      <c r="J26" s="70" t="n">
        <f aca="false">J12-J25+J23+J24</f>
        <v>63811764.84375</v>
      </c>
      <c r="K26" s="70" t="n">
        <f aca="false">K12-K25+K23+K24</f>
        <v>86445000</v>
      </c>
      <c r="L26" s="70" t="n">
        <f aca="false">L12-L25+L23+L24</f>
        <v>121778592.1875</v>
      </c>
      <c r="M26" s="70" t="n">
        <f aca="false">M12-M25+M23+M24</f>
        <v>93306206.25</v>
      </c>
      <c r="N26" s="70" t="n">
        <f aca="false">N12-N25+N23+N24</f>
        <v>88317070.3125</v>
      </c>
      <c r="O26" s="70" t="n">
        <f aca="false">O12-O25+O23+O24</f>
        <v>93833472.65625</v>
      </c>
      <c r="P26" s="70" t="n">
        <f aca="false">P12-P25+P23+P24</f>
        <v>131073468.75</v>
      </c>
      <c r="Q26" s="70" t="n">
        <f aca="false">Q12-Q25+Q23+Q24</f>
        <v>171518625</v>
      </c>
      <c r="R26" s="70" t="n">
        <f aca="false">R12-R25+R23+R24</f>
        <v>172774125</v>
      </c>
      <c r="S26" s="70" t="n">
        <f aca="false">S12-S25+S23+S24</f>
        <v>104931225</v>
      </c>
      <c r="T26" s="70" t="n">
        <f aca="false">T12-T25+T23+T24</f>
        <v>151195218.75</v>
      </c>
      <c r="U26" s="70" t="n">
        <f aca="false">U12-U25+U23+U24</f>
        <v>195607687.5</v>
      </c>
      <c r="V26" s="70" t="n">
        <f aca="false">V12-V25+V23+V24</f>
        <v>177947831.25</v>
      </c>
      <c r="W26" s="70" t="n">
        <f aca="false">W12-W25+W23+W24</f>
        <v>198346500</v>
      </c>
      <c r="X26" s="70" t="n">
        <f aca="false">X12-X25+X23+X24</f>
        <v>194593668.75</v>
      </c>
      <c r="Y26" s="70" t="n">
        <f aca="false">Y12-Y25+Y23+Y24</f>
        <v>155783025</v>
      </c>
      <c r="Z26" s="70" t="n">
        <f aca="false">Z12-Z25+Z23+Z24</f>
        <v>135748687.5</v>
      </c>
      <c r="AA26" s="70" t="n">
        <f aca="false">AA12-AA25+AA23+AA24</f>
        <v>142846143.75</v>
      </c>
      <c r="AB26" s="70" t="n">
        <f aca="false">AB12-AB25+AB23+AB24</f>
        <v>171504112.5</v>
      </c>
      <c r="AC26" s="70" t="n">
        <f aca="false">AC12-AC25+AC23+AC24</f>
        <v>220185990</v>
      </c>
      <c r="AD26" s="70" t="n">
        <f aca="false">AD12-AD25+AD23+AD24</f>
        <v>224203590</v>
      </c>
      <c r="AE26" s="70" t="n">
        <f aca="false">AE12-AE25+AE23+AE24</f>
        <v>107501625</v>
      </c>
      <c r="AF26" s="70" t="n">
        <f aca="false">AF12-AF25+AF23+AF24</f>
        <v>154375818.75</v>
      </c>
      <c r="AG26" s="70" t="n">
        <f aca="false">AG12-AG25+AG23+AG24</f>
        <v>199333687.5</v>
      </c>
      <c r="AH26" s="70" t="n">
        <f aca="false">AH12-AH25+AH23+AH24</f>
        <v>181463231.25</v>
      </c>
      <c r="AI26" s="70" t="n">
        <f aca="false">AI12-AI25+AI23+AI24</f>
        <v>202234500</v>
      </c>
      <c r="AJ26" s="70" t="n">
        <f aca="false">AJ12-AJ25+AJ23+AJ24</f>
        <v>198443868.75</v>
      </c>
      <c r="AK26" s="70" t="n">
        <f aca="false">AK12-AK25+AK23+AK24</f>
        <v>159131025</v>
      </c>
      <c r="AL26" s="70" t="n">
        <f aca="false">AL12-AL25+AL23+AL24</f>
        <v>138826687.5</v>
      </c>
      <c r="AM26" s="70" t="n">
        <f aca="false">AM12-AM25+AM23+AM24</f>
        <v>146026743.75</v>
      </c>
      <c r="AN26" s="70" t="n">
        <f aca="false">AN12-AN25+AN23+AN24</f>
        <v>174906112.5</v>
      </c>
      <c r="AO26" s="70" t="n">
        <f aca="false">AO12-AO25+AO23+AO24</f>
        <v>224203590</v>
      </c>
      <c r="AP26" s="70" t="n">
        <f aca="false">AP12-AP25+AP23+AP24</f>
        <v>218930490</v>
      </c>
      <c r="AQ26" s="70" t="n">
        <f aca="false">AQ12-AQ25+AQ23+AQ24</f>
        <v>104127975</v>
      </c>
      <c r="AR26" s="70" t="n">
        <f aca="false">AR12-AR25+AR23+AR24</f>
        <v>150201281.25</v>
      </c>
      <c r="AS26" s="70" t="n">
        <f aca="false">AS12-AS25+AS23+AS24</f>
        <v>194443312.5</v>
      </c>
      <c r="AT26" s="70" t="n">
        <f aca="false">AT12-AT25+AT23+AT24</f>
        <v>176849268.75</v>
      </c>
      <c r="AU26" s="70" t="n">
        <f aca="false">AU12-AU25+AU23+AU24</f>
        <v>197131500</v>
      </c>
      <c r="AV26" s="70" t="n">
        <f aca="false">AV12-AV25+AV23+AV24</f>
        <v>193390481.25</v>
      </c>
      <c r="AW26" s="70" t="n">
        <f aca="false">AW12-AW25+AW23+AW24</f>
        <v>154736775</v>
      </c>
      <c r="AX26" s="70" t="n">
        <f aca="false">AX12-AX25+AX23+AX24</f>
        <v>134786812.5</v>
      </c>
      <c r="AY26" s="70" t="n">
        <f aca="false">AY12-AY25+AY23+AY24</f>
        <v>141852206.25</v>
      </c>
      <c r="AZ26" s="70" t="n">
        <f aca="false">AZ12-AZ25+AZ23+AZ24</f>
        <v>170440987.5</v>
      </c>
      <c r="BA26" s="70" t="n">
        <f aca="false">BA12-BA25+BA23+BA24</f>
        <v>218930490</v>
      </c>
      <c r="BB26" s="70" t="n">
        <f aca="false">BB12-BB25+BB23+BB24</f>
        <v>220828806</v>
      </c>
      <c r="BC26" s="70" t="n">
        <f aca="false">BC12-BC25+BC23+BC24</f>
        <v>112000736.25</v>
      </c>
      <c r="BD26" s="70" t="n">
        <f aca="false">BD12-BD25+BD23+BD24</f>
        <v>151871096.25</v>
      </c>
      <c r="BE26" s="70" t="n">
        <f aca="false">BE12-BE25+BE23+BE24</f>
        <v>196399462.5</v>
      </c>
      <c r="BF26" s="70" t="n">
        <f aca="false">BF12-BF25+BF23+BF24</f>
        <v>178694853.75</v>
      </c>
      <c r="BG26" s="70" t="n">
        <f aca="false">BG12-BG25+BG23+BG24</f>
        <v>200193300</v>
      </c>
      <c r="BH26" s="70" t="n">
        <f aca="false">BH12-BH25+BH23+BH24</f>
        <v>196422513.75</v>
      </c>
      <c r="BI26" s="70" t="n">
        <f aca="false">BI12-BI25+BI23+BI24</f>
        <v>157373325</v>
      </c>
      <c r="BJ26" s="70" t="n">
        <f aca="false">BJ12-BJ25+BJ23+BJ24</f>
        <v>137210737.5</v>
      </c>
    </row>
    <row r="27" customFormat="false" ht="13.5" hidden="false" customHeight="true" outlineLevel="0" collapsed="false">
      <c r="A27" s="37" t="s">
        <v>384</v>
      </c>
      <c r="B27" s="82" t="str">
        <f aca="false">""</f>
        <v/>
      </c>
      <c r="C27" s="82" t="str">
        <f aca="false">IFERROR(C26/C8,"-")</f>
        <v>-</v>
      </c>
      <c r="D27" s="82" t="str">
        <f aca="false">IFERROR(D26/D8,"-")</f>
        <v>-</v>
      </c>
      <c r="E27" s="82" t="n">
        <f aca="false">IFERROR(E26/E8,"-")</f>
        <v>-0.271412007168459</v>
      </c>
      <c r="F27" s="82" t="n">
        <f aca="false">IFERROR(F26/F8,"-")</f>
        <v>-0.255412007168459</v>
      </c>
      <c r="G27" s="82" t="n">
        <f aca="false">IFERROR(G26/G8,"-")</f>
        <v>-0.0598069979716025</v>
      </c>
      <c r="H27" s="82" t="n">
        <f aca="false">IFERROR(H26/H8,"-")</f>
        <v>0.0400651103565365</v>
      </c>
      <c r="I27" s="82" t="n">
        <f aca="false">IFERROR(I26/I8,"-")</f>
        <v>0.254350966183575</v>
      </c>
      <c r="J27" s="82" t="n">
        <f aca="false">IFERROR(J26/J8,"-")</f>
        <v>0.232346415770609</v>
      </c>
      <c r="K27" s="82" t="n">
        <f aca="false">IFERROR(K26/K8,"-")</f>
        <v>0.266805555555556</v>
      </c>
      <c r="L27" s="82" t="n">
        <f aca="false">IFERROR(L26/L8,"-")</f>
        <v>0.337377707651551</v>
      </c>
      <c r="M27" s="82" t="n">
        <f aca="false">IFERROR(M26/M8,"-")</f>
        <v>0.297271863799283</v>
      </c>
      <c r="N27" s="82" t="n">
        <f aca="false">IFERROR(N26/N8,"-")</f>
        <v>0.289950369344414</v>
      </c>
      <c r="O27" s="82" t="n">
        <f aca="false">IFERROR(O26/O8,"-")</f>
        <v>0.298123603788759</v>
      </c>
      <c r="P27" s="82" t="n">
        <f aca="false">IFERROR(P26/P8,"-")</f>
        <v>0.369872222222222</v>
      </c>
      <c r="Q27" s="82" t="n">
        <f aca="false">IFERROR(Q26/Q8,"-")</f>
        <v>0.409841397849462</v>
      </c>
      <c r="R27" s="82" t="n">
        <f aca="false">IFERROR(R26/R8,"-")</f>
        <v>0.412841397849462</v>
      </c>
      <c r="S27" s="82" t="n">
        <f aca="false">IFERROR(S26/S8,"-")</f>
        <v>0.326583333333333</v>
      </c>
      <c r="T27" s="82" t="n">
        <f aca="false">IFERROR(T26/T8,"-")</f>
        <v>0.380293576683645</v>
      </c>
      <c r="U27" s="82" t="n">
        <f aca="false">IFERROR(U26/U8,"-")</f>
        <v>0.419984299516908</v>
      </c>
      <c r="V27" s="82" t="n">
        <f aca="false">IFERROR(V26/V8,"-")</f>
        <v>0.404956093189964</v>
      </c>
      <c r="W27" s="82" t="n">
        <f aca="false">IFERROR(W26/W8,"-")</f>
        <v>0.40812037037037</v>
      </c>
      <c r="X27" s="82" t="n">
        <f aca="false">IFERROR(X26/X8,"-")</f>
        <v>0.404329476390837</v>
      </c>
      <c r="Y27" s="82" t="n">
        <f aca="false">IFERROR(Y26/Y8,"-")</f>
        <v>0.372241397849462</v>
      </c>
      <c r="Z27" s="82" t="n">
        <f aca="false">IFERROR(Z26/Z8,"-")</f>
        <v>0.352823099415205</v>
      </c>
      <c r="AA27" s="82" t="n">
        <f aca="false">IFERROR(AA26/AA8,"-")</f>
        <v>0.359293576683645</v>
      </c>
      <c r="AB27" s="82" t="n">
        <f aca="false">IFERROR(AB26/AB8,"-")</f>
        <v>0.403301851851852</v>
      </c>
      <c r="AC27" s="82" t="n">
        <f aca="false">IFERROR(AC26/AC8,"-")</f>
        <v>0.438442831541219</v>
      </c>
      <c r="AD27" s="82" t="n">
        <f aca="false">IFERROR(AD26/AD8,"-")</f>
        <v>0.446442831541219</v>
      </c>
      <c r="AE27" s="82" t="n">
        <f aca="false">IFERROR(AE26/AE8,"-")</f>
        <v>0.334583333333333</v>
      </c>
      <c r="AF27" s="82" t="n">
        <f aca="false">IFERROR(AF26/AF8,"-")</f>
        <v>0.388293576683645</v>
      </c>
      <c r="AG27" s="82" t="n">
        <f aca="false">IFERROR(AG26/AG8,"-")</f>
        <v>0.427984299516908</v>
      </c>
      <c r="AH27" s="82" t="n">
        <f aca="false">IFERROR(AH26/AH8,"-")</f>
        <v>0.412956093189964</v>
      </c>
      <c r="AI27" s="82" t="n">
        <f aca="false">IFERROR(AI26/AI8,"-")</f>
        <v>0.41612037037037</v>
      </c>
      <c r="AJ27" s="82" t="n">
        <f aca="false">IFERROR(AJ26/AJ8,"-")</f>
        <v>0.412329476390837</v>
      </c>
      <c r="AK27" s="82" t="n">
        <f aca="false">IFERROR(AK26/AK8,"-")</f>
        <v>0.380241397849462</v>
      </c>
      <c r="AL27" s="82" t="n">
        <f aca="false">IFERROR(AL26/AL8,"-")</f>
        <v>0.360823099415205</v>
      </c>
      <c r="AM27" s="82" t="n">
        <f aca="false">IFERROR(AM26/AM8,"-")</f>
        <v>0.367293576683645</v>
      </c>
      <c r="AN27" s="82" t="n">
        <f aca="false">IFERROR(AN26/AN8,"-")</f>
        <v>0.411301851851852</v>
      </c>
      <c r="AO27" s="82" t="n">
        <f aca="false">IFERROR(AO26/AO8,"-")</f>
        <v>0.446442831541219</v>
      </c>
      <c r="AP27" s="82" t="n">
        <f aca="false">IFERROR(AP26/AP8,"-")</f>
        <v>0.435942831541219</v>
      </c>
      <c r="AQ27" s="82" t="n">
        <f aca="false">IFERROR(AQ26/AQ8,"-")</f>
        <v>0.324083333333333</v>
      </c>
      <c r="AR27" s="82" t="n">
        <f aca="false">IFERROR(AR26/AR8,"-")</f>
        <v>0.377793576683645</v>
      </c>
      <c r="AS27" s="82" t="n">
        <f aca="false">IFERROR(AS26/AS8,"-")</f>
        <v>0.417484299516908</v>
      </c>
      <c r="AT27" s="82" t="n">
        <f aca="false">IFERROR(AT26/AT8,"-")</f>
        <v>0.402456093189964</v>
      </c>
      <c r="AU27" s="82" t="n">
        <f aca="false">IFERROR(AU26/AU8,"-")</f>
        <v>0.40562037037037</v>
      </c>
      <c r="AV27" s="82" t="n">
        <f aca="false">IFERROR(AV26/AV8,"-")</f>
        <v>0.401829476390837</v>
      </c>
      <c r="AW27" s="82" t="n">
        <f aca="false">IFERROR(AW26/AW8,"-")</f>
        <v>0.369741397849462</v>
      </c>
      <c r="AX27" s="82" t="n">
        <f aca="false">IFERROR(AX26/AX8,"-")</f>
        <v>0.350323099415205</v>
      </c>
      <c r="AY27" s="82" t="n">
        <f aca="false">IFERROR(AY26/AY8,"-")</f>
        <v>0.356793576683645</v>
      </c>
      <c r="AZ27" s="82" t="n">
        <f aca="false">IFERROR(AZ26/AZ8,"-")</f>
        <v>0.400801851851852</v>
      </c>
      <c r="BA27" s="82" t="n">
        <f aca="false">IFERROR(BA26/BA8,"-")</f>
        <v>0.435942831541219</v>
      </c>
      <c r="BB27" s="82" t="n">
        <f aca="false">IFERROR(BB26/BB8,"-")</f>
        <v>0.439722831541219</v>
      </c>
      <c r="BC27" s="82" t="n">
        <f aca="false">IFERROR(BC26/BC8,"-")</f>
        <v>0.336565956727519</v>
      </c>
      <c r="BD27" s="82" t="n">
        <f aca="false">IFERROR(BD26/BD8,"-")</f>
        <v>0.381993576683645</v>
      </c>
      <c r="BE27" s="82" t="n">
        <f aca="false">IFERROR(BE26/BE8,"-")</f>
        <v>0.421684299516908</v>
      </c>
      <c r="BF27" s="82" t="n">
        <f aca="false">IFERROR(BF26/BF8,"-")</f>
        <v>0.406656093189964</v>
      </c>
      <c r="BG27" s="82" t="n">
        <f aca="false">IFERROR(BG26/BG8,"-")</f>
        <v>0.41192037037037</v>
      </c>
      <c r="BH27" s="82" t="n">
        <f aca="false">IFERROR(BH26/BH8,"-")</f>
        <v>0.408129476390837</v>
      </c>
      <c r="BI27" s="82" t="n">
        <f aca="false">IFERROR(BI26/BI8,"-")</f>
        <v>0.376041397849462</v>
      </c>
      <c r="BJ27" s="82" t="n">
        <f aca="false">IFERROR(BJ26/BJ8,"-")</f>
        <v>0.356623099415205</v>
      </c>
    </row>
    <row r="28" customFormat="false" ht="13.5" hidden="false" customHeight="true" outlineLevel="0" collapsed="false">
      <c r="A28" s="66" t="s">
        <v>385</v>
      </c>
      <c r="B28" s="67" t="n">
        <f aca="false">SUM(C28:BJ28)</f>
        <v>8080525816.4338</v>
      </c>
      <c r="C28" s="104" t="n">
        <f aca="false">C12-C25</f>
        <v>-68761250</v>
      </c>
      <c r="D28" s="104" t="n">
        <f aca="false">D12-D25</f>
        <v>-68678965.0302803</v>
      </c>
      <c r="E28" s="104" t="n">
        <f aca="false">E12-E25</f>
        <v>-42296840.4232877</v>
      </c>
      <c r="F28" s="104" t="n">
        <f aca="false">F12-F25</f>
        <v>-40204516.5504926</v>
      </c>
      <c r="G28" s="105" t="n">
        <f aca="false">G12-G25</f>
        <v>-16346002.8111516</v>
      </c>
      <c r="H28" s="104" t="n">
        <f aca="false">H12-H25</f>
        <v>-1331571.38204671</v>
      </c>
      <c r="I28" s="104" t="n">
        <f aca="false">I12-I25</f>
        <v>66156786.5327764</v>
      </c>
      <c r="J28" s="104" t="n">
        <f aca="false">J12-J25</f>
        <v>56014632.7335232</v>
      </c>
      <c r="K28" s="104" t="n">
        <f aca="false">K12-K25</f>
        <v>78734571.2436662</v>
      </c>
      <c r="L28" s="104" t="n">
        <f aca="false">L12-L25</f>
        <v>114155517.060213</v>
      </c>
      <c r="M28" s="104" t="n">
        <f aca="false">M12-M25</f>
        <v>85771139.9039785</v>
      </c>
      <c r="N28" s="104" t="n">
        <f aca="false">N12-N25</f>
        <v>80870672.8136031</v>
      </c>
      <c r="O28" s="104" t="n">
        <f aca="false">O12-O25</f>
        <v>86476409.0208311</v>
      </c>
      <c r="P28" s="104" t="n">
        <f aca="false">P12-P25</f>
        <v>123806408.982035</v>
      </c>
      <c r="Q28" s="104" t="n">
        <f aca="false">Q12-Q25</f>
        <v>164342244.128495</v>
      </c>
      <c r="R28" s="104" t="n">
        <f aca="false">R12-R25</f>
        <v>165689103.116679</v>
      </c>
      <c r="S28" s="104" t="n">
        <f aca="false">S12-S25</f>
        <v>97938247.2972734</v>
      </c>
      <c r="T28" s="104" t="n">
        <f aca="false">T12-T25</f>
        <v>144294975.559223</v>
      </c>
      <c r="U28" s="104" t="n">
        <f aca="false">U12-U25</f>
        <v>188800874.330012</v>
      </c>
      <c r="V28" s="104" t="n">
        <f aca="false">V12-V25</f>
        <v>171235148.825956</v>
      </c>
      <c r="W28" s="104" t="n">
        <f aca="false">W12-W25</f>
        <v>191728654.302496</v>
      </c>
      <c r="X28" s="104" t="n">
        <f aca="false">X12-X25</f>
        <v>188071371.054484</v>
      </c>
      <c r="Y28" s="104" t="n">
        <f aca="false">Y12-Y25</f>
        <v>149356991.916488</v>
      </c>
      <c r="Z28" s="104" t="n">
        <f aca="false">Z12-Z25</f>
        <v>129419641.013081</v>
      </c>
      <c r="AA28" s="104" t="n">
        <f aca="false">AA12-AA25</f>
        <v>136614811.259149</v>
      </c>
      <c r="AB28" s="104" t="n">
        <f aca="false">AB12-AB25</f>
        <v>165371226.860187</v>
      </c>
      <c r="AC28" s="104" t="n">
        <f aca="false">AC12-AC25</f>
        <v>214152289.562608</v>
      </c>
      <c r="AD28" s="104" t="n">
        <f aca="false">AD12-AD25</f>
        <v>218269818.654048</v>
      </c>
      <c r="AE28" s="104" t="n">
        <f aca="false">AE12-AE25</f>
        <v>101668532.213673</v>
      </c>
      <c r="AF28" s="104" t="n">
        <f aca="false">AF12-AF25</f>
        <v>148644159.612495</v>
      </c>
      <c r="AG28" s="104" t="n">
        <f aca="false">AG12-AG25</f>
        <v>193704222.763683</v>
      </c>
      <c r="AH28" s="104" t="n">
        <f aca="false">AH12-AH25</f>
        <v>175936727.372881</v>
      </c>
      <c r="AI28" s="104" t="n">
        <f aca="false">AI12-AI25</f>
        <v>196811729.188522</v>
      </c>
      <c r="AJ28" s="104" t="n">
        <f aca="false">AJ12-AJ25</f>
        <v>193125609.002156</v>
      </c>
      <c r="AK28" s="104" t="n">
        <f aca="false">AK12-AK25</f>
        <v>153918060.148767</v>
      </c>
      <c r="AL28" s="104" t="n">
        <f aca="false">AL12-AL25</f>
        <v>133719807.257102</v>
      </c>
      <c r="AM28" s="104" t="n">
        <f aca="false">AM12-AM25</f>
        <v>126776044.696935</v>
      </c>
      <c r="AN28" s="104" t="n">
        <f aca="false">AN12-AN25</f>
        <v>155548533.204037</v>
      </c>
      <c r="AO28" s="104" t="n">
        <f aca="false">AO12-AO25</f>
        <v>219203590</v>
      </c>
      <c r="AP28" s="104" t="n">
        <f aca="false">AP12-AP25</f>
        <v>213930490</v>
      </c>
      <c r="AQ28" s="104" t="n">
        <f aca="false">AQ12-AQ25</f>
        <v>99127975</v>
      </c>
      <c r="AR28" s="104" t="n">
        <f aca="false">AR12-AR25</f>
        <v>145201281.25</v>
      </c>
      <c r="AS28" s="104" t="n">
        <f aca="false">AS12-AS25</f>
        <v>189443312.5</v>
      </c>
      <c r="AT28" s="104" t="n">
        <f aca="false">AT12-AT25</f>
        <v>171849268.75</v>
      </c>
      <c r="AU28" s="104" t="n">
        <f aca="false">AU12-AU25</f>
        <v>192131500</v>
      </c>
      <c r="AV28" s="104" t="n">
        <f aca="false">AV12-AV25</f>
        <v>188390481.25</v>
      </c>
      <c r="AW28" s="104" t="n">
        <f aca="false">AW12-AW25</f>
        <v>149736775</v>
      </c>
      <c r="AX28" s="104" t="n">
        <f aca="false">AX12-AX25</f>
        <v>129786812.5</v>
      </c>
      <c r="AY28" s="104" t="n">
        <f aca="false">AY12-AY25</f>
        <v>136852206.25</v>
      </c>
      <c r="AZ28" s="104" t="n">
        <f aca="false">AZ12-AZ25</f>
        <v>165440987.5</v>
      </c>
      <c r="BA28" s="104" t="n">
        <f aca="false">BA12-BA25</f>
        <v>213930490</v>
      </c>
      <c r="BB28" s="104" t="n">
        <f aca="false">BB12-BB25</f>
        <v>215828806</v>
      </c>
      <c r="BC28" s="104" t="n">
        <f aca="false">BC12-BC25</f>
        <v>107000736.25</v>
      </c>
      <c r="BD28" s="104" t="n">
        <f aca="false">BD12-BD25</f>
        <v>146871096.25</v>
      </c>
      <c r="BE28" s="104" t="n">
        <f aca="false">BE12-BE25</f>
        <v>191399462.5</v>
      </c>
      <c r="BF28" s="104" t="n">
        <f aca="false">BF12-BF25</f>
        <v>173694853.75</v>
      </c>
      <c r="BG28" s="104" t="n">
        <f aca="false">BG12-BG25</f>
        <v>195193300</v>
      </c>
      <c r="BH28" s="104" t="n">
        <f aca="false">BH12-BH25</f>
        <v>191422513.75</v>
      </c>
      <c r="BI28" s="104" t="n">
        <f aca="false">BI12-BI25</f>
        <v>152373325</v>
      </c>
      <c r="BJ28" s="104" t="n">
        <f aca="false">BJ12-BJ25</f>
        <v>132210737.5</v>
      </c>
    </row>
    <row r="29" customFormat="false" ht="13.5" hidden="false" customHeight="true" outlineLevel="0" collapsed="false">
      <c r="A29" s="37" t="s">
        <v>386</v>
      </c>
      <c r="B29" s="82" t="str">
        <f aca="false">""</f>
        <v/>
      </c>
      <c r="C29" s="82" t="str">
        <f aca="false">IFERROR(C28/C8,"-")</f>
        <v>-</v>
      </c>
      <c r="D29" s="82" t="str">
        <f aca="false">IFERROR(D28/D8,"-")</f>
        <v>-</v>
      </c>
      <c r="E29" s="82" t="n">
        <f aca="false">IFERROR(E28/E8,"-")</f>
        <v>-0.336892396840204</v>
      </c>
      <c r="F29" s="82" t="n">
        <f aca="false">IFERROR(F28/F8,"-")</f>
        <v>-0.320227133018659</v>
      </c>
      <c r="G29" s="82" t="n">
        <f aca="false">IFERROR(G28/G8,"-")</f>
        <v>-0.117888683785632</v>
      </c>
      <c r="H29" s="82" t="n">
        <f aca="false">IFERROR(H28/H8,"-")</f>
        <v>-0.00803815963506789</v>
      </c>
      <c r="I29" s="82" t="n">
        <f aca="false">IFERROR(I28/I8,"-")</f>
        <v>0.227269690719146</v>
      </c>
      <c r="J29" s="82" t="n">
        <f aca="false">IFERROR(J28/J8,"-")</f>
        <v>0.203956107125532</v>
      </c>
      <c r="K29" s="82" t="n">
        <f aca="false">IFERROR(K28/K8,"-")</f>
        <v>0.243007935937241</v>
      </c>
      <c r="L29" s="82" t="n">
        <f aca="false">IFERROR(L28/L8,"-")</f>
        <v>0.316258596603365</v>
      </c>
      <c r="M29" s="82" t="n">
        <f aca="false">IFERROR(M28/M8,"-")</f>
        <v>0.273265280458713</v>
      </c>
      <c r="N29" s="82" t="n">
        <f aca="false">IFERROR(N28/N8,"-")</f>
        <v>0.265503388738617</v>
      </c>
      <c r="O29" s="82" t="n">
        <f aca="false">IFERROR(O28/O8,"-")</f>
        <v>0.274749063102949</v>
      </c>
      <c r="P29" s="82" t="n">
        <f aca="false">IFERROR(P28/P8,"-")</f>
        <v>0.349365527991634</v>
      </c>
      <c r="Q29" s="82" t="n">
        <f aca="false">IFERROR(Q28/Q8,"-")</f>
        <v>0.392693534357217</v>
      </c>
      <c r="R29" s="82" t="n">
        <f aca="false">IFERROR(R28/R8,"-")</f>
        <v>0.39591183540425</v>
      </c>
      <c r="S29" s="82" t="n">
        <f aca="false">IFERROR(S28/S8,"-")</f>
        <v>0.304818696848034</v>
      </c>
      <c r="T29" s="82" t="n">
        <f aca="false">IFERROR(T28/T8,"-")</f>
        <v>0.362937749001378</v>
      </c>
      <c r="U29" s="82" t="n">
        <f aca="false">IFERROR(U28/U8,"-")</f>
        <v>0.405369563778876</v>
      </c>
      <c r="V29" s="82" t="n">
        <f aca="false">IFERROR(V28/V8,"-")</f>
        <v>0.389680033739447</v>
      </c>
      <c r="W29" s="82" t="n">
        <f aca="false">IFERROR(W28/W8,"-")</f>
        <v>0.3945034039146</v>
      </c>
      <c r="X29" s="82" t="n">
        <f aca="false">IFERROR(X28/X8,"-")</f>
        <v>0.390777354016901</v>
      </c>
      <c r="Y29" s="82" t="n">
        <f aca="false">IFERROR(Y28/Y8,"-")</f>
        <v>0.356886480087187</v>
      </c>
      <c r="Z29" s="82" t="n">
        <f aca="false">IFERROR(Z28/Z8,"-")</f>
        <v>0.336373335966422</v>
      </c>
      <c r="AA29" s="82" t="n">
        <f aca="false">IFERROR(AA28/AA8,"-")</f>
        <v>0.343620225766582</v>
      </c>
      <c r="AB29" s="82" t="n">
        <f aca="false">IFERROR(AB28/AB8,"-")</f>
        <v>0.388880016132127</v>
      </c>
      <c r="AC29" s="82" t="n">
        <f aca="false">IFERROR(AC28/AC8,"-")</f>
        <v>0.42642829462885</v>
      </c>
      <c r="AD29" s="82" t="n">
        <f aca="false">IFERROR(AD28/AD8,"-")</f>
        <v>0.434627277288028</v>
      </c>
      <c r="AE29" s="82" t="n">
        <f aca="false">IFERROR(AE28/AE8,"-")</f>
        <v>0.31642867168899</v>
      </c>
      <c r="AF29" s="82" t="n">
        <f aca="false">IFERROR(AF28/AF8,"-")</f>
        <v>0.373877028516619</v>
      </c>
      <c r="AG29" s="82" t="n">
        <f aca="false">IFERROR(AG28/AG8,"-")</f>
        <v>0.415897418708928</v>
      </c>
      <c r="AH29" s="82" t="n">
        <f aca="false">IFERROR(AH28/AH8,"-")</f>
        <v>0.40037942168261</v>
      </c>
      <c r="AI29" s="82" t="n">
        <f aca="false">IFERROR(AI28/AI8,"-")</f>
        <v>0.4049624057377</v>
      </c>
      <c r="AJ29" s="82" t="n">
        <f aca="false">IFERROR(AJ28/AJ8,"-")</f>
        <v>0.401279121089098</v>
      </c>
      <c r="AK29" s="82" t="n">
        <f aca="false">IFERROR(AK28/AK8,"-")</f>
        <v>0.36778508996121</v>
      </c>
      <c r="AL29" s="82" t="n">
        <f aca="false">IFERROR(AL28/AL8,"-")</f>
        <v>0.347549856418719</v>
      </c>
      <c r="AM29" s="82" t="n">
        <f aca="false">IFERROR(AM28/AM8,"-")</f>
        <v>0.318873281008451</v>
      </c>
      <c r="AN29" s="82" t="n">
        <f aca="false">IFERROR(AN28/AN8,"-")</f>
        <v>0.365781383195854</v>
      </c>
      <c r="AO29" s="82" t="n">
        <f aca="false">IFERROR(AO28/AO8,"-")</f>
        <v>0.436486638789327</v>
      </c>
      <c r="AP29" s="82" t="n">
        <f aca="false">IFERROR(AP28/AP8,"-")</f>
        <v>0.425986638789327</v>
      </c>
      <c r="AQ29" s="82" t="n">
        <f aca="false">IFERROR(AQ28/AQ8,"-")</f>
        <v>0.308521553065671</v>
      </c>
      <c r="AR29" s="82" t="n">
        <f aca="false">IFERROR(AR28/AR8,"-")</f>
        <v>0.365217333207571</v>
      </c>
      <c r="AS29" s="82" t="n">
        <f aca="false">IFERROR(AS28/AS8,"-")</f>
        <v>0.406748926462695</v>
      </c>
      <c r="AT29" s="82" t="n">
        <f aca="false">IFERROR(AT28/AT8,"-")</f>
        <v>0.391077587187802</v>
      </c>
      <c r="AU29" s="82" t="n">
        <f aca="false">IFERROR(AU28/AU8,"-")</f>
        <v>0.395332304526749</v>
      </c>
      <c r="AV29" s="82" t="n">
        <f aca="false">IFERROR(AV28/AV8,"-")</f>
        <v>0.391440405693211</v>
      </c>
      <c r="AW29" s="82" t="n">
        <f aca="false">IFERROR(AW28/AW8,"-")</f>
        <v>0.357793966547192</v>
      </c>
      <c r="AX29" s="82" t="n">
        <f aca="false">IFERROR(AX28/AX8,"-")</f>
        <v>0.337327647823262</v>
      </c>
      <c r="AY29" s="82" t="n">
        <f aca="false">IFERROR(AY28/AY8,"-")</f>
        <v>0.344217333207571</v>
      </c>
      <c r="AZ29" s="82" t="n">
        <f aca="false">IFERROR(AZ28/AZ8,"-")</f>
        <v>0.389044062316285</v>
      </c>
      <c r="BA29" s="82" t="n">
        <f aca="false">IFERROR(BA28/BA8,"-")</f>
        <v>0.425986638789327</v>
      </c>
      <c r="BB29" s="82" t="n">
        <f aca="false">IFERROR(BB28/BB8,"-")</f>
        <v>0.429766638789327</v>
      </c>
      <c r="BC29" s="82" t="n">
        <f aca="false">IFERROR(BC28/BC8,"-")</f>
        <v>0.321540789572534</v>
      </c>
      <c r="BD29" s="82" t="n">
        <f aca="false">IFERROR(BD28/BD8,"-")</f>
        <v>0.369417333207571</v>
      </c>
      <c r="BE29" s="82" t="n">
        <f aca="false">IFERROR(BE28/BE8,"-")</f>
        <v>0.410948926462695</v>
      </c>
      <c r="BF29" s="82" t="n">
        <f aca="false">IFERROR(BF28/BF8,"-")</f>
        <v>0.395277587187802</v>
      </c>
      <c r="BG29" s="82" t="n">
        <f aca="false">IFERROR(BG28/BG8,"-")</f>
        <v>0.401632304526749</v>
      </c>
      <c r="BH29" s="82" t="n">
        <f aca="false">IFERROR(BH28/BH8,"-")</f>
        <v>0.397740405693211</v>
      </c>
      <c r="BI29" s="82" t="n">
        <f aca="false">IFERROR(BI28/BI8,"-")</f>
        <v>0.364093966547192</v>
      </c>
      <c r="BJ29" s="82" t="n">
        <f aca="false">IFERROR(BJ28/BJ8,"-")</f>
        <v>0.343627647823262</v>
      </c>
    </row>
    <row r="30" customFormat="false" ht="13.5" hidden="false" customHeight="true" outlineLevel="0" collapsed="false">
      <c r="A30" s="106" t="s">
        <v>387</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c r="AZ30" s="106"/>
      <c r="BA30" s="106"/>
      <c r="BB30" s="106"/>
      <c r="BC30" s="106"/>
      <c r="BD30" s="106"/>
      <c r="BE30" s="106"/>
      <c r="BF30" s="106"/>
      <c r="BG30" s="106"/>
      <c r="BH30" s="106"/>
      <c r="BI30" s="106"/>
      <c r="BJ30" s="106"/>
    </row>
    <row r="31" customFormat="false" ht="13.5" hidden="false" customHeight="true" outlineLevel="0" collapsed="false">
      <c r="A31" s="37" t="s">
        <v>388</v>
      </c>
      <c r="B31" s="68" t="n">
        <f aca="false">SUM(C31:BJ31)</f>
        <v>831814496.263105</v>
      </c>
      <c r="C31" s="68" t="n">
        <f aca="false">MAX(0,C28)*0.1</f>
        <v>0</v>
      </c>
      <c r="D31" s="68" t="n">
        <f aca="false">MAX(0,D28)*0.1</f>
        <v>0</v>
      </c>
      <c r="E31" s="68" t="n">
        <f aca="false">MAX(0,E28)*0.1</f>
        <v>0</v>
      </c>
      <c r="F31" s="68" t="n">
        <f aca="false">MAX(0,F28)*0.1</f>
        <v>0</v>
      </c>
      <c r="G31" s="68" t="n">
        <f aca="false">MAX(0,G28)*0.1</f>
        <v>0</v>
      </c>
      <c r="H31" s="68" t="n">
        <f aca="false">MAX(0,H28)*0.1</f>
        <v>0</v>
      </c>
      <c r="I31" s="68" t="n">
        <f aca="false">MAX(0,I28)*0.1</f>
        <v>6615678.65327764</v>
      </c>
      <c r="J31" s="68" t="n">
        <f aca="false">MAX(0,J28)*0.1</f>
        <v>5601463.27335232</v>
      </c>
      <c r="K31" s="68" t="n">
        <f aca="false">MAX(0,K28)*0.1</f>
        <v>7873457.12436662</v>
      </c>
      <c r="L31" s="68" t="n">
        <f aca="false">MAX(0,L28)*0.1</f>
        <v>11415551.7060213</v>
      </c>
      <c r="M31" s="68" t="n">
        <f aca="false">MAX(0,M28)*0.1</f>
        <v>8577113.99039785</v>
      </c>
      <c r="N31" s="68" t="n">
        <f aca="false">MAX(0,N28)*0.1</f>
        <v>8087067.28136031</v>
      </c>
      <c r="O31" s="68" t="n">
        <f aca="false">MAX(0,O28)*0.1</f>
        <v>8647640.90208311</v>
      </c>
      <c r="P31" s="68" t="n">
        <f aca="false">MAX(0,P28)*0.1</f>
        <v>12380640.8982035</v>
      </c>
      <c r="Q31" s="68" t="n">
        <f aca="false">MAX(0,Q28)*0.1</f>
        <v>16434224.4128495</v>
      </c>
      <c r="R31" s="68" t="n">
        <f aca="false">MAX(0,R28)*0.1</f>
        <v>16568910.3116679</v>
      </c>
      <c r="S31" s="68" t="n">
        <f aca="false">MAX(0,S28)*0.1</f>
        <v>9793824.72972734</v>
      </c>
      <c r="T31" s="68" t="n">
        <f aca="false">MAX(0,T28)*0.1</f>
        <v>14429497.5559223</v>
      </c>
      <c r="U31" s="68" t="n">
        <f aca="false">MAX(0,U28)*0.1</f>
        <v>18880087.4330012</v>
      </c>
      <c r="V31" s="68" t="n">
        <f aca="false">MAX(0,V28)*0.1</f>
        <v>17123514.8825956</v>
      </c>
      <c r="W31" s="68" t="n">
        <f aca="false">MAX(0,W28)*0.1</f>
        <v>19172865.4302496</v>
      </c>
      <c r="X31" s="68" t="n">
        <f aca="false">MAX(0,X28)*0.1</f>
        <v>18807137.1054484</v>
      </c>
      <c r="Y31" s="68" t="n">
        <f aca="false">MAX(0,Y28)*0.1</f>
        <v>14935699.1916488</v>
      </c>
      <c r="Z31" s="68" t="n">
        <f aca="false">MAX(0,Z28)*0.1</f>
        <v>12941964.1013081</v>
      </c>
      <c r="AA31" s="68" t="n">
        <f aca="false">MAX(0,AA28)*0.1</f>
        <v>13661481.1259149</v>
      </c>
      <c r="AB31" s="68" t="n">
        <f aca="false">MAX(0,AB28)*0.1</f>
        <v>16537122.6860187</v>
      </c>
      <c r="AC31" s="68" t="n">
        <f aca="false">MAX(0,AC28)*0.1</f>
        <v>21415228.9562608</v>
      </c>
      <c r="AD31" s="68" t="n">
        <f aca="false">MAX(0,AD28)*0.1</f>
        <v>21826981.8654048</v>
      </c>
      <c r="AE31" s="68" t="n">
        <f aca="false">MAX(0,AE28)*0.1</f>
        <v>10166853.2213673</v>
      </c>
      <c r="AF31" s="68" t="n">
        <f aca="false">MAX(0,AF28)*0.1</f>
        <v>14864415.9612495</v>
      </c>
      <c r="AG31" s="68" t="n">
        <f aca="false">MAX(0,AG28)*0.1</f>
        <v>19370422.2763683</v>
      </c>
      <c r="AH31" s="68" t="n">
        <f aca="false">MAX(0,AH28)*0.1</f>
        <v>17593672.7372881</v>
      </c>
      <c r="AI31" s="68" t="n">
        <f aca="false">MAX(0,AI28)*0.1</f>
        <v>19681172.9188522</v>
      </c>
      <c r="AJ31" s="68" t="n">
        <f aca="false">MAX(0,AJ28)*0.1</f>
        <v>19312560.9002156</v>
      </c>
      <c r="AK31" s="68" t="n">
        <f aca="false">MAX(0,AK28)*0.1</f>
        <v>15391806.0148767</v>
      </c>
      <c r="AL31" s="68" t="n">
        <f aca="false">MAX(0,AL28)*0.1</f>
        <v>13371980.7257102</v>
      </c>
      <c r="AM31" s="68" t="n">
        <f aca="false">MAX(0,AM28)*0.1</f>
        <v>12677604.4696935</v>
      </c>
      <c r="AN31" s="68" t="n">
        <f aca="false">MAX(0,AN28)*0.1</f>
        <v>15554853.3204037</v>
      </c>
      <c r="AO31" s="68" t="n">
        <f aca="false">MAX(0,AO28)*0.1</f>
        <v>21920359</v>
      </c>
      <c r="AP31" s="68" t="n">
        <f aca="false">MAX(0,AP28)*0.1</f>
        <v>21393049</v>
      </c>
      <c r="AQ31" s="68" t="n">
        <f aca="false">MAX(0,AQ28)*0.1</f>
        <v>9912797.5</v>
      </c>
      <c r="AR31" s="68" t="n">
        <f aca="false">MAX(0,AR28)*0.1</f>
        <v>14520128.125</v>
      </c>
      <c r="AS31" s="68" t="n">
        <f aca="false">MAX(0,AS28)*0.1</f>
        <v>18944331.25</v>
      </c>
      <c r="AT31" s="68" t="n">
        <f aca="false">MAX(0,AT28)*0.1</f>
        <v>17184926.875</v>
      </c>
      <c r="AU31" s="68" t="n">
        <f aca="false">MAX(0,AU28)*0.1</f>
        <v>19213150</v>
      </c>
      <c r="AV31" s="68" t="n">
        <f aca="false">MAX(0,AV28)*0.1</f>
        <v>18839048.125</v>
      </c>
      <c r="AW31" s="68" t="n">
        <f aca="false">MAX(0,AW28)*0.1</f>
        <v>14973677.5</v>
      </c>
      <c r="AX31" s="68" t="n">
        <f aca="false">MAX(0,AX28)*0.1</f>
        <v>12978681.25</v>
      </c>
      <c r="AY31" s="68" t="n">
        <f aca="false">MAX(0,AY28)*0.1</f>
        <v>13685220.625</v>
      </c>
      <c r="AZ31" s="68" t="n">
        <f aca="false">MAX(0,AZ28)*0.1</f>
        <v>16544098.75</v>
      </c>
      <c r="BA31" s="68" t="n">
        <f aca="false">MAX(0,BA28)*0.1</f>
        <v>21393049</v>
      </c>
      <c r="BB31" s="68" t="n">
        <f aca="false">MAX(0,BB28)*0.1</f>
        <v>21582880.6</v>
      </c>
      <c r="BC31" s="68" t="n">
        <f aca="false">MAX(0,BC28)*0.1</f>
        <v>10700073.625</v>
      </c>
      <c r="BD31" s="68" t="n">
        <f aca="false">MAX(0,BD28)*0.1</f>
        <v>14687109.625</v>
      </c>
      <c r="BE31" s="68" t="n">
        <f aca="false">MAX(0,BE28)*0.1</f>
        <v>19139946.25</v>
      </c>
      <c r="BF31" s="68" t="n">
        <f aca="false">MAX(0,BF28)*0.1</f>
        <v>17369485.375</v>
      </c>
      <c r="BG31" s="68" t="n">
        <f aca="false">MAX(0,BG28)*0.1</f>
        <v>19519330</v>
      </c>
      <c r="BH31" s="68" t="n">
        <f aca="false">MAX(0,BH28)*0.1</f>
        <v>19142251.375</v>
      </c>
      <c r="BI31" s="68" t="n">
        <f aca="false">MAX(0,BI28)*0.1</f>
        <v>15237332.5</v>
      </c>
      <c r="BJ31" s="68" t="n">
        <f aca="false">MAX(0,BJ28)*0.1</f>
        <v>13221073.75</v>
      </c>
    </row>
    <row r="32" customFormat="false" ht="13.5" hidden="false" customHeight="true" outlineLevel="0" collapsed="false">
      <c r="A32" s="107" t="s">
        <v>389</v>
      </c>
      <c r="B32" s="108" t="n">
        <f aca="false">SUM(C32:BJ32)</f>
        <v>7248711320.17069</v>
      </c>
      <c r="C32" s="108" t="n">
        <f aca="false">C28-C31</f>
        <v>-68761250</v>
      </c>
      <c r="D32" s="108" t="n">
        <f aca="false">D28-D31</f>
        <v>-68678965.0302803</v>
      </c>
      <c r="E32" s="108" t="n">
        <f aca="false">E28-E31</f>
        <v>-42296840.4232877</v>
      </c>
      <c r="F32" s="108" t="n">
        <f aca="false">F28-F31</f>
        <v>-40204516.5504926</v>
      </c>
      <c r="G32" s="108" t="n">
        <f aca="false">G28-G31</f>
        <v>-16346002.8111516</v>
      </c>
      <c r="H32" s="108" t="n">
        <f aca="false">H28-H31</f>
        <v>-1331571.38204671</v>
      </c>
      <c r="I32" s="108" t="n">
        <f aca="false">I28-I31</f>
        <v>59541107.8794987</v>
      </c>
      <c r="J32" s="108" t="n">
        <f aca="false">J28-J31</f>
        <v>50413169.4601709</v>
      </c>
      <c r="K32" s="108" t="n">
        <f aca="false">K28-K31</f>
        <v>70861114.1192996</v>
      </c>
      <c r="L32" s="108" t="n">
        <f aca="false">L28-L31</f>
        <v>102739965.354192</v>
      </c>
      <c r="M32" s="108" t="n">
        <f aca="false">M28-M31</f>
        <v>77194025.9135807</v>
      </c>
      <c r="N32" s="108" t="n">
        <f aca="false">N28-N31</f>
        <v>72783605.5322428</v>
      </c>
      <c r="O32" s="108" t="n">
        <f aca="false">O28-O31</f>
        <v>77828768.118748</v>
      </c>
      <c r="P32" s="108" t="n">
        <f aca="false">P28-P31</f>
        <v>111425768.083832</v>
      </c>
      <c r="Q32" s="108" t="n">
        <f aca="false">Q28-Q31</f>
        <v>147908019.715646</v>
      </c>
      <c r="R32" s="108" t="n">
        <f aca="false">R28-R31</f>
        <v>149120192.805011</v>
      </c>
      <c r="S32" s="108" t="n">
        <f aca="false">S28-S31</f>
        <v>88144422.5675461</v>
      </c>
      <c r="T32" s="108" t="n">
        <f aca="false">T28-T31</f>
        <v>129865478.0033</v>
      </c>
      <c r="U32" s="108" t="n">
        <f aca="false">U28-U31</f>
        <v>169920786.89701</v>
      </c>
      <c r="V32" s="108" t="n">
        <f aca="false">V28-V31</f>
        <v>154111633.943361</v>
      </c>
      <c r="W32" s="108" t="n">
        <f aca="false">W28-W31</f>
        <v>172555788.872246</v>
      </c>
      <c r="X32" s="108" t="n">
        <f aca="false">X28-X31</f>
        <v>169264233.949036</v>
      </c>
      <c r="Y32" s="108" t="n">
        <f aca="false">Y28-Y31</f>
        <v>134421292.724839</v>
      </c>
      <c r="Z32" s="108" t="n">
        <f aca="false">Z28-Z31</f>
        <v>116477676.911773</v>
      </c>
      <c r="AA32" s="108" t="n">
        <f aca="false">AA28-AA31</f>
        <v>122953330.133234</v>
      </c>
      <c r="AB32" s="108" t="n">
        <f aca="false">AB28-AB31</f>
        <v>148834104.174168</v>
      </c>
      <c r="AC32" s="108" t="n">
        <f aca="false">AC28-AC31</f>
        <v>192737060.606347</v>
      </c>
      <c r="AD32" s="108" t="n">
        <f aca="false">AD28-AD31</f>
        <v>196442836.788643</v>
      </c>
      <c r="AE32" s="108" t="n">
        <f aca="false">AE28-AE31</f>
        <v>91501678.9923054</v>
      </c>
      <c r="AF32" s="108" t="n">
        <f aca="false">AF28-AF31</f>
        <v>133779743.651245</v>
      </c>
      <c r="AG32" s="108" t="n">
        <f aca="false">AG28-AG31</f>
        <v>174333800.487315</v>
      </c>
      <c r="AH32" s="108" t="n">
        <f aca="false">AH28-AH31</f>
        <v>158343054.635593</v>
      </c>
      <c r="AI32" s="108" t="n">
        <f aca="false">AI28-AI31</f>
        <v>177130556.26967</v>
      </c>
      <c r="AJ32" s="108" t="n">
        <f aca="false">AJ28-AJ31</f>
        <v>173813048.10194</v>
      </c>
      <c r="AK32" s="108" t="n">
        <f aca="false">AK28-AK31</f>
        <v>138526254.13389</v>
      </c>
      <c r="AL32" s="108" t="n">
        <f aca="false">AL28-AL31</f>
        <v>120347826.531392</v>
      </c>
      <c r="AM32" s="108" t="n">
        <f aca="false">AM28-AM31</f>
        <v>114098440.227241</v>
      </c>
      <c r="AN32" s="108" t="n">
        <f aca="false">AN28-AN31</f>
        <v>139993679.883633</v>
      </c>
      <c r="AO32" s="108" t="n">
        <f aca="false">AO28-AO31</f>
        <v>197283231</v>
      </c>
      <c r="AP32" s="108" t="n">
        <f aca="false">AP28-AP31</f>
        <v>192537441</v>
      </c>
      <c r="AQ32" s="108" t="n">
        <f aca="false">AQ28-AQ31</f>
        <v>89215177.5</v>
      </c>
      <c r="AR32" s="108" t="n">
        <f aca="false">AR28-AR31</f>
        <v>130681153.125</v>
      </c>
      <c r="AS32" s="108" t="n">
        <f aca="false">AS28-AS31</f>
        <v>170498981.25</v>
      </c>
      <c r="AT32" s="108" t="n">
        <f aca="false">AT28-AT31</f>
        <v>154664341.875</v>
      </c>
      <c r="AU32" s="108" t="n">
        <f aca="false">AU28-AU31</f>
        <v>172918350</v>
      </c>
      <c r="AV32" s="108" t="n">
        <f aca="false">AV28-AV31</f>
        <v>169551433.125</v>
      </c>
      <c r="AW32" s="108" t="n">
        <f aca="false">AW28-AW31</f>
        <v>134763097.5</v>
      </c>
      <c r="AX32" s="108" t="n">
        <f aca="false">AX28-AX31</f>
        <v>116808131.25</v>
      </c>
      <c r="AY32" s="108" t="n">
        <f aca="false">AY28-AY31</f>
        <v>123166985.625</v>
      </c>
      <c r="AZ32" s="108" t="n">
        <f aca="false">AZ28-AZ31</f>
        <v>148896888.75</v>
      </c>
      <c r="BA32" s="108" t="n">
        <f aca="false">BA28-BA31</f>
        <v>192537441</v>
      </c>
      <c r="BB32" s="108" t="n">
        <f aca="false">BB28-BB31</f>
        <v>194245925.4</v>
      </c>
      <c r="BC32" s="108" t="n">
        <f aca="false">BC28-BC31</f>
        <v>96300662.625</v>
      </c>
      <c r="BD32" s="108" t="n">
        <f aca="false">BD28-BD31</f>
        <v>132183986.625</v>
      </c>
      <c r="BE32" s="108" t="n">
        <f aca="false">BE28-BE31</f>
        <v>172259516.25</v>
      </c>
      <c r="BF32" s="108" t="n">
        <f aca="false">BF28-BF31</f>
        <v>156325368.375</v>
      </c>
      <c r="BG32" s="108" t="n">
        <f aca="false">BG28-BG31</f>
        <v>175673970</v>
      </c>
      <c r="BH32" s="108" t="n">
        <f aca="false">BH28-BH31</f>
        <v>172280262.375</v>
      </c>
      <c r="BI32" s="108" t="n">
        <f aca="false">BI28-BI31</f>
        <v>137135992.5</v>
      </c>
      <c r="BJ32" s="108" t="n">
        <f aca="false">BJ28-BJ31</f>
        <v>118989663.75</v>
      </c>
    </row>
    <row r="33" customFormat="false" ht="13.5" hidden="false" customHeight="true" outlineLevel="0" collapsed="false">
      <c r="A33" s="37" t="s">
        <v>390</v>
      </c>
      <c r="B33" s="82" t="n">
        <f aca="false">AVERAGE(C33:BJ33)</f>
        <v>0.290620430378774</v>
      </c>
      <c r="C33" s="82" t="str">
        <f aca="false">IFERROR(C32/C8,"-")</f>
        <v>-</v>
      </c>
      <c r="D33" s="82" t="str">
        <f aca="false">IFERROR(D32/D8,"-")</f>
        <v>-</v>
      </c>
      <c r="E33" s="82" t="n">
        <f aca="false">IFERROR(E32/E8,"-")</f>
        <v>-0.336892396840204</v>
      </c>
      <c r="F33" s="82" t="n">
        <f aca="false">IFERROR(F32/F8,"-")</f>
        <v>-0.320227133018659</v>
      </c>
      <c r="G33" s="82" t="n">
        <f aca="false">IFERROR(G32/G8,"-")</f>
        <v>-0.117888683785632</v>
      </c>
      <c r="H33" s="82" t="n">
        <f aca="false">IFERROR(H32/H8,"-")</f>
        <v>-0.00803815963506789</v>
      </c>
      <c r="I33" s="82" t="n">
        <f aca="false">IFERROR(I32/I8,"-")</f>
        <v>0.204542721647231</v>
      </c>
      <c r="J33" s="82" t="n">
        <f aca="false">IFERROR(J32/J8,"-")</f>
        <v>0.183560496412979</v>
      </c>
      <c r="K33" s="82" t="n">
        <f aca="false">IFERROR(K32/K8,"-")</f>
        <v>0.218707142343517</v>
      </c>
      <c r="L33" s="82" t="n">
        <f aca="false">IFERROR(L32/L8,"-")</f>
        <v>0.284632736943029</v>
      </c>
      <c r="M33" s="82" t="n">
        <f aca="false">IFERROR(M32/M8,"-")</f>
        <v>0.245938752412842</v>
      </c>
      <c r="N33" s="82" t="n">
        <f aca="false">IFERROR(N32/N8,"-")</f>
        <v>0.238953049864755</v>
      </c>
      <c r="O33" s="82" t="n">
        <f aca="false">IFERROR(O32/O8,"-")</f>
        <v>0.247274156792654</v>
      </c>
      <c r="P33" s="82" t="n">
        <f aca="false">IFERROR(P32/P8,"-")</f>
        <v>0.31442897519247</v>
      </c>
      <c r="Q33" s="82" t="n">
        <f aca="false">IFERROR(Q32/Q8,"-")</f>
        <v>0.353424180921495</v>
      </c>
      <c r="R33" s="82" t="n">
        <f aca="false">IFERROR(R32/R8,"-")</f>
        <v>0.356320651863825</v>
      </c>
      <c r="S33" s="82" t="n">
        <f aca="false">IFERROR(S32/S8,"-")</f>
        <v>0.274336827163231</v>
      </c>
      <c r="T33" s="82" t="n">
        <f aca="false">IFERROR(T32/T8,"-")</f>
        <v>0.32664397410124</v>
      </c>
      <c r="U33" s="82" t="n">
        <f aca="false">IFERROR(U32/U8,"-")</f>
        <v>0.364832607400988</v>
      </c>
      <c r="V33" s="82" t="n">
        <f aca="false">IFERROR(V32/V8,"-")</f>
        <v>0.350712030365502</v>
      </c>
      <c r="W33" s="82" t="n">
        <f aca="false">IFERROR(W32/W8,"-")</f>
        <v>0.35505306352314</v>
      </c>
      <c r="X33" s="82" t="n">
        <f aca="false">IFERROR(X32/X8,"-")</f>
        <v>0.351699618615211</v>
      </c>
      <c r="Y33" s="82" t="n">
        <f aca="false">IFERROR(Y32/Y8,"-")</f>
        <v>0.321197832078468</v>
      </c>
      <c r="Z33" s="82" t="n">
        <f aca="false">IFERROR(Z32/Z8,"-")</f>
        <v>0.30273600236978</v>
      </c>
      <c r="AA33" s="82" t="n">
        <f aca="false">IFERROR(AA32/AA8,"-")</f>
        <v>0.309258203189924</v>
      </c>
      <c r="AB33" s="82" t="n">
        <f aca="false">IFERROR(AB32/AB8,"-")</f>
        <v>0.349992014518915</v>
      </c>
      <c r="AC33" s="82" t="n">
        <f aca="false">IFERROR(AC32/AC8,"-")</f>
        <v>0.383785465165965</v>
      </c>
      <c r="AD33" s="82" t="n">
        <f aca="false">IFERROR(AD32/AD8,"-")</f>
        <v>0.391164549559225</v>
      </c>
      <c r="AE33" s="82" t="n">
        <f aca="false">IFERROR(AE32/AE8,"-")</f>
        <v>0.284785804520091</v>
      </c>
      <c r="AF33" s="82" t="n">
        <f aca="false">IFERROR(AF32/AF8,"-")</f>
        <v>0.336489325664957</v>
      </c>
      <c r="AG33" s="82" t="n">
        <f aca="false">IFERROR(AG32/AG8,"-")</f>
        <v>0.374307676838035</v>
      </c>
      <c r="AH33" s="82" t="n">
        <f aca="false">IFERROR(AH32/AH8,"-")</f>
        <v>0.360341479514349</v>
      </c>
      <c r="AI33" s="82" t="n">
        <f aca="false">IFERROR(AI32/AI8,"-")</f>
        <v>0.36446616516393</v>
      </c>
      <c r="AJ33" s="82" t="n">
        <f aca="false">IFERROR(AJ32/AJ8,"-")</f>
        <v>0.361151208980188</v>
      </c>
      <c r="AK33" s="82" t="n">
        <f aca="false">IFERROR(AK32/AK8,"-")</f>
        <v>0.331006580965089</v>
      </c>
      <c r="AL33" s="82" t="n">
        <f aca="false">IFERROR(AL32/AL8,"-")</f>
        <v>0.312794870776847</v>
      </c>
      <c r="AM33" s="82" t="n">
        <f aca="false">IFERROR(AM32/AM8,"-")</f>
        <v>0.286985952907606</v>
      </c>
      <c r="AN33" s="82" t="n">
        <f aca="false">IFERROR(AN32/AN8,"-")</f>
        <v>0.329203244876268</v>
      </c>
      <c r="AO33" s="82" t="n">
        <f aca="false">IFERROR(AO32/AO8,"-")</f>
        <v>0.392837974910394</v>
      </c>
      <c r="AP33" s="82" t="n">
        <f aca="false">IFERROR(AP32/AP8,"-")</f>
        <v>0.383387974910394</v>
      </c>
      <c r="AQ33" s="82" t="n">
        <f aca="false">IFERROR(AQ32/AQ8,"-")</f>
        <v>0.277669397759104</v>
      </c>
      <c r="AR33" s="82" t="n">
        <f aca="false">IFERROR(AR32/AR8,"-")</f>
        <v>0.328695599886814</v>
      </c>
      <c r="AS33" s="82" t="n">
        <f aca="false">IFERROR(AS32/AS8,"-")</f>
        <v>0.366074033816425</v>
      </c>
      <c r="AT33" s="82" t="n">
        <f aca="false">IFERROR(AT32/AT8,"-")</f>
        <v>0.351969828469022</v>
      </c>
      <c r="AU33" s="82" t="n">
        <f aca="false">IFERROR(AU32/AU8,"-")</f>
        <v>0.355799074074074</v>
      </c>
      <c r="AV33" s="82" t="n">
        <f aca="false">IFERROR(AV32/AV8,"-")</f>
        <v>0.35229636512389</v>
      </c>
      <c r="AW33" s="82" t="n">
        <f aca="false">IFERROR(AW32/AW8,"-")</f>
        <v>0.322014569892473</v>
      </c>
      <c r="AX33" s="82" t="n">
        <f aca="false">IFERROR(AX32/AX8,"-")</f>
        <v>0.303594883040936</v>
      </c>
      <c r="AY33" s="82" t="n">
        <f aca="false">IFERROR(AY32/AY8,"-")</f>
        <v>0.309795599886814</v>
      </c>
      <c r="AZ33" s="82" t="n">
        <f aca="false">IFERROR(AZ32/AZ8,"-")</f>
        <v>0.350139656084656</v>
      </c>
      <c r="BA33" s="82" t="n">
        <f aca="false">IFERROR(BA32/BA8,"-")</f>
        <v>0.383387974910394</v>
      </c>
      <c r="BB33" s="82" t="n">
        <f aca="false">IFERROR(BB32/BB8,"-")</f>
        <v>0.386789974910394</v>
      </c>
      <c r="BC33" s="82" t="n">
        <f aca="false">IFERROR(BC32/BC8,"-")</f>
        <v>0.289386710615281</v>
      </c>
      <c r="BD33" s="82" t="n">
        <f aca="false">IFERROR(BD32/BD8,"-")</f>
        <v>0.332475599886814</v>
      </c>
      <c r="BE33" s="82" t="n">
        <f aca="false">IFERROR(BE32/BE8,"-")</f>
        <v>0.369854033816425</v>
      </c>
      <c r="BF33" s="82" t="n">
        <f aca="false">IFERROR(BF32/BF8,"-")</f>
        <v>0.355749828469022</v>
      </c>
      <c r="BG33" s="82" t="n">
        <f aca="false">IFERROR(BG32/BG8,"-")</f>
        <v>0.361469074074074</v>
      </c>
      <c r="BH33" s="82" t="n">
        <f aca="false">IFERROR(BH32/BH8,"-")</f>
        <v>0.35796636512389</v>
      </c>
      <c r="BI33" s="82" t="n">
        <f aca="false">IFERROR(BI32/BI8,"-")</f>
        <v>0.327684569892473</v>
      </c>
      <c r="BJ33" s="82" t="n">
        <f aca="false">IFERROR(BJ32/BJ8,"-")</f>
        <v>0.309264883040936</v>
      </c>
    </row>
    <row r="34" customFormat="false" ht="13.8" hidden="false" customHeight="false" outlineLevel="0" collapsed="false"/>
    <row r="35" customFormat="false" ht="13.5" hidden="true" customHeight="true" outlineLevel="0" collapsed="false">
      <c r="A35" s="45" t="s">
        <v>391</v>
      </c>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row>
    <row r="36" customFormat="false" ht="13.5" hidden="true" customHeight="true" outlineLevel="0" collapsed="false">
      <c r="A36" s="34" t="s">
        <v>392</v>
      </c>
      <c r="B36" s="109" t="n">
        <f aca="false">SUM(C8:N8)</f>
        <v>2424571875</v>
      </c>
    </row>
    <row r="37" customFormat="false" ht="13.5" hidden="true" customHeight="true" outlineLevel="0" collapsed="false">
      <c r="A37" s="31" t="s">
        <v>393</v>
      </c>
      <c r="B37" s="110" t="n">
        <f aca="false">SUM(C12:N12)</f>
        <v>1782476100</v>
      </c>
    </row>
    <row r="38" customFormat="false" ht="13.5" hidden="true" customHeight="true" outlineLevel="0" collapsed="false">
      <c r="A38" s="34" t="s">
        <v>394</v>
      </c>
      <c r="B38" s="109" t="n">
        <f aca="false">SUM(C26:N26)</f>
        <v>339150277.03125</v>
      </c>
    </row>
    <row r="39" customFormat="false" ht="13.5" hidden="true" customHeight="true" outlineLevel="0" collapsed="false">
      <c r="A39" s="31" t="s">
        <v>395</v>
      </c>
      <c r="B39" s="110" t="n">
        <f aca="false">SUM(C28:N28)</f>
        <v>244084174.090502</v>
      </c>
    </row>
    <row r="40" customFormat="false" ht="13.5" hidden="true" customHeight="true" outlineLevel="0" collapsed="false">
      <c r="A40" s="66" t="s">
        <v>396</v>
      </c>
      <c r="B40" s="67" t="n">
        <f aca="false">SUM(C32:N32)</f>
        <v>195913842.061726</v>
      </c>
    </row>
    <row r="41" customFormat="false" ht="13.5" hidden="true" customHeight="true" outlineLevel="0" collapsed="false">
      <c r="A41" s="31" t="s">
        <v>397</v>
      </c>
      <c r="B41" s="110" t="n">
        <f aca="false">SUM(O8:Z8)</f>
        <v>4900696875</v>
      </c>
    </row>
    <row r="42" customFormat="false" ht="13.5" hidden="true" customHeight="true" outlineLevel="0" collapsed="false">
      <c r="A42" s="34" t="s">
        <v>398</v>
      </c>
      <c r="B42" s="109" t="n">
        <f aca="false">SUM(O12:Z12)</f>
        <v>3698426700</v>
      </c>
    </row>
    <row r="43" customFormat="false" ht="13.5" hidden="true" customHeight="true" outlineLevel="0" collapsed="false">
      <c r="A43" s="31" t="s">
        <v>399</v>
      </c>
      <c r="B43" s="110" t="n">
        <f aca="false">SUM(O26:Z26)</f>
        <v>1883353535.15625</v>
      </c>
    </row>
    <row r="44" customFormat="false" ht="13.5" hidden="true" customHeight="true" outlineLevel="0" collapsed="false">
      <c r="A44" s="34" t="s">
        <v>400</v>
      </c>
      <c r="B44" s="109" t="n">
        <f aca="false">SUM(O28:Z28)</f>
        <v>1801160069.54705</v>
      </c>
    </row>
    <row r="45" customFormat="false" ht="13.5" hidden="true" customHeight="true" outlineLevel="0" collapsed="false">
      <c r="A45" s="66" t="s">
        <v>401</v>
      </c>
      <c r="B45" s="67" t="n">
        <f aca="false">SUM(O32:Z32)</f>
        <v>1621044062.59235</v>
      </c>
    </row>
    <row r="46" customFormat="false" ht="13.5" hidden="true" customHeight="true" outlineLevel="0" collapsed="false">
      <c r="A46" s="34" t="s">
        <v>402</v>
      </c>
      <c r="B46" s="109" t="n">
        <f aca="false">SUM(AA8:AL8)</f>
        <v>5221800000</v>
      </c>
    </row>
    <row r="47" customFormat="false" ht="13.5" hidden="true" customHeight="true" outlineLevel="0" collapsed="false">
      <c r="A47" s="31" t="s">
        <v>403</v>
      </c>
      <c r="B47" s="110" t="n">
        <f aca="false">SUM(AA12:AL12)</f>
        <v>3999742200</v>
      </c>
    </row>
    <row r="48" customFormat="false" ht="13.5" hidden="true" customHeight="true" outlineLevel="0" collapsed="false">
      <c r="A48" s="34" t="s">
        <v>404</v>
      </c>
      <c r="B48" s="109" t="n">
        <f aca="false">SUM(AA26:AL26)</f>
        <v>2100050280</v>
      </c>
    </row>
    <row r="49" customFormat="false" ht="13.5" hidden="true" customHeight="true" outlineLevel="0" collapsed="false">
      <c r="A49" s="31" t="s">
        <v>405</v>
      </c>
      <c r="B49" s="110" t="n">
        <f aca="false">SUM(AA28:AL28)</f>
        <v>2031936993.89527</v>
      </c>
    </row>
    <row r="50" customFormat="false" ht="13.5" hidden="true" customHeight="true" outlineLevel="0" collapsed="false">
      <c r="A50" s="66" t="s">
        <v>406</v>
      </c>
      <c r="B50" s="67" t="n">
        <f aca="false">SUM(AA32:AL32)</f>
        <v>1828743294.50574</v>
      </c>
    </row>
  </sheetData>
  <mergeCells count="9">
    <mergeCell ref="A1:AM1"/>
    <mergeCell ref="C2:N2"/>
    <mergeCell ref="O2:Z2"/>
    <mergeCell ref="AA2:AL2"/>
    <mergeCell ref="A5:AM5"/>
    <mergeCell ref="A9:AM9"/>
    <mergeCell ref="A14:AM14"/>
    <mergeCell ref="A30:BJ30"/>
    <mergeCell ref="A35:AM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80E4F"/>
    <pageSetUpPr fitToPage="false"/>
  </sheetPr>
  <dimension ref="A1:XFC1048576"/>
  <sheetViews>
    <sheetView showFormulas="false" showGridLines="false" showRowColHeaders="true" showZeros="true" rightToLeft="false" tabSelected="true" showOutlineSymbols="true" defaultGridColor="true" view="normal" topLeftCell="A1" colorId="64" zoomScale="120" zoomScaleNormal="120" zoomScalePageLayoutView="100" workbookViewId="0">
      <pane xSplit="2" ySplit="3" topLeftCell="C10" activePane="bottomRight" state="frozen"/>
      <selection pane="topLeft" activeCell="A1" activeCellId="0" sqref="A1"/>
      <selection pane="topRight" activeCell="C1" activeCellId="0" sqref="C1"/>
      <selection pane="bottomLeft" activeCell="A10" activeCellId="0" sqref="A10"/>
      <selection pane="bottomRight" activeCell="C21" activeCellId="0" sqref="C21"/>
    </sheetView>
  </sheetViews>
  <sheetFormatPr defaultColWidth="8.71484375" defaultRowHeight="13.8" customHeight="false" zeroHeight="false" outlineLevelRow="0" outlineLevelCol="0"/>
  <cols>
    <col collapsed="false" customWidth="true" hidden="false" outlineLevel="0" max="1" min="1" style="83" width="48.86"/>
    <col collapsed="false" customWidth="true" hidden="false" outlineLevel="0" max="2" min="2" style="83" width="20.57"/>
    <col collapsed="false" customWidth="true" hidden="false" outlineLevel="0" max="3" min="3" style="83" width="18.2"/>
    <col collapsed="false" customWidth="true" hidden="false" outlineLevel="0" max="62" min="4" style="83" width="17.36"/>
    <col collapsed="false" customWidth="false" hidden="false" outlineLevel="0" max="16383" min="63" style="83" width="8.71"/>
  </cols>
  <sheetData>
    <row r="1" customFormat="false" ht="30" hidden="false" customHeight="true" outlineLevel="0" collapsed="false">
      <c r="A1" s="111" t="s">
        <v>407</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row>
    <row r="2" customFormat="false" ht="15.75" hidden="false" customHeight="true" outlineLevel="0" collapsed="false">
      <c r="A2" s="112"/>
      <c r="B2" s="113" t="s">
        <v>250</v>
      </c>
      <c r="C2" s="114" t="s">
        <v>251</v>
      </c>
      <c r="D2" s="114"/>
      <c r="E2" s="114"/>
      <c r="F2" s="114"/>
      <c r="G2" s="114"/>
      <c r="H2" s="114"/>
      <c r="I2" s="114"/>
      <c r="J2" s="114"/>
      <c r="K2" s="114"/>
      <c r="L2" s="114"/>
      <c r="M2" s="114"/>
      <c r="N2" s="114"/>
      <c r="O2" s="114" t="s">
        <v>252</v>
      </c>
      <c r="P2" s="114"/>
      <c r="Q2" s="114"/>
      <c r="R2" s="114"/>
      <c r="S2" s="114"/>
      <c r="T2" s="114"/>
      <c r="U2" s="114"/>
      <c r="V2" s="114"/>
      <c r="W2" s="114"/>
      <c r="X2" s="114"/>
      <c r="Y2" s="114"/>
      <c r="Z2" s="114"/>
      <c r="AA2" s="114" t="s">
        <v>253</v>
      </c>
      <c r="AB2" s="114"/>
      <c r="AC2" s="114"/>
      <c r="AD2" s="114"/>
      <c r="AE2" s="114"/>
      <c r="AF2" s="114"/>
      <c r="AG2" s="114"/>
      <c r="AH2" s="114"/>
      <c r="AI2" s="114"/>
      <c r="AJ2" s="114"/>
      <c r="AK2" s="114"/>
      <c r="AL2" s="114"/>
    </row>
    <row r="3" customFormat="false" ht="15.75" hidden="false" customHeight="true" outlineLevel="0" collapsed="false">
      <c r="A3" s="112"/>
      <c r="B3" s="113"/>
      <c r="C3" s="114" t="n">
        <v>1</v>
      </c>
      <c r="D3" s="114" t="n">
        <v>2</v>
      </c>
      <c r="E3" s="114" t="n">
        <v>3</v>
      </c>
      <c r="F3" s="114" t="n">
        <v>4</v>
      </c>
      <c r="G3" s="114" t="n">
        <v>5</v>
      </c>
      <c r="H3" s="114" t="n">
        <v>6</v>
      </c>
      <c r="I3" s="114" t="n">
        <v>7</v>
      </c>
      <c r="J3" s="114" t="n">
        <v>8</v>
      </c>
      <c r="K3" s="114" t="n">
        <v>9</v>
      </c>
      <c r="L3" s="114" t="n">
        <v>10</v>
      </c>
      <c r="M3" s="114" t="n">
        <v>11</v>
      </c>
      <c r="N3" s="114" t="n">
        <v>12</v>
      </c>
      <c r="O3" s="114" t="n">
        <v>13</v>
      </c>
      <c r="P3" s="114" t="n">
        <v>14</v>
      </c>
      <c r="Q3" s="114" t="n">
        <v>15</v>
      </c>
      <c r="R3" s="114" t="n">
        <v>16</v>
      </c>
      <c r="S3" s="114" t="n">
        <v>17</v>
      </c>
      <c r="T3" s="114" t="n">
        <v>18</v>
      </c>
      <c r="U3" s="114" t="n">
        <v>19</v>
      </c>
      <c r="V3" s="114" t="n">
        <v>20</v>
      </c>
      <c r="W3" s="114" t="n">
        <v>21</v>
      </c>
      <c r="X3" s="114" t="n">
        <v>22</v>
      </c>
      <c r="Y3" s="114" t="n">
        <v>23</v>
      </c>
      <c r="Z3" s="114" t="n">
        <v>24</v>
      </c>
      <c r="AA3" s="114" t="n">
        <v>25</v>
      </c>
      <c r="AB3" s="114" t="n">
        <v>26</v>
      </c>
      <c r="AC3" s="114" t="n">
        <v>27</v>
      </c>
      <c r="AD3" s="114" t="n">
        <v>28</v>
      </c>
      <c r="AE3" s="114" t="n">
        <v>29</v>
      </c>
      <c r="AF3" s="114" t="n">
        <v>30</v>
      </c>
      <c r="AG3" s="114" t="n">
        <v>31</v>
      </c>
      <c r="AH3" s="114" t="n">
        <v>32</v>
      </c>
      <c r="AI3" s="114" t="n">
        <v>33</v>
      </c>
      <c r="AJ3" s="114" t="n">
        <v>34</v>
      </c>
      <c r="AK3" s="114" t="n">
        <v>35</v>
      </c>
      <c r="AL3" s="114" t="n">
        <v>36</v>
      </c>
      <c r="AM3" s="114" t="n">
        <v>37</v>
      </c>
      <c r="AN3" s="114" t="n">
        <v>38</v>
      </c>
      <c r="AO3" s="114" t="n">
        <v>39</v>
      </c>
      <c r="AP3" s="114" t="n">
        <v>40</v>
      </c>
      <c r="AQ3" s="114" t="n">
        <v>41</v>
      </c>
      <c r="AR3" s="114" t="n">
        <v>42</v>
      </c>
      <c r="AS3" s="114" t="n">
        <v>43</v>
      </c>
      <c r="AT3" s="114" t="n">
        <v>44</v>
      </c>
      <c r="AU3" s="114" t="n">
        <v>45</v>
      </c>
      <c r="AV3" s="114" t="n">
        <v>46</v>
      </c>
      <c r="AW3" s="114" t="n">
        <v>47</v>
      </c>
      <c r="AX3" s="114" t="n">
        <v>48</v>
      </c>
      <c r="AY3" s="114" t="n">
        <v>49</v>
      </c>
      <c r="AZ3" s="114" t="n">
        <v>50</v>
      </c>
      <c r="BA3" s="114" t="n">
        <v>51</v>
      </c>
      <c r="BB3" s="114" t="n">
        <v>52</v>
      </c>
      <c r="BC3" s="114" t="n">
        <v>53</v>
      </c>
      <c r="BD3" s="114" t="n">
        <v>54</v>
      </c>
      <c r="BE3" s="114" t="n">
        <v>55</v>
      </c>
      <c r="BF3" s="114" t="n">
        <v>56</v>
      </c>
      <c r="BG3" s="114" t="n">
        <v>57</v>
      </c>
      <c r="BH3" s="114" t="n">
        <v>58</v>
      </c>
      <c r="BI3" s="114" t="n">
        <v>59</v>
      </c>
      <c r="BJ3" s="114" t="n">
        <v>60</v>
      </c>
    </row>
    <row r="4" customFormat="false" ht="15.75" hidden="false" customHeight="true" outlineLevel="0" collapsed="false">
      <c r="A4" s="112"/>
      <c r="B4" s="113"/>
      <c r="C4" s="114" t="s">
        <v>107</v>
      </c>
      <c r="D4" s="114" t="s">
        <v>306</v>
      </c>
      <c r="E4" s="114" t="s">
        <v>307</v>
      </c>
      <c r="F4" s="114" t="s">
        <v>308</v>
      </c>
      <c r="G4" s="114" t="s">
        <v>309</v>
      </c>
      <c r="H4" s="114" t="s">
        <v>310</v>
      </c>
      <c r="I4" s="114" t="s">
        <v>133</v>
      </c>
      <c r="J4" s="114" t="s">
        <v>311</v>
      </c>
      <c r="K4" s="114" t="s">
        <v>312</v>
      </c>
      <c r="L4" s="114" t="s">
        <v>313</v>
      </c>
      <c r="M4" s="114" t="s">
        <v>314</v>
      </c>
      <c r="N4" s="114" t="s">
        <v>315</v>
      </c>
      <c r="O4" s="114" t="s">
        <v>316</v>
      </c>
      <c r="P4" s="114" t="s">
        <v>317</v>
      </c>
      <c r="Q4" s="114" t="s">
        <v>318</v>
      </c>
      <c r="R4" s="114" t="s">
        <v>319</v>
      </c>
      <c r="S4" s="114" t="s">
        <v>320</v>
      </c>
      <c r="T4" s="114" t="s">
        <v>321</v>
      </c>
      <c r="U4" s="114" t="s">
        <v>322</v>
      </c>
      <c r="V4" s="114" t="s">
        <v>323</v>
      </c>
      <c r="W4" s="114" t="s">
        <v>324</v>
      </c>
      <c r="X4" s="114" t="s">
        <v>325</v>
      </c>
      <c r="Y4" s="114" t="s">
        <v>326</v>
      </c>
      <c r="Z4" s="114" t="s">
        <v>327</v>
      </c>
      <c r="AA4" s="114" t="s">
        <v>328</v>
      </c>
      <c r="AB4" s="114" t="s">
        <v>329</v>
      </c>
      <c r="AC4" s="114" t="s">
        <v>330</v>
      </c>
      <c r="AD4" s="114" t="s">
        <v>331</v>
      </c>
      <c r="AE4" s="114" t="s">
        <v>332</v>
      </c>
      <c r="AF4" s="114" t="s">
        <v>333</v>
      </c>
      <c r="AG4" s="114" t="s">
        <v>334</v>
      </c>
      <c r="AH4" s="114" t="s">
        <v>335</v>
      </c>
      <c r="AI4" s="114" t="s">
        <v>336</v>
      </c>
      <c r="AJ4" s="114" t="s">
        <v>337</v>
      </c>
      <c r="AK4" s="114" t="s">
        <v>338</v>
      </c>
      <c r="AL4" s="114" t="s">
        <v>339</v>
      </c>
      <c r="AM4" s="114" t="s">
        <v>340</v>
      </c>
      <c r="AN4" s="114" t="s">
        <v>341</v>
      </c>
      <c r="AO4" s="114" t="s">
        <v>342</v>
      </c>
      <c r="AP4" s="114" t="s">
        <v>343</v>
      </c>
      <c r="AQ4" s="114" t="s">
        <v>344</v>
      </c>
      <c r="AR4" s="114" t="s">
        <v>345</v>
      </c>
      <c r="AS4" s="114" t="s">
        <v>346</v>
      </c>
      <c r="AT4" s="114" t="s">
        <v>347</v>
      </c>
      <c r="AU4" s="114" t="s">
        <v>348</v>
      </c>
      <c r="AV4" s="114" t="s">
        <v>349</v>
      </c>
      <c r="AW4" s="114" t="s">
        <v>350</v>
      </c>
      <c r="AX4" s="114" t="s">
        <v>351</v>
      </c>
      <c r="AY4" s="114" t="s">
        <v>352</v>
      </c>
      <c r="AZ4" s="114" t="s">
        <v>353</v>
      </c>
      <c r="BA4" s="114" t="s">
        <v>354</v>
      </c>
      <c r="BB4" s="114" t="s">
        <v>355</v>
      </c>
      <c r="BC4" s="114" t="s">
        <v>356</v>
      </c>
      <c r="BD4" s="114" t="s">
        <v>357</v>
      </c>
      <c r="BE4" s="114" t="s">
        <v>358</v>
      </c>
      <c r="BF4" s="114" t="s">
        <v>359</v>
      </c>
      <c r="BG4" s="114" t="s">
        <v>360</v>
      </c>
      <c r="BH4" s="114" t="s">
        <v>361</v>
      </c>
      <c r="BI4" s="114" t="s">
        <v>362</v>
      </c>
      <c r="BJ4" s="114" t="s">
        <v>363</v>
      </c>
    </row>
    <row r="5" customFormat="false" ht="21.75" hidden="false" customHeight="true" outlineLevel="0" collapsed="false">
      <c r="A5" s="115" t="s">
        <v>224</v>
      </c>
      <c r="B5" s="116" t="s">
        <v>254</v>
      </c>
      <c r="C5" s="117" t="n">
        <f aca="false">'⚙️ Assumptions'!B6</f>
        <v>46661</v>
      </c>
      <c r="D5" s="117" t="n">
        <f aca="false">EDATE($C$5,'💰 Revenue'!D2)</f>
        <v>46692</v>
      </c>
      <c r="E5" s="117" t="n">
        <f aca="false">EDATE($C$5,'💰 Revenue'!E2)</f>
        <v>46722</v>
      </c>
      <c r="F5" s="117" t="n">
        <f aca="false">EDATE($C$5,'💰 Revenue'!F2)</f>
        <v>46753</v>
      </c>
      <c r="G5" s="117" t="n">
        <f aca="false">EDATE($C$5,'💰 Revenue'!G2)</f>
        <v>46784</v>
      </c>
      <c r="H5" s="117" t="n">
        <f aca="false">EDATE($C$5,'💰 Revenue'!H2)</f>
        <v>46813</v>
      </c>
      <c r="I5" s="117" t="n">
        <f aca="false">EDATE($C$5,'💰 Revenue'!I2)</f>
        <v>46844</v>
      </c>
      <c r="J5" s="117" t="n">
        <f aca="false">EDATE($C$5,'💰 Revenue'!J2)</f>
        <v>46874</v>
      </c>
      <c r="K5" s="117" t="n">
        <f aca="false">EDATE($C$5,'💰 Revenue'!K2)</f>
        <v>46905</v>
      </c>
      <c r="L5" s="117" t="n">
        <f aca="false">EDATE($C$5,'💰 Revenue'!L2)</f>
        <v>46935</v>
      </c>
      <c r="M5" s="117" t="n">
        <f aca="false">EDATE($C$5,'💰 Revenue'!M2)</f>
        <v>46966</v>
      </c>
      <c r="N5" s="117" t="n">
        <f aca="false">EDATE($C$5,'💰 Revenue'!N2)</f>
        <v>46997</v>
      </c>
      <c r="O5" s="117" t="n">
        <f aca="false">EDATE($C$5,'💰 Revenue'!O2)</f>
        <v>47027</v>
      </c>
      <c r="P5" s="117" t="n">
        <f aca="false">EDATE($C$5,'💰 Revenue'!P2)</f>
        <v>47058</v>
      </c>
      <c r="Q5" s="117" t="n">
        <f aca="false">EDATE($C$5,'💰 Revenue'!Q2)</f>
        <v>47088</v>
      </c>
      <c r="R5" s="117" t="n">
        <f aca="false">EDATE($C$5,'💰 Revenue'!R2)</f>
        <v>47119</v>
      </c>
      <c r="S5" s="117" t="n">
        <f aca="false">EDATE($C$5,'💰 Revenue'!S2)</f>
        <v>47150</v>
      </c>
      <c r="T5" s="117" t="n">
        <f aca="false">EDATE($C$5,'💰 Revenue'!T2)</f>
        <v>47178</v>
      </c>
      <c r="U5" s="117" t="n">
        <f aca="false">EDATE($C$5,'💰 Revenue'!U2)</f>
        <v>47209</v>
      </c>
      <c r="V5" s="117" t="n">
        <f aca="false">EDATE($C$5,'💰 Revenue'!V2)</f>
        <v>47239</v>
      </c>
      <c r="W5" s="117" t="n">
        <f aca="false">EDATE($C$5,'💰 Revenue'!W2)</f>
        <v>47270</v>
      </c>
      <c r="X5" s="117" t="n">
        <f aca="false">EDATE($C$5,'💰 Revenue'!X2)</f>
        <v>47300</v>
      </c>
      <c r="Y5" s="117" t="n">
        <f aca="false">EDATE($C$5,'💰 Revenue'!Y2)</f>
        <v>47331</v>
      </c>
      <c r="Z5" s="117" t="n">
        <f aca="false">EDATE($C$5,'💰 Revenue'!Z2)</f>
        <v>47362</v>
      </c>
      <c r="AA5" s="117" t="n">
        <f aca="false">EDATE($C$5,'💰 Revenue'!AA2)</f>
        <v>47392</v>
      </c>
      <c r="AB5" s="117" t="n">
        <f aca="false">EDATE($C$5,'💰 Revenue'!AB2)</f>
        <v>47423</v>
      </c>
      <c r="AC5" s="117" t="n">
        <f aca="false">EDATE($C$5,'💰 Revenue'!AC2)</f>
        <v>47453</v>
      </c>
      <c r="AD5" s="117" t="n">
        <f aca="false">EDATE($C$5,'💰 Revenue'!AD2)</f>
        <v>47484</v>
      </c>
      <c r="AE5" s="117" t="n">
        <f aca="false">EDATE($C$5,'💰 Revenue'!AE2)</f>
        <v>47515</v>
      </c>
      <c r="AF5" s="117" t="n">
        <f aca="false">EDATE($C$5,'💰 Revenue'!AF2)</f>
        <v>47543</v>
      </c>
      <c r="AG5" s="117" t="n">
        <f aca="false">EDATE($C$5,'💰 Revenue'!AG2)</f>
        <v>47574</v>
      </c>
      <c r="AH5" s="117" t="n">
        <f aca="false">EDATE($C$5,'💰 Revenue'!AH2)</f>
        <v>47604</v>
      </c>
      <c r="AI5" s="117" t="n">
        <f aca="false">EDATE($C$5,'💰 Revenue'!AI2)</f>
        <v>47635</v>
      </c>
      <c r="AJ5" s="117" t="n">
        <f aca="false">EDATE($C$5,'💰 Revenue'!AJ2)</f>
        <v>47665</v>
      </c>
      <c r="AK5" s="117" t="n">
        <f aca="false">EDATE($C$5,'💰 Revenue'!AK2)</f>
        <v>47696</v>
      </c>
      <c r="AL5" s="117" t="n">
        <f aca="false">EDATE($C$5,'💰 Revenue'!AL2)</f>
        <v>47727</v>
      </c>
      <c r="AM5" s="117" t="n">
        <f aca="false">EDATE($C$5,'💰 Revenue'!AM2)</f>
        <v>47757</v>
      </c>
      <c r="AN5" s="117" t="n">
        <f aca="false">EDATE($C$5,'💰 Revenue'!AN2)</f>
        <v>47788</v>
      </c>
      <c r="AO5" s="117" t="n">
        <f aca="false">EDATE($C$5,'💰 Revenue'!AO2)</f>
        <v>47818</v>
      </c>
      <c r="AP5" s="117" t="n">
        <f aca="false">EDATE($C$5,'💰 Revenue'!AP2)</f>
        <v>47849</v>
      </c>
      <c r="AQ5" s="117" t="n">
        <f aca="false">EDATE($C$5,'💰 Revenue'!AQ2)</f>
        <v>47880</v>
      </c>
      <c r="AR5" s="117" t="n">
        <f aca="false">EDATE($C$5,'💰 Revenue'!AR2)</f>
        <v>47908</v>
      </c>
      <c r="AS5" s="117" t="n">
        <f aca="false">EDATE($C$5,'💰 Revenue'!AS2)</f>
        <v>47939</v>
      </c>
      <c r="AT5" s="117" t="n">
        <f aca="false">EDATE($C$5,'💰 Revenue'!AT2)</f>
        <v>47969</v>
      </c>
      <c r="AU5" s="117" t="n">
        <f aca="false">EDATE($C$5,'💰 Revenue'!AU2)</f>
        <v>48000</v>
      </c>
      <c r="AV5" s="117" t="n">
        <f aca="false">EDATE($C$5,'💰 Revenue'!AV2)</f>
        <v>48030</v>
      </c>
      <c r="AW5" s="117" t="n">
        <f aca="false">EDATE($C$5,'💰 Revenue'!AW2)</f>
        <v>48061</v>
      </c>
      <c r="AX5" s="117" t="n">
        <f aca="false">EDATE($C$5,'💰 Revenue'!AX2)</f>
        <v>48092</v>
      </c>
      <c r="AY5" s="117" t="n">
        <f aca="false">EDATE($C$5,'💰 Revenue'!AY2)</f>
        <v>48122</v>
      </c>
      <c r="AZ5" s="117" t="n">
        <f aca="false">EDATE($C$5,'💰 Revenue'!AZ2)</f>
        <v>48153</v>
      </c>
      <c r="BA5" s="117" t="n">
        <f aca="false">EDATE($C$5,'💰 Revenue'!BA2)</f>
        <v>48183</v>
      </c>
      <c r="BB5" s="117" t="n">
        <f aca="false">EDATE($C$5,'💰 Revenue'!BB2)</f>
        <v>48214</v>
      </c>
      <c r="BC5" s="117" t="n">
        <f aca="false">EDATE($C$5,'💰 Revenue'!BC2)</f>
        <v>48245</v>
      </c>
      <c r="BD5" s="117" t="n">
        <f aca="false">EDATE($C$5,'💰 Revenue'!BD2)</f>
        <v>48274</v>
      </c>
      <c r="BE5" s="117" t="n">
        <f aca="false">EDATE($C$5,'💰 Revenue'!BE2)</f>
        <v>48305</v>
      </c>
      <c r="BF5" s="117" t="n">
        <f aca="false">EDATE($C$5,'💰 Revenue'!BF2)</f>
        <v>48335</v>
      </c>
      <c r="BG5" s="117" t="n">
        <f aca="false">EDATE($C$5,'💰 Revenue'!BG2)</f>
        <v>48366</v>
      </c>
      <c r="BH5" s="117" t="n">
        <f aca="false">EDATE($C$5,'💰 Revenue'!BH2)</f>
        <v>48396</v>
      </c>
      <c r="BI5" s="117" t="n">
        <f aca="false">EDATE($C$5,'💰 Revenue'!BI2)</f>
        <v>48427</v>
      </c>
      <c r="BJ5" s="117" t="n">
        <f aca="false">EDATE($C$5,'💰 Revenue'!BJ2)</f>
        <v>48458</v>
      </c>
    </row>
    <row r="6" customFormat="false" ht="13.5" hidden="false" customHeight="true" outlineLevel="0" collapsed="false">
      <c r="A6" s="118" t="s">
        <v>408</v>
      </c>
      <c r="B6" s="118"/>
      <c r="C6" s="118"/>
      <c r="D6" s="118"/>
      <c r="E6" s="118"/>
      <c r="F6" s="118"/>
      <c r="G6" s="118"/>
      <c r="H6" s="118"/>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8"/>
    </row>
    <row r="7" customFormat="false" ht="13.5" hidden="false" customHeight="true" outlineLevel="0" collapsed="false">
      <c r="A7" s="87" t="s">
        <v>409</v>
      </c>
      <c r="B7" s="17" t="n">
        <f aca="false">SUM(C7:BJ7)</f>
        <v>7248711320.17069</v>
      </c>
      <c r="C7" s="17" t="n">
        <f aca="false">'📊 P&amp;L Detail'!C32</f>
        <v>-68761250</v>
      </c>
      <c r="D7" s="17" t="n">
        <f aca="false">'📊 P&amp;L Detail'!D32</f>
        <v>-68678965.0302803</v>
      </c>
      <c r="E7" s="17" t="n">
        <f aca="false">'📊 P&amp;L Detail'!E32</f>
        <v>-42296840.4232877</v>
      </c>
      <c r="F7" s="17" t="n">
        <f aca="false">'📊 P&amp;L Detail'!F32</f>
        <v>-40204516.5504926</v>
      </c>
      <c r="G7" s="17" t="n">
        <f aca="false">'📊 P&amp;L Detail'!G32</f>
        <v>-16346002.8111516</v>
      </c>
      <c r="H7" s="17" t="n">
        <f aca="false">'📊 P&amp;L Detail'!H32</f>
        <v>-1331571.38204671</v>
      </c>
      <c r="I7" s="17" t="n">
        <f aca="false">'📊 P&amp;L Detail'!I32</f>
        <v>59541107.8794987</v>
      </c>
      <c r="J7" s="17" t="n">
        <f aca="false">'📊 P&amp;L Detail'!J32</f>
        <v>50413169.4601709</v>
      </c>
      <c r="K7" s="17" t="n">
        <f aca="false">'📊 P&amp;L Detail'!K32</f>
        <v>70861114.1192996</v>
      </c>
      <c r="L7" s="17" t="n">
        <f aca="false">'📊 P&amp;L Detail'!L32</f>
        <v>102739965.354192</v>
      </c>
      <c r="M7" s="17" t="n">
        <f aca="false">'📊 P&amp;L Detail'!M32</f>
        <v>77194025.9135807</v>
      </c>
      <c r="N7" s="17" t="n">
        <f aca="false">'📊 P&amp;L Detail'!N32</f>
        <v>72783605.5322428</v>
      </c>
      <c r="O7" s="17" t="n">
        <f aca="false">'📊 P&amp;L Detail'!O32</f>
        <v>77828768.118748</v>
      </c>
      <c r="P7" s="17" t="n">
        <f aca="false">'📊 P&amp;L Detail'!P32</f>
        <v>111425768.083832</v>
      </c>
      <c r="Q7" s="17" t="n">
        <f aca="false">'📊 P&amp;L Detail'!Q32</f>
        <v>147908019.715646</v>
      </c>
      <c r="R7" s="17" t="n">
        <f aca="false">'📊 P&amp;L Detail'!R32</f>
        <v>149120192.805011</v>
      </c>
      <c r="S7" s="17" t="n">
        <f aca="false">'📊 P&amp;L Detail'!S32</f>
        <v>88144422.5675461</v>
      </c>
      <c r="T7" s="17" t="n">
        <f aca="false">'📊 P&amp;L Detail'!T32</f>
        <v>129865478.0033</v>
      </c>
      <c r="U7" s="17" t="n">
        <f aca="false">'📊 P&amp;L Detail'!U32</f>
        <v>169920786.89701</v>
      </c>
      <c r="V7" s="17" t="n">
        <f aca="false">'📊 P&amp;L Detail'!V32</f>
        <v>154111633.943361</v>
      </c>
      <c r="W7" s="17" t="n">
        <f aca="false">'📊 P&amp;L Detail'!W32</f>
        <v>172555788.872246</v>
      </c>
      <c r="X7" s="17" t="n">
        <f aca="false">'📊 P&amp;L Detail'!X32</f>
        <v>169264233.949036</v>
      </c>
      <c r="Y7" s="17" t="n">
        <f aca="false">'📊 P&amp;L Detail'!Y32</f>
        <v>134421292.724839</v>
      </c>
      <c r="Z7" s="17" t="n">
        <f aca="false">'📊 P&amp;L Detail'!Z32</f>
        <v>116477676.911773</v>
      </c>
      <c r="AA7" s="17" t="n">
        <f aca="false">'📊 P&amp;L Detail'!AA32</f>
        <v>122953330.133234</v>
      </c>
      <c r="AB7" s="17" t="n">
        <f aca="false">'📊 P&amp;L Detail'!AB32</f>
        <v>148834104.174168</v>
      </c>
      <c r="AC7" s="17" t="n">
        <f aca="false">'📊 P&amp;L Detail'!AC32</f>
        <v>192737060.606347</v>
      </c>
      <c r="AD7" s="17" t="n">
        <f aca="false">'📊 P&amp;L Detail'!AD32</f>
        <v>196442836.788643</v>
      </c>
      <c r="AE7" s="17" t="n">
        <f aca="false">'📊 P&amp;L Detail'!AE32</f>
        <v>91501678.9923054</v>
      </c>
      <c r="AF7" s="17" t="n">
        <f aca="false">'📊 P&amp;L Detail'!AF32</f>
        <v>133779743.651245</v>
      </c>
      <c r="AG7" s="17" t="n">
        <f aca="false">'📊 P&amp;L Detail'!AG32</f>
        <v>174333800.487315</v>
      </c>
      <c r="AH7" s="17" t="n">
        <f aca="false">'📊 P&amp;L Detail'!AH32</f>
        <v>158343054.635593</v>
      </c>
      <c r="AI7" s="17" t="n">
        <f aca="false">'📊 P&amp;L Detail'!AI32</f>
        <v>177130556.26967</v>
      </c>
      <c r="AJ7" s="17" t="n">
        <f aca="false">'📊 P&amp;L Detail'!AJ32</f>
        <v>173813048.10194</v>
      </c>
      <c r="AK7" s="17" t="n">
        <f aca="false">'📊 P&amp;L Detail'!AK32</f>
        <v>138526254.13389</v>
      </c>
      <c r="AL7" s="17" t="n">
        <f aca="false">'📊 P&amp;L Detail'!AL32</f>
        <v>120347826.531392</v>
      </c>
      <c r="AM7" s="17" t="n">
        <f aca="false">'📊 P&amp;L Detail'!AM32</f>
        <v>114098440.227241</v>
      </c>
      <c r="AN7" s="17" t="n">
        <f aca="false">'📊 P&amp;L Detail'!AN32</f>
        <v>139993679.883633</v>
      </c>
      <c r="AO7" s="17" t="n">
        <f aca="false">'📊 P&amp;L Detail'!AO32</f>
        <v>197283231</v>
      </c>
      <c r="AP7" s="17" t="n">
        <f aca="false">'📊 P&amp;L Detail'!AP32</f>
        <v>192537441</v>
      </c>
      <c r="AQ7" s="17" t="n">
        <f aca="false">'📊 P&amp;L Detail'!AQ32</f>
        <v>89215177.5</v>
      </c>
      <c r="AR7" s="17" t="n">
        <f aca="false">'📊 P&amp;L Detail'!AR32</f>
        <v>130681153.125</v>
      </c>
      <c r="AS7" s="17" t="n">
        <f aca="false">'📊 P&amp;L Detail'!AS32</f>
        <v>170498981.25</v>
      </c>
      <c r="AT7" s="17" t="n">
        <f aca="false">'📊 P&amp;L Detail'!AT32</f>
        <v>154664341.875</v>
      </c>
      <c r="AU7" s="17" t="n">
        <f aca="false">'📊 P&amp;L Detail'!AU32</f>
        <v>172918350</v>
      </c>
      <c r="AV7" s="17" t="n">
        <f aca="false">'📊 P&amp;L Detail'!AV32</f>
        <v>169551433.125</v>
      </c>
      <c r="AW7" s="17" t="n">
        <f aca="false">'📊 P&amp;L Detail'!AW32</f>
        <v>134763097.5</v>
      </c>
      <c r="AX7" s="17" t="n">
        <f aca="false">'📊 P&amp;L Detail'!AX32</f>
        <v>116808131.25</v>
      </c>
      <c r="AY7" s="17" t="n">
        <f aca="false">'📊 P&amp;L Detail'!AY32</f>
        <v>123166985.625</v>
      </c>
      <c r="AZ7" s="17" t="n">
        <f aca="false">'📊 P&amp;L Detail'!AZ32</f>
        <v>148896888.75</v>
      </c>
      <c r="BA7" s="17" t="n">
        <f aca="false">'📊 P&amp;L Detail'!BA32</f>
        <v>192537441</v>
      </c>
      <c r="BB7" s="17" t="n">
        <f aca="false">'📊 P&amp;L Detail'!BB32</f>
        <v>194245925.4</v>
      </c>
      <c r="BC7" s="17" t="n">
        <f aca="false">'📊 P&amp;L Detail'!BC32</f>
        <v>96300662.625</v>
      </c>
      <c r="BD7" s="17" t="n">
        <f aca="false">'📊 P&amp;L Detail'!BD32</f>
        <v>132183986.625</v>
      </c>
      <c r="BE7" s="17" t="n">
        <f aca="false">'📊 P&amp;L Detail'!BE32</f>
        <v>172259516.25</v>
      </c>
      <c r="BF7" s="17" t="n">
        <f aca="false">'📊 P&amp;L Detail'!BF32</f>
        <v>156325368.375</v>
      </c>
      <c r="BG7" s="17" t="n">
        <f aca="false">'📊 P&amp;L Detail'!BG32</f>
        <v>175673970</v>
      </c>
      <c r="BH7" s="17" t="n">
        <f aca="false">'📊 P&amp;L Detail'!BH32</f>
        <v>172280262.375</v>
      </c>
      <c r="BI7" s="17" t="n">
        <f aca="false">'📊 P&amp;L Detail'!BI32</f>
        <v>137135992.5</v>
      </c>
      <c r="BJ7" s="17" t="n">
        <f aca="false">'📊 P&amp;L Detail'!BJ32</f>
        <v>118989663.75</v>
      </c>
    </row>
    <row r="8" customFormat="false" ht="13.5" hidden="false" customHeight="true" outlineLevel="0" collapsed="false">
      <c r="A8" s="119" t="s">
        <v>410</v>
      </c>
      <c r="B8" s="120" t="n">
        <f aca="false">SUM(C8:AL8)</f>
        <v>180000000</v>
      </c>
      <c r="C8" s="120" t="n">
        <f aca="false">'📦 COGS &amp; OpEx'!C30</f>
        <v>5000000</v>
      </c>
      <c r="D8" s="120" t="n">
        <f aca="false">'📦 COGS &amp; OpEx'!D30</f>
        <v>5000000</v>
      </c>
      <c r="E8" s="120" t="n">
        <f aca="false">'📦 COGS &amp; OpEx'!E30</f>
        <v>5000000</v>
      </c>
      <c r="F8" s="120" t="n">
        <f aca="false">'📦 COGS &amp; OpEx'!F30</f>
        <v>5000000</v>
      </c>
      <c r="G8" s="120" t="n">
        <f aca="false">'📦 COGS &amp; OpEx'!G30</f>
        <v>5000000</v>
      </c>
      <c r="H8" s="120" t="n">
        <f aca="false">'📦 COGS &amp; OpEx'!H30</f>
        <v>5000000</v>
      </c>
      <c r="I8" s="120" t="n">
        <f aca="false">'📦 COGS &amp; OpEx'!I30</f>
        <v>5000000</v>
      </c>
      <c r="J8" s="120" t="n">
        <f aca="false">'📦 COGS &amp; OpEx'!J30</f>
        <v>5000000</v>
      </c>
      <c r="K8" s="120" t="n">
        <f aca="false">'📦 COGS &amp; OpEx'!K30</f>
        <v>5000000</v>
      </c>
      <c r="L8" s="120" t="n">
        <f aca="false">'📦 COGS &amp; OpEx'!L30</f>
        <v>5000000</v>
      </c>
      <c r="M8" s="120" t="n">
        <f aca="false">'📦 COGS &amp; OpEx'!M30</f>
        <v>5000000</v>
      </c>
      <c r="N8" s="120" t="n">
        <f aca="false">'📦 COGS &amp; OpEx'!N30</f>
        <v>5000000</v>
      </c>
      <c r="O8" s="120" t="n">
        <f aca="false">'📦 COGS &amp; OpEx'!O30</f>
        <v>5000000</v>
      </c>
      <c r="P8" s="120" t="n">
        <f aca="false">'📦 COGS &amp; OpEx'!P30</f>
        <v>5000000</v>
      </c>
      <c r="Q8" s="120" t="n">
        <f aca="false">'📦 COGS &amp; OpEx'!Q30</f>
        <v>5000000</v>
      </c>
      <c r="R8" s="120" t="n">
        <f aca="false">'📦 COGS &amp; OpEx'!R30</f>
        <v>5000000</v>
      </c>
      <c r="S8" s="120" t="n">
        <f aca="false">'📦 COGS &amp; OpEx'!S30</f>
        <v>5000000</v>
      </c>
      <c r="T8" s="120" t="n">
        <f aca="false">'📦 COGS &amp; OpEx'!T30</f>
        <v>5000000</v>
      </c>
      <c r="U8" s="120" t="n">
        <f aca="false">'📦 COGS &amp; OpEx'!U30</f>
        <v>5000000</v>
      </c>
      <c r="V8" s="120" t="n">
        <f aca="false">'📦 COGS &amp; OpEx'!V30</f>
        <v>5000000</v>
      </c>
      <c r="W8" s="120" t="n">
        <f aca="false">'📦 COGS &amp; OpEx'!W30</f>
        <v>5000000</v>
      </c>
      <c r="X8" s="120" t="n">
        <f aca="false">'📦 COGS &amp; OpEx'!X30</f>
        <v>5000000</v>
      </c>
      <c r="Y8" s="120" t="n">
        <f aca="false">'📦 COGS &amp; OpEx'!Y30</f>
        <v>5000000</v>
      </c>
      <c r="Z8" s="120" t="n">
        <f aca="false">'📦 COGS &amp; OpEx'!Z30</f>
        <v>5000000</v>
      </c>
      <c r="AA8" s="120" t="n">
        <f aca="false">'📦 COGS &amp; OpEx'!AA30</f>
        <v>5000000</v>
      </c>
      <c r="AB8" s="120" t="n">
        <f aca="false">'📦 COGS &amp; OpEx'!AB30</f>
        <v>5000000</v>
      </c>
      <c r="AC8" s="120" t="n">
        <f aca="false">'📦 COGS &amp; OpEx'!AC30</f>
        <v>5000000</v>
      </c>
      <c r="AD8" s="120" t="n">
        <f aca="false">'📦 COGS &amp; OpEx'!AD30</f>
        <v>5000000</v>
      </c>
      <c r="AE8" s="120" t="n">
        <f aca="false">'📦 COGS &amp; OpEx'!AE30</f>
        <v>5000000</v>
      </c>
      <c r="AF8" s="120" t="n">
        <f aca="false">'📦 COGS &amp; OpEx'!AF30</f>
        <v>5000000</v>
      </c>
      <c r="AG8" s="120" t="n">
        <f aca="false">'📦 COGS &amp; OpEx'!AG30</f>
        <v>5000000</v>
      </c>
      <c r="AH8" s="120" t="n">
        <f aca="false">'📦 COGS &amp; OpEx'!AH30</f>
        <v>5000000</v>
      </c>
      <c r="AI8" s="120" t="n">
        <f aca="false">'📦 COGS &amp; OpEx'!AI30</f>
        <v>5000000</v>
      </c>
      <c r="AJ8" s="120" t="n">
        <f aca="false">'📦 COGS &amp; OpEx'!AJ30</f>
        <v>5000000</v>
      </c>
      <c r="AK8" s="120" t="n">
        <f aca="false">'📦 COGS &amp; OpEx'!AK30</f>
        <v>5000000</v>
      </c>
      <c r="AL8" s="120" t="n">
        <f aca="false">'📦 COGS &amp; OpEx'!AL30</f>
        <v>5000000</v>
      </c>
      <c r="AM8" s="120" t="n">
        <f aca="false">'📦 COGS &amp; OpEx'!AM30</f>
        <v>5000000</v>
      </c>
      <c r="AN8" s="120" t="n">
        <f aca="false">'📦 COGS &amp; OpEx'!AN30</f>
        <v>5000000</v>
      </c>
      <c r="AO8" s="120" t="n">
        <f aca="false">'📦 COGS &amp; OpEx'!AO30</f>
        <v>5000000</v>
      </c>
      <c r="AP8" s="120" t="n">
        <f aca="false">'📦 COGS &amp; OpEx'!AP30</f>
        <v>5000000</v>
      </c>
      <c r="AQ8" s="120" t="n">
        <f aca="false">'📦 COGS &amp; OpEx'!AQ30</f>
        <v>5000000</v>
      </c>
      <c r="AR8" s="120" t="n">
        <f aca="false">'📦 COGS &amp; OpEx'!AR30</f>
        <v>5000000</v>
      </c>
      <c r="AS8" s="120" t="n">
        <f aca="false">'📦 COGS &amp; OpEx'!AS30</f>
        <v>5000000</v>
      </c>
      <c r="AT8" s="120" t="n">
        <f aca="false">'📦 COGS &amp; OpEx'!AT30</f>
        <v>5000000</v>
      </c>
      <c r="AU8" s="120" t="n">
        <f aca="false">'📦 COGS &amp; OpEx'!AU30</f>
        <v>5000000</v>
      </c>
      <c r="AV8" s="120" t="n">
        <f aca="false">'📦 COGS &amp; OpEx'!AV30</f>
        <v>5000000</v>
      </c>
      <c r="AW8" s="120" t="n">
        <f aca="false">'📦 COGS &amp; OpEx'!AW30</f>
        <v>5000000</v>
      </c>
      <c r="AX8" s="120" t="n">
        <f aca="false">'📦 COGS &amp; OpEx'!AX30</f>
        <v>5000000</v>
      </c>
      <c r="AY8" s="120" t="n">
        <f aca="false">'📦 COGS &amp; OpEx'!AY30</f>
        <v>5000000</v>
      </c>
      <c r="AZ8" s="120" t="n">
        <f aca="false">'📦 COGS &amp; OpEx'!AZ30</f>
        <v>5000000</v>
      </c>
      <c r="BA8" s="120" t="n">
        <f aca="false">'📦 COGS &amp; OpEx'!BA30</f>
        <v>5000000</v>
      </c>
      <c r="BB8" s="120" t="n">
        <f aca="false">'📦 COGS &amp; OpEx'!BB30</f>
        <v>5000000</v>
      </c>
      <c r="BC8" s="120" t="n">
        <f aca="false">'📦 COGS &amp; OpEx'!BC30</f>
        <v>5000000</v>
      </c>
      <c r="BD8" s="120" t="n">
        <f aca="false">'📦 COGS &amp; OpEx'!BD30</f>
        <v>5000000</v>
      </c>
      <c r="BE8" s="120" t="n">
        <f aca="false">'📦 COGS &amp; OpEx'!BE30</f>
        <v>5000000</v>
      </c>
      <c r="BF8" s="120" t="n">
        <f aca="false">'📦 COGS &amp; OpEx'!BF30</f>
        <v>5000000</v>
      </c>
      <c r="BG8" s="120" t="n">
        <f aca="false">'📦 COGS &amp; OpEx'!BG30</f>
        <v>5000000</v>
      </c>
      <c r="BH8" s="120" t="n">
        <f aca="false">'📦 COGS &amp; OpEx'!BH30</f>
        <v>5000000</v>
      </c>
      <c r="BI8" s="120" t="n">
        <f aca="false">'📦 COGS &amp; OpEx'!BI30</f>
        <v>5000000</v>
      </c>
      <c r="BJ8" s="120" t="n">
        <f aca="false">'📦 COGS &amp; OpEx'!BJ30</f>
        <v>5000000</v>
      </c>
    </row>
    <row r="9" customFormat="false" ht="13.5" hidden="false" customHeight="true" outlineLevel="0" collapsed="false">
      <c r="A9" s="87" t="s">
        <v>411</v>
      </c>
      <c r="B9" s="17" t="n">
        <f aca="false">SUM(C9:AL9)</f>
        <v>65372854.6546759</v>
      </c>
      <c r="C9" s="17" t="n">
        <f aca="false">'📊 P&amp;L Detail'!C24</f>
        <v>3386250</v>
      </c>
      <c r="D9" s="17" t="n">
        <f aca="false">'📊 P&amp;L Detail'!D24</f>
        <v>3303965.03028028</v>
      </c>
      <c r="E9" s="17" t="n">
        <f aca="false">'📊 P&amp;L Detail'!E24</f>
        <v>3221062.92328765</v>
      </c>
      <c r="F9" s="17" t="n">
        <f aca="false">'📊 P&amp;L Detail'!F24</f>
        <v>3137539.05049259</v>
      </c>
      <c r="G9" s="17" t="n">
        <f aca="false">'📊 P&amp;L Detail'!G24</f>
        <v>3053388.74865156</v>
      </c>
      <c r="H9" s="17" t="n">
        <f aca="false">'📊 P&amp;L Detail'!H24</f>
        <v>2968607.31954672</v>
      </c>
      <c r="I9" s="17" t="n">
        <f aca="false">'📊 P&amp;L Detail'!I24</f>
        <v>2883190.0297236</v>
      </c>
      <c r="J9" s="17" t="n">
        <f aca="false">'📊 P&amp;L Detail'!J24</f>
        <v>2797132.1102268</v>
      </c>
      <c r="K9" s="17" t="n">
        <f aca="false">'📊 P&amp;L Detail'!K24</f>
        <v>2710428.75633378</v>
      </c>
      <c r="L9" s="17" t="n">
        <f aca="false">'📊 P&amp;L Detail'!L24</f>
        <v>2623075.12728655</v>
      </c>
      <c r="M9" s="17" t="n">
        <f aca="false">'📊 P&amp;L Detail'!M24</f>
        <v>2535066.34602148</v>
      </c>
      <c r="N9" s="17" t="n">
        <f aca="false">'📊 P&amp;L Detail'!N24</f>
        <v>2446397.49889692</v>
      </c>
      <c r="O9" s="17" t="n">
        <f aca="false">'📊 P&amp;L Detail'!O24</f>
        <v>2357063.63541892</v>
      </c>
      <c r="P9" s="17" t="n">
        <f aca="false">'📊 P&amp;L Detail'!P24</f>
        <v>2267059.76796484</v>
      </c>
      <c r="Q9" s="17" t="n">
        <f aca="false">'📊 P&amp;L Detail'!Q24</f>
        <v>2176380.87150485</v>
      </c>
      <c r="R9" s="17" t="n">
        <f aca="false">'📊 P&amp;L Detail'!R24</f>
        <v>2085021.88332141</v>
      </c>
      <c r="S9" s="17" t="n">
        <f aca="false">'📊 P&amp;L Detail'!S24</f>
        <v>1992977.7027266</v>
      </c>
      <c r="T9" s="17" t="n">
        <f aca="false">'📊 P&amp;L Detail'!T24</f>
        <v>1900243.19077732</v>
      </c>
      <c r="U9" s="17" t="n">
        <f aca="false">'📊 P&amp;L Detail'!U24</f>
        <v>1806813.16998843</v>
      </c>
      <c r="V9" s="17" t="n">
        <f aca="false">'📊 P&amp;L Detail'!V24</f>
        <v>1712682.42404362</v>
      </c>
      <c r="W9" s="17" t="n">
        <f aca="false">'📊 P&amp;L Detail'!W24</f>
        <v>1617845.69750422</v>
      </c>
      <c r="X9" s="17" t="n">
        <f aca="false">'📊 P&amp;L Detail'!X24</f>
        <v>1522297.69551578</v>
      </c>
      <c r="Y9" s="17" t="n">
        <f aca="false">'📊 P&amp;L Detail'!Y24</f>
        <v>1426033.08351242</v>
      </c>
      <c r="Z9" s="17" t="n">
        <f aca="false">'📊 P&amp;L Detail'!Z24</f>
        <v>1329046.48691904</v>
      </c>
      <c r="AA9" s="17" t="n">
        <f aca="false">'📊 P&amp;L Detail'!AA24</f>
        <v>1231332.49085121</v>
      </c>
      <c r="AB9" s="17" t="n">
        <f aca="false">'📊 P&amp;L Detail'!AB24</f>
        <v>1132885.63981287</v>
      </c>
      <c r="AC9" s="17" t="n">
        <f aca="false">'📊 P&amp;L Detail'!AC24</f>
        <v>1033700.43739174</v>
      </c>
      <c r="AD9" s="17" t="n">
        <f aca="false">'📊 P&amp;L Detail'!AD24</f>
        <v>933771.345952457</v>
      </c>
      <c r="AE9" s="17" t="n">
        <f aca="false">'📊 P&amp;L Detail'!AE24</f>
        <v>833092.786327376</v>
      </c>
      <c r="AF9" s="17" t="n">
        <f aca="false">'📊 P&amp;L Detail'!AF24</f>
        <v>731659.137505107</v>
      </c>
      <c r="AG9" s="17" t="n">
        <f aca="false">'📊 P&amp;L Detail'!AG24</f>
        <v>629464.736316672</v>
      </c>
      <c r="AH9" s="17" t="n">
        <f aca="false">'📊 P&amp;L Detail'!AH24</f>
        <v>526503.877119322</v>
      </c>
      <c r="AI9" s="17" t="n">
        <f aca="false">'📊 P&amp;L Detail'!AI24</f>
        <v>422770.811477993</v>
      </c>
      <c r="AJ9" s="17" t="n">
        <f aca="false">'📊 P&amp;L Detail'!AJ24</f>
        <v>318259.747844354</v>
      </c>
      <c r="AK9" s="17" t="n">
        <f aca="false">'📊 P&amp;L Detail'!AK24</f>
        <v>212964.851233463</v>
      </c>
      <c r="AL9" s="17" t="n">
        <f aca="false">'📊 P&amp;L Detail'!AL24</f>
        <v>106880.242897989</v>
      </c>
      <c r="AM9" s="17" t="n">
        <f aca="false">'📊 P&amp;L Detail'!AM24</f>
        <v>14250699.0530652</v>
      </c>
      <c r="AN9" s="17" t="n">
        <f aca="false">'📊 P&amp;L Detail'!AN24</f>
        <v>14357579.2959632</v>
      </c>
      <c r="AO9" s="17" t="n">
        <f aca="false">'📊 P&amp;L Detail'!AO24</f>
        <v>0</v>
      </c>
      <c r="AP9" s="17" t="n">
        <f aca="false">'📊 P&amp;L Detail'!AP24</f>
        <v>0</v>
      </c>
      <c r="AQ9" s="17" t="n">
        <f aca="false">'📊 P&amp;L Detail'!AQ24</f>
        <v>0</v>
      </c>
      <c r="AR9" s="17" t="n">
        <f aca="false">'📊 P&amp;L Detail'!AR24</f>
        <v>0</v>
      </c>
      <c r="AS9" s="17" t="n">
        <f aca="false">'📊 P&amp;L Detail'!AS24</f>
        <v>0</v>
      </c>
      <c r="AT9" s="17" t="n">
        <f aca="false">'📊 P&amp;L Detail'!AT24</f>
        <v>0</v>
      </c>
      <c r="AU9" s="17" t="n">
        <f aca="false">'📊 P&amp;L Detail'!AU24</f>
        <v>0</v>
      </c>
      <c r="AV9" s="17" t="n">
        <f aca="false">'📊 P&amp;L Detail'!AV24</f>
        <v>0</v>
      </c>
      <c r="AW9" s="17" t="n">
        <f aca="false">'📊 P&amp;L Detail'!AW24</f>
        <v>0</v>
      </c>
      <c r="AX9" s="17" t="n">
        <f aca="false">'📊 P&amp;L Detail'!AX24</f>
        <v>0</v>
      </c>
      <c r="AY9" s="17" t="n">
        <f aca="false">'📊 P&amp;L Detail'!AY24</f>
        <v>0</v>
      </c>
      <c r="AZ9" s="17" t="n">
        <f aca="false">'📊 P&amp;L Detail'!AZ24</f>
        <v>0</v>
      </c>
      <c r="BA9" s="17" t="n">
        <f aca="false">'📊 P&amp;L Detail'!BA24</f>
        <v>0</v>
      </c>
      <c r="BB9" s="17" t="n">
        <f aca="false">'📊 P&amp;L Detail'!BB24</f>
        <v>0</v>
      </c>
      <c r="BC9" s="17" t="n">
        <f aca="false">'📊 P&amp;L Detail'!BC24</f>
        <v>0</v>
      </c>
      <c r="BD9" s="17" t="n">
        <f aca="false">'📊 P&amp;L Detail'!BD24</f>
        <v>0</v>
      </c>
      <c r="BE9" s="17" t="n">
        <f aca="false">'📊 P&amp;L Detail'!BE24</f>
        <v>0</v>
      </c>
      <c r="BF9" s="17" t="n">
        <f aca="false">'📊 P&amp;L Detail'!BF24</f>
        <v>0</v>
      </c>
      <c r="BG9" s="17" t="n">
        <f aca="false">'📊 P&amp;L Detail'!BG24</f>
        <v>0</v>
      </c>
      <c r="BH9" s="17" t="n">
        <f aca="false">'📊 P&amp;L Detail'!BH24</f>
        <v>0</v>
      </c>
      <c r="BI9" s="17" t="n">
        <f aca="false">'📊 P&amp;L Detail'!BI24</f>
        <v>0</v>
      </c>
      <c r="BJ9" s="17" t="n">
        <f aca="false">'📊 P&amp;L Detail'!BJ24</f>
        <v>0</v>
      </c>
    </row>
    <row r="10" customFormat="false" ht="13.5" hidden="false" customHeight="true" outlineLevel="0" collapsed="false">
      <c r="A10" s="119" t="s">
        <v>412</v>
      </c>
      <c r="B10" s="120" t="n">
        <f aca="false">SUM(C10:AL10)</f>
        <v>0</v>
      </c>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row>
    <row r="11" customFormat="false" ht="13.5" hidden="false" customHeight="true" outlineLevel="0" collapsed="false">
      <c r="A11" s="92" t="s">
        <v>413</v>
      </c>
      <c r="B11" s="93" t="n">
        <f aca="false">SUM(C11:AL11)</f>
        <v>3891074053.81449</v>
      </c>
      <c r="C11" s="121" t="n">
        <f aca="false">C7+C8+C9+C10</f>
        <v>-60375000</v>
      </c>
      <c r="D11" s="121" t="n">
        <f aca="false">D7+D8+D9+D10</f>
        <v>-60375000</v>
      </c>
      <c r="E11" s="121" t="n">
        <f aca="false">E7+E8+E9+E10</f>
        <v>-34075777.5</v>
      </c>
      <c r="F11" s="121" t="n">
        <f aca="false">F7+F8+F9+F10</f>
        <v>-32066977.5</v>
      </c>
      <c r="G11" s="121" t="n">
        <f aca="false">G7+G8+G9+G10</f>
        <v>-8292614.06250001</v>
      </c>
      <c r="H11" s="121" t="n">
        <f aca="false">H7+H8+H9+H10</f>
        <v>6637035.93750001</v>
      </c>
      <c r="I11" s="121" t="n">
        <f aca="false">I7+I8+I9+I10</f>
        <v>67424297.9092223</v>
      </c>
      <c r="J11" s="121" t="n">
        <f aca="false">J7+J8+J9+J10</f>
        <v>58210301.5703977</v>
      </c>
      <c r="K11" s="121" t="n">
        <f aca="false">K7+K8+K9+K10</f>
        <v>78571542.8756334</v>
      </c>
      <c r="L11" s="121" t="n">
        <f aca="false">L7+L8+L9+L10</f>
        <v>110363040.481479</v>
      </c>
      <c r="M11" s="121" t="n">
        <f aca="false">M7+M8+M9+M10</f>
        <v>84729092.2596021</v>
      </c>
      <c r="N11" s="121" t="n">
        <f aca="false">N7+N8+N9+N10</f>
        <v>80230003.0311397</v>
      </c>
      <c r="O11" s="121" t="n">
        <f aca="false">O7+O8+O9+O10</f>
        <v>85185831.7541669</v>
      </c>
      <c r="P11" s="121" t="n">
        <f aca="false">P7+P8+P9+P10</f>
        <v>118692827.851796</v>
      </c>
      <c r="Q11" s="121" t="n">
        <f aca="false">Q7+Q8+Q9+Q10</f>
        <v>155084400.58715</v>
      </c>
      <c r="R11" s="121" t="n">
        <f aca="false">R7+R8+R9+R10</f>
        <v>156205214.688332</v>
      </c>
      <c r="S11" s="121" t="n">
        <f aca="false">S7+S8+S9+S10</f>
        <v>95137400.2702727</v>
      </c>
      <c r="T11" s="121" t="n">
        <f aca="false">T7+T8+T9+T10</f>
        <v>136765721.194078</v>
      </c>
      <c r="U11" s="121" t="n">
        <f aca="false">U7+U8+U9+U10</f>
        <v>176727600.066999</v>
      </c>
      <c r="V11" s="121" t="n">
        <f aca="false">V7+V8+V9+V10</f>
        <v>160824316.367404</v>
      </c>
      <c r="W11" s="121" t="n">
        <f aca="false">W7+W8+W9+W10</f>
        <v>179173634.56975</v>
      </c>
      <c r="X11" s="121" t="n">
        <f aca="false">X7+X8+X9+X10</f>
        <v>175786531.644552</v>
      </c>
      <c r="Y11" s="121" t="n">
        <f aca="false">Y7+Y8+Y9+Y10</f>
        <v>140847325.808351</v>
      </c>
      <c r="Z11" s="121" t="n">
        <f aca="false">Z7+Z8+Z9+Z10</f>
        <v>122806723.398692</v>
      </c>
      <c r="AA11" s="121" t="n">
        <f aca="false">AA7+AA8+AA9+AA10</f>
        <v>129184662.624085</v>
      </c>
      <c r="AB11" s="121" t="n">
        <f aca="false">AB7+AB8+AB9+AB10</f>
        <v>154966989.813981</v>
      </c>
      <c r="AC11" s="121" t="n">
        <f aca="false">AC7+AC8+AC9+AC10</f>
        <v>198770761.043739</v>
      </c>
      <c r="AD11" s="121" t="n">
        <f aca="false">AD7+AD8+AD9+AD10</f>
        <v>202376608.134595</v>
      </c>
      <c r="AE11" s="121" t="n">
        <f aca="false">AE7+AE8+AE9+AE10</f>
        <v>97334771.7786328</v>
      </c>
      <c r="AF11" s="121" t="n">
        <f aca="false">AF7+AF8+AF9+AF10</f>
        <v>139511402.788751</v>
      </c>
      <c r="AG11" s="121" t="n">
        <f aca="false">AG7+AG8+AG9+AG10</f>
        <v>179963265.223632</v>
      </c>
      <c r="AH11" s="121" t="n">
        <f aca="false">AH7+AH8+AH9+AH10</f>
        <v>163869558.512712</v>
      </c>
      <c r="AI11" s="121" t="n">
        <f aca="false">AI7+AI8+AI9+AI10</f>
        <v>182553327.081148</v>
      </c>
      <c r="AJ11" s="121" t="n">
        <f aca="false">AJ7+AJ8+AJ9+AJ10</f>
        <v>179131307.849784</v>
      </c>
      <c r="AK11" s="121" t="n">
        <f aca="false">AK7+AK8+AK9+AK10</f>
        <v>143739218.985123</v>
      </c>
      <c r="AL11" s="121" t="n">
        <f aca="false">AL7+AL8+AL9+AL10</f>
        <v>125454706.77429</v>
      </c>
      <c r="AM11" s="121" t="n">
        <f aca="false">AM7+AM8+AM9+AM10</f>
        <v>133349139.280307</v>
      </c>
      <c r="AN11" s="121" t="n">
        <f aca="false">AN7+AN8+AN9+AN10</f>
        <v>159351259.179596</v>
      </c>
      <c r="AO11" s="121" t="n">
        <f aca="false">AO7+AO8+AO9+AO10</f>
        <v>202283231</v>
      </c>
      <c r="AP11" s="121" t="n">
        <f aca="false">AP7+AP8+AP9+AP10</f>
        <v>197537441</v>
      </c>
      <c r="AQ11" s="121" t="n">
        <f aca="false">AQ7+AQ8+AQ9+AQ10</f>
        <v>94215177.5</v>
      </c>
      <c r="AR11" s="121" t="n">
        <f aca="false">AR7+AR8+AR9+AR10</f>
        <v>135681153.125</v>
      </c>
      <c r="AS11" s="121" t="n">
        <f aca="false">AS7+AS8+AS9+AS10</f>
        <v>175498981.25</v>
      </c>
      <c r="AT11" s="121" t="n">
        <f aca="false">AT7+AT8+AT9+AT10</f>
        <v>159664341.875</v>
      </c>
      <c r="AU11" s="121" t="n">
        <f aca="false">AU7+AU8+AU9+AU10</f>
        <v>177918350</v>
      </c>
      <c r="AV11" s="121" t="n">
        <f aca="false">AV7+AV8+AV9+AV10</f>
        <v>174551433.125</v>
      </c>
      <c r="AW11" s="121" t="n">
        <f aca="false">AW7+AW8+AW9+AW10</f>
        <v>139763097.5</v>
      </c>
      <c r="AX11" s="121" t="n">
        <f aca="false">AX7+AX8+AX9+AX10</f>
        <v>121808131.25</v>
      </c>
      <c r="AY11" s="121" t="n">
        <f aca="false">AY7+AY8+AY9+AY10</f>
        <v>128166985.625</v>
      </c>
      <c r="AZ11" s="121" t="n">
        <f aca="false">AZ7+AZ8+AZ9+AZ10</f>
        <v>153896888.75</v>
      </c>
      <c r="BA11" s="121" t="n">
        <f aca="false">BA7+BA8+BA9+BA10</f>
        <v>197537441</v>
      </c>
      <c r="BB11" s="121" t="n">
        <f aca="false">BB7+BB8+BB9+BB10</f>
        <v>199245925.4</v>
      </c>
      <c r="BC11" s="121" t="n">
        <f aca="false">BC7+BC8+BC9+BC10</f>
        <v>101300662.625</v>
      </c>
      <c r="BD11" s="121" t="n">
        <f aca="false">BD7+BD8+BD9+BD10</f>
        <v>137183986.625</v>
      </c>
      <c r="BE11" s="121" t="n">
        <f aca="false">BE7+BE8+BE9+BE10</f>
        <v>177259516.25</v>
      </c>
      <c r="BF11" s="121" t="n">
        <f aca="false">BF7+BF8+BF9+BF10</f>
        <v>161325368.375</v>
      </c>
      <c r="BG11" s="121" t="n">
        <f aca="false">BG7+BG8+BG9+BG10</f>
        <v>180673970</v>
      </c>
      <c r="BH11" s="121" t="n">
        <f aca="false">BH7+BH8+BH9+BH10</f>
        <v>177280262.375</v>
      </c>
      <c r="BI11" s="121" t="n">
        <f aca="false">BI7+BI8+BI9+BI10</f>
        <v>142135992.5</v>
      </c>
      <c r="BJ11" s="121" t="n">
        <f aca="false">BJ7+BJ8+BJ9+BJ10</f>
        <v>123989663.75</v>
      </c>
    </row>
    <row r="12" customFormat="false" ht="13.5" hidden="false" customHeight="true" outlineLevel="0" collapsed="false">
      <c r="A12" s="118" t="s">
        <v>414</v>
      </c>
      <c r="B12" s="118"/>
      <c r="C12" s="118"/>
      <c r="D12" s="118"/>
      <c r="E12" s="118"/>
      <c r="F12" s="118"/>
      <c r="G12" s="118"/>
      <c r="H12" s="118"/>
      <c r="I12" s="118"/>
      <c r="J12" s="118"/>
      <c r="K12" s="118"/>
      <c r="L12" s="118"/>
      <c r="M12" s="118"/>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row>
    <row r="13" customFormat="false" ht="13.5" hidden="false" customHeight="true" outlineLevel="0" collapsed="false">
      <c r="A13" s="87" t="s">
        <v>415</v>
      </c>
      <c r="B13" s="17" t="n">
        <f aca="false">SUM(C13:AL13)</f>
        <v>-300000000</v>
      </c>
      <c r="C13" s="17" t="n">
        <f aca="false">-'📦 COGS &amp; OpEx'!$C$29</f>
        <v>-300000000</v>
      </c>
      <c r="D13" s="17"/>
      <c r="E13" s="17" t="n">
        <f aca="false">-'📦 COGS &amp; OpEx'!E29</f>
        <v>-0</v>
      </c>
      <c r="F13" s="17" t="n">
        <f aca="false">-'📦 COGS &amp; OpEx'!F29</f>
        <v>-0</v>
      </c>
      <c r="G13" s="17" t="n">
        <f aca="false">-'📦 COGS &amp; OpEx'!G29</f>
        <v>-0</v>
      </c>
      <c r="H13" s="17" t="n">
        <f aca="false">-'📦 COGS &amp; OpEx'!H29</f>
        <v>-0</v>
      </c>
      <c r="I13" s="17" t="n">
        <f aca="false">-'📦 COGS &amp; OpEx'!I29</f>
        <v>-0</v>
      </c>
      <c r="J13" s="17" t="n">
        <f aca="false">-'📦 COGS &amp; OpEx'!J29</f>
        <v>-0</v>
      </c>
      <c r="K13" s="17" t="n">
        <f aca="false">-'📦 COGS &amp; OpEx'!K29</f>
        <v>-0</v>
      </c>
      <c r="L13" s="17" t="n">
        <f aca="false">-'📦 COGS &amp; OpEx'!L29</f>
        <v>-0</v>
      </c>
      <c r="M13" s="17" t="n">
        <f aca="false">-'📦 COGS &amp; OpEx'!M29</f>
        <v>-0</v>
      </c>
      <c r="N13" s="17" t="n">
        <f aca="false">-'📦 COGS &amp; OpEx'!N29</f>
        <v>-0</v>
      </c>
      <c r="O13" s="17" t="n">
        <f aca="false">-'📦 COGS &amp; OpEx'!O29</f>
        <v>-0</v>
      </c>
      <c r="P13" s="17" t="n">
        <f aca="false">-'📦 COGS &amp; OpEx'!P29</f>
        <v>-0</v>
      </c>
      <c r="Q13" s="17" t="n">
        <f aca="false">-'📦 COGS &amp; OpEx'!Q29</f>
        <v>-0</v>
      </c>
      <c r="R13" s="17" t="n">
        <f aca="false">-'📦 COGS &amp; OpEx'!R29</f>
        <v>-0</v>
      </c>
      <c r="S13" s="17" t="n">
        <f aca="false">-'📦 COGS &amp; OpEx'!S29</f>
        <v>-0</v>
      </c>
      <c r="T13" s="17" t="n">
        <f aca="false">-'📦 COGS &amp; OpEx'!T29</f>
        <v>-0</v>
      </c>
      <c r="U13" s="17" t="n">
        <f aca="false">-'📦 COGS &amp; OpEx'!U29</f>
        <v>-0</v>
      </c>
      <c r="V13" s="17" t="n">
        <f aca="false">-'📦 COGS &amp; OpEx'!V29</f>
        <v>-0</v>
      </c>
      <c r="W13" s="17" t="n">
        <f aca="false">-'📦 COGS &amp; OpEx'!W29</f>
        <v>-0</v>
      </c>
      <c r="X13" s="17" t="n">
        <f aca="false">-'📦 COGS &amp; OpEx'!X29</f>
        <v>-0</v>
      </c>
      <c r="Y13" s="17" t="n">
        <f aca="false">-'📦 COGS &amp; OpEx'!Y29</f>
        <v>-0</v>
      </c>
      <c r="Z13" s="17" t="n">
        <f aca="false">-'📦 COGS &amp; OpEx'!Z29</f>
        <v>-0</v>
      </c>
      <c r="AA13" s="17" t="n">
        <f aca="false">-'📦 COGS &amp; OpEx'!AA29</f>
        <v>-0</v>
      </c>
      <c r="AB13" s="17" t="n">
        <f aca="false">-'📦 COGS &amp; OpEx'!AB29</f>
        <v>-0</v>
      </c>
      <c r="AC13" s="17" t="n">
        <f aca="false">-'📦 COGS &amp; OpEx'!AC29</f>
        <v>-0</v>
      </c>
      <c r="AD13" s="17" t="n">
        <f aca="false">-'📦 COGS &amp; OpEx'!AD29</f>
        <v>-0</v>
      </c>
      <c r="AE13" s="17" t="n">
        <f aca="false">-'📦 COGS &amp; OpEx'!AE29</f>
        <v>-0</v>
      </c>
      <c r="AF13" s="17" t="n">
        <f aca="false">-'📦 COGS &amp; OpEx'!AF29</f>
        <v>-0</v>
      </c>
      <c r="AG13" s="17" t="n">
        <f aca="false">-'📦 COGS &amp; OpEx'!AG29</f>
        <v>-0</v>
      </c>
      <c r="AH13" s="17" t="n">
        <f aca="false">-'📦 COGS &amp; OpEx'!AH29</f>
        <v>-0</v>
      </c>
      <c r="AI13" s="17" t="n">
        <f aca="false">-'📦 COGS &amp; OpEx'!AI29</f>
        <v>-0</v>
      </c>
      <c r="AJ13" s="17" t="n">
        <f aca="false">-'📦 COGS &amp; OpEx'!AJ29</f>
        <v>-0</v>
      </c>
      <c r="AK13" s="17" t="n">
        <f aca="false">-'📦 COGS &amp; OpEx'!AK29</f>
        <v>-0</v>
      </c>
      <c r="AL13" s="17" t="n">
        <f aca="false">-'📦 COGS &amp; OpEx'!AL29</f>
        <v>-0</v>
      </c>
      <c r="AM13" s="17" t="n">
        <f aca="false">-'📦 COGS &amp; OpEx'!AM29</f>
        <v>-0</v>
      </c>
      <c r="AN13" s="17" t="n">
        <f aca="false">-'📦 COGS &amp; OpEx'!AN29</f>
        <v>-0</v>
      </c>
      <c r="AO13" s="17" t="n">
        <f aca="false">-'📦 COGS &amp; OpEx'!AO29</f>
        <v>-0</v>
      </c>
      <c r="AP13" s="17" t="n">
        <f aca="false">-'📦 COGS &amp; OpEx'!AP29</f>
        <v>-0</v>
      </c>
      <c r="AQ13" s="17" t="n">
        <f aca="false">-'📦 COGS &amp; OpEx'!AQ29</f>
        <v>-0</v>
      </c>
      <c r="AR13" s="17" t="n">
        <f aca="false">-'📦 COGS &amp; OpEx'!AR29</f>
        <v>-0</v>
      </c>
      <c r="AS13" s="17" t="n">
        <f aca="false">-'📦 COGS &amp; OpEx'!AS29</f>
        <v>-0</v>
      </c>
      <c r="AT13" s="17" t="n">
        <f aca="false">-'📦 COGS &amp; OpEx'!AT29</f>
        <v>-0</v>
      </c>
      <c r="AU13" s="17" t="n">
        <f aca="false">-'📦 COGS &amp; OpEx'!AU29</f>
        <v>-0</v>
      </c>
      <c r="AV13" s="17" t="n">
        <f aca="false">-'📦 COGS &amp; OpEx'!AV29</f>
        <v>-0</v>
      </c>
      <c r="AW13" s="17" t="n">
        <f aca="false">-'📦 COGS &amp; OpEx'!AW29</f>
        <v>-0</v>
      </c>
      <c r="AX13" s="17" t="n">
        <f aca="false">-'📦 COGS &amp; OpEx'!AX29</f>
        <v>-0</v>
      </c>
      <c r="AY13" s="17" t="n">
        <f aca="false">-'📦 COGS &amp; OpEx'!AY29</f>
        <v>-0</v>
      </c>
      <c r="AZ13" s="17" t="n">
        <f aca="false">-'📦 COGS &amp; OpEx'!AZ29</f>
        <v>-0</v>
      </c>
      <c r="BA13" s="17" t="n">
        <f aca="false">-'📦 COGS &amp; OpEx'!BA29</f>
        <v>-0</v>
      </c>
      <c r="BB13" s="17" t="n">
        <f aca="false">-'📦 COGS &amp; OpEx'!BB29</f>
        <v>-0</v>
      </c>
      <c r="BC13" s="17" t="n">
        <f aca="false">-'📦 COGS &amp; OpEx'!BC29</f>
        <v>-0</v>
      </c>
      <c r="BD13" s="17" t="n">
        <f aca="false">-'📦 COGS &amp; OpEx'!BD29</f>
        <v>-0</v>
      </c>
      <c r="BE13" s="17" t="n">
        <f aca="false">-'📦 COGS &amp; OpEx'!BE29</f>
        <v>-0</v>
      </c>
      <c r="BF13" s="17" t="n">
        <f aca="false">-'📦 COGS &amp; OpEx'!BF29</f>
        <v>-0</v>
      </c>
      <c r="BG13" s="17" t="n">
        <f aca="false">-'📦 COGS &amp; OpEx'!BG29</f>
        <v>-0</v>
      </c>
      <c r="BH13" s="17" t="n">
        <f aca="false">-'📦 COGS &amp; OpEx'!BH29</f>
        <v>-0</v>
      </c>
      <c r="BI13" s="17" t="n">
        <f aca="false">-'📦 COGS &amp; OpEx'!BI29</f>
        <v>-0</v>
      </c>
      <c r="BJ13" s="17" t="n">
        <f aca="false">-'📦 COGS &amp; OpEx'!BJ29</f>
        <v>-0</v>
      </c>
    </row>
    <row r="14" customFormat="false" ht="13.5" hidden="false" customHeight="true" outlineLevel="0" collapsed="false">
      <c r="A14" s="87" t="str">
        <f aca="false">"  (-) Deposit " &amp; '⚙️ Assumptions'!B11&amp; " month rent"</f>
        <v>  (-) Deposit 6 month rent</v>
      </c>
      <c r="B14" s="17"/>
      <c r="C14" s="17" t="n">
        <f aca="false">-'⚙️ Assumptions'!$B$17</f>
        <v>-345000000</v>
      </c>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row>
    <row r="15" customFormat="false" ht="13.5" hidden="false" customHeight="true" outlineLevel="0" collapsed="false">
      <c r="A15" s="119" t="s">
        <v>416</v>
      </c>
      <c r="B15" s="120" t="n">
        <f aca="false">SUM(C15:AL15)</f>
        <v>0</v>
      </c>
      <c r="C15" s="120" t="n">
        <f aca="false">'💰 Revenue'!C27</f>
        <v>0</v>
      </c>
      <c r="D15" s="120" t="n">
        <f aca="false">'💰 Revenue'!D27</f>
        <v>0</v>
      </c>
      <c r="E15" s="120" t="n">
        <f aca="false">'💰 Revenue'!E27</f>
        <v>0</v>
      </c>
      <c r="F15" s="120" t="n">
        <f aca="false">'💰 Revenue'!F27</f>
        <v>0</v>
      </c>
      <c r="G15" s="120" t="n">
        <f aca="false">'💰 Revenue'!G27</f>
        <v>0</v>
      </c>
      <c r="H15" s="120" t="n">
        <f aca="false">'💰 Revenue'!H27</f>
        <v>0</v>
      </c>
      <c r="I15" s="120" t="n">
        <f aca="false">'💰 Revenue'!I27</f>
        <v>0</v>
      </c>
      <c r="J15" s="120" t="n">
        <f aca="false">'💰 Revenue'!J27</f>
        <v>0</v>
      </c>
      <c r="K15" s="120" t="n">
        <f aca="false">'💰 Revenue'!K27</f>
        <v>0</v>
      </c>
      <c r="L15" s="120" t="n">
        <f aca="false">'💰 Revenue'!L27</f>
        <v>0</v>
      </c>
      <c r="M15" s="120" t="n">
        <f aca="false">'💰 Revenue'!M27</f>
        <v>0</v>
      </c>
      <c r="N15" s="120" t="n">
        <f aca="false">'💰 Revenue'!N27</f>
        <v>0</v>
      </c>
      <c r="O15" s="120" t="n">
        <f aca="false">'💰 Revenue'!O27</f>
        <v>0</v>
      </c>
      <c r="P15" s="120" t="n">
        <f aca="false">'💰 Revenue'!P27</f>
        <v>0</v>
      </c>
      <c r="Q15" s="120" t="n">
        <f aca="false">'💰 Revenue'!Q27</f>
        <v>0</v>
      </c>
      <c r="R15" s="120" t="n">
        <f aca="false">'💰 Revenue'!R27</f>
        <v>0</v>
      </c>
      <c r="S15" s="120" t="n">
        <f aca="false">'💰 Revenue'!S27</f>
        <v>0</v>
      </c>
      <c r="T15" s="120" t="n">
        <f aca="false">'💰 Revenue'!T27</f>
        <v>0</v>
      </c>
      <c r="U15" s="120" t="n">
        <f aca="false">'💰 Revenue'!U27</f>
        <v>0</v>
      </c>
      <c r="V15" s="120" t="n">
        <f aca="false">'💰 Revenue'!V27</f>
        <v>0</v>
      </c>
      <c r="W15" s="120" t="n">
        <f aca="false">'💰 Revenue'!W27</f>
        <v>0</v>
      </c>
      <c r="X15" s="120" t="n">
        <f aca="false">'💰 Revenue'!X27</f>
        <v>0</v>
      </c>
      <c r="Y15" s="120" t="n">
        <f aca="false">'💰 Revenue'!Y27</f>
        <v>0</v>
      </c>
      <c r="Z15" s="120" t="n">
        <f aca="false">'💰 Revenue'!Z27</f>
        <v>0</v>
      </c>
      <c r="AA15" s="120" t="n">
        <f aca="false">'💰 Revenue'!AA27</f>
        <v>0</v>
      </c>
      <c r="AB15" s="120" t="n">
        <f aca="false">'💰 Revenue'!AB27</f>
        <v>0</v>
      </c>
      <c r="AC15" s="120" t="n">
        <f aca="false">'💰 Revenue'!AC27</f>
        <v>0</v>
      </c>
      <c r="AD15" s="120" t="n">
        <f aca="false">'💰 Revenue'!AD27</f>
        <v>0</v>
      </c>
      <c r="AE15" s="120" t="n">
        <f aca="false">'💰 Revenue'!AE27</f>
        <v>0</v>
      </c>
      <c r="AF15" s="120" t="n">
        <f aca="false">'💰 Revenue'!AF27</f>
        <v>0</v>
      </c>
      <c r="AG15" s="120" t="n">
        <f aca="false">'💰 Revenue'!AG27</f>
        <v>0</v>
      </c>
      <c r="AH15" s="120" t="n">
        <f aca="false">'💰 Revenue'!AH27</f>
        <v>0</v>
      </c>
      <c r="AI15" s="120" t="n">
        <f aca="false">'💰 Revenue'!AI27</f>
        <v>0</v>
      </c>
      <c r="AJ15" s="120" t="n">
        <f aca="false">'💰 Revenue'!AJ27</f>
        <v>0</v>
      </c>
      <c r="AK15" s="120" t="n">
        <f aca="false">'💰 Revenue'!AK27</f>
        <v>0</v>
      </c>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row>
    <row r="16" customFormat="false" ht="13.5" hidden="false" customHeight="true" outlineLevel="0" collapsed="false">
      <c r="A16" s="92" t="s">
        <v>417</v>
      </c>
      <c r="B16" s="93" t="n">
        <f aca="false">SUM(C16:AL16)</f>
        <v>-645000000</v>
      </c>
      <c r="C16" s="121" t="n">
        <f aca="false">C13+C14+C15</f>
        <v>-645000000</v>
      </c>
      <c r="D16" s="121" t="n">
        <f aca="false">D13+D15</f>
        <v>0</v>
      </c>
      <c r="E16" s="121" t="n">
        <f aca="false">E13+E15</f>
        <v>0</v>
      </c>
      <c r="F16" s="121" t="n">
        <f aca="false">F13+F15</f>
        <v>0</v>
      </c>
      <c r="G16" s="121" t="n">
        <f aca="false">G13+G15</f>
        <v>0</v>
      </c>
      <c r="H16" s="121" t="n">
        <f aca="false">H13+H15</f>
        <v>0</v>
      </c>
      <c r="I16" s="121" t="n">
        <f aca="false">I13+I15</f>
        <v>0</v>
      </c>
      <c r="J16" s="121" t="n">
        <f aca="false">J13+J15</f>
        <v>0</v>
      </c>
      <c r="K16" s="121" t="n">
        <f aca="false">K13+K15</f>
        <v>0</v>
      </c>
      <c r="L16" s="121" t="n">
        <f aca="false">L13+L15</f>
        <v>0</v>
      </c>
      <c r="M16" s="121" t="n">
        <f aca="false">M13+M15</f>
        <v>0</v>
      </c>
      <c r="N16" s="121" t="n">
        <f aca="false">N13+N15</f>
        <v>0</v>
      </c>
      <c r="O16" s="121" t="n">
        <f aca="false">O13+O15</f>
        <v>0</v>
      </c>
      <c r="P16" s="121" t="n">
        <f aca="false">P13+P15</f>
        <v>0</v>
      </c>
      <c r="Q16" s="121" t="n">
        <f aca="false">Q13+Q15</f>
        <v>0</v>
      </c>
      <c r="R16" s="121" t="n">
        <f aca="false">R13+R15</f>
        <v>0</v>
      </c>
      <c r="S16" s="121" t="n">
        <f aca="false">S13+S15</f>
        <v>0</v>
      </c>
      <c r="T16" s="121" t="n">
        <f aca="false">T13+T15</f>
        <v>0</v>
      </c>
      <c r="U16" s="121" t="n">
        <f aca="false">U13+U15</f>
        <v>0</v>
      </c>
      <c r="V16" s="121" t="n">
        <f aca="false">V13+V15</f>
        <v>0</v>
      </c>
      <c r="W16" s="121" t="n">
        <f aca="false">W13+W15</f>
        <v>0</v>
      </c>
      <c r="X16" s="121" t="n">
        <f aca="false">X13+X15</f>
        <v>0</v>
      </c>
      <c r="Y16" s="121" t="n">
        <f aca="false">Y13+Y15</f>
        <v>0</v>
      </c>
      <c r="Z16" s="121" t="n">
        <f aca="false">Z13+Z15</f>
        <v>0</v>
      </c>
      <c r="AA16" s="121" t="n">
        <f aca="false">AA13+AA15</f>
        <v>0</v>
      </c>
      <c r="AB16" s="121" t="n">
        <f aca="false">AB13+AB15</f>
        <v>0</v>
      </c>
      <c r="AC16" s="121" t="n">
        <f aca="false">AC13+AC15</f>
        <v>0</v>
      </c>
      <c r="AD16" s="121" t="n">
        <f aca="false">AD13+AD15</f>
        <v>0</v>
      </c>
      <c r="AE16" s="121" t="n">
        <f aca="false">AE13+AE15</f>
        <v>0</v>
      </c>
      <c r="AF16" s="121" t="n">
        <f aca="false">AF13+AF15</f>
        <v>0</v>
      </c>
      <c r="AG16" s="121" t="n">
        <f aca="false">AG13+AG15</f>
        <v>0</v>
      </c>
      <c r="AH16" s="121" t="n">
        <f aca="false">AH13+AH15</f>
        <v>0</v>
      </c>
      <c r="AI16" s="121" t="n">
        <f aca="false">AI13+AI15</f>
        <v>0</v>
      </c>
      <c r="AJ16" s="121" t="n">
        <f aca="false">AJ13+AJ15</f>
        <v>0</v>
      </c>
      <c r="AK16" s="121" t="n">
        <f aca="false">AK13+AK15</f>
        <v>0</v>
      </c>
      <c r="AL16" s="121" t="n">
        <f aca="false">AL13+AL15</f>
        <v>0</v>
      </c>
      <c r="AM16" s="121" t="n">
        <f aca="false">AM13+AM15</f>
        <v>0</v>
      </c>
      <c r="AN16" s="121" t="n">
        <f aca="false">AN13+AN15</f>
        <v>0</v>
      </c>
      <c r="AO16" s="121" t="n">
        <f aca="false">AO13+AO15</f>
        <v>0</v>
      </c>
      <c r="AP16" s="121" t="n">
        <f aca="false">AP13+AP15</f>
        <v>0</v>
      </c>
      <c r="AQ16" s="121" t="n">
        <f aca="false">AQ13+AQ15</f>
        <v>0</v>
      </c>
      <c r="AR16" s="121" t="n">
        <f aca="false">AR13+AR15</f>
        <v>0</v>
      </c>
      <c r="AS16" s="121" t="n">
        <f aca="false">AS13+AS15</f>
        <v>0</v>
      </c>
      <c r="AT16" s="121" t="n">
        <f aca="false">AT13+AT15</f>
        <v>0</v>
      </c>
      <c r="AU16" s="121" t="n">
        <f aca="false">AU13+AU15</f>
        <v>0</v>
      </c>
      <c r="AV16" s="121" t="n">
        <f aca="false">AV13+AV15</f>
        <v>0</v>
      </c>
      <c r="AW16" s="121" t="n">
        <f aca="false">AW13+AW15</f>
        <v>0</v>
      </c>
      <c r="AX16" s="121" t="n">
        <f aca="false">AX13+AX15</f>
        <v>0</v>
      </c>
      <c r="AY16" s="121" t="n">
        <f aca="false">AY13+AY15</f>
        <v>0</v>
      </c>
      <c r="AZ16" s="121" t="n">
        <f aca="false">AZ13+AZ15</f>
        <v>0</v>
      </c>
      <c r="BA16" s="121" t="n">
        <f aca="false">BA13+BA15</f>
        <v>0</v>
      </c>
      <c r="BB16" s="121" t="n">
        <f aca="false">BB13+BB15</f>
        <v>0</v>
      </c>
      <c r="BC16" s="121" t="n">
        <f aca="false">BC13+BC15</f>
        <v>0</v>
      </c>
      <c r="BD16" s="121" t="n">
        <f aca="false">BD13+BD15</f>
        <v>0</v>
      </c>
      <c r="BE16" s="121" t="n">
        <f aca="false">BE13+BE15</f>
        <v>0</v>
      </c>
      <c r="BF16" s="121" t="n">
        <f aca="false">BF13+BF15</f>
        <v>0</v>
      </c>
      <c r="BG16" s="121" t="n">
        <f aca="false">BG13+BG15</f>
        <v>0</v>
      </c>
      <c r="BH16" s="121" t="n">
        <f aca="false">BH13+BH15</f>
        <v>0</v>
      </c>
      <c r="BI16" s="121" t="n">
        <f aca="false">BI13+BI15</f>
        <v>0</v>
      </c>
      <c r="BJ16" s="121" t="n">
        <f aca="false">BJ13+BJ15</f>
        <v>0</v>
      </c>
    </row>
    <row r="17" customFormat="false" ht="13.5" hidden="false" customHeight="true" outlineLevel="0" collapsed="false">
      <c r="A17" s="118" t="s">
        <v>418</v>
      </c>
      <c r="B17" s="118"/>
      <c r="C17" s="118"/>
      <c r="D17" s="118"/>
      <c r="E17" s="118"/>
      <c r="F17" s="118"/>
      <c r="G17" s="118"/>
      <c r="H17" s="118"/>
      <c r="I17" s="118"/>
      <c r="J17" s="118"/>
      <c r="K17" s="118"/>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row>
    <row r="18" customFormat="false" ht="13.5" hidden="false" customHeight="true" outlineLevel="0" collapsed="false">
      <c r="A18" s="87" t="s">
        <v>419</v>
      </c>
      <c r="B18" s="17" t="n">
        <f aca="false">SUM(C18:AL18)</f>
        <v>451500000</v>
      </c>
      <c r="C18" s="17" t="n">
        <f aca="false">'🏦 Loan Schedule'!B6</f>
        <v>451500000</v>
      </c>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row>
    <row r="19" customFormat="false" ht="13.5" hidden="false" customHeight="true" outlineLevel="0" collapsed="false">
      <c r="A19" s="119" t="s">
        <v>420</v>
      </c>
      <c r="B19" s="120" t="n">
        <f aca="false">SUM(C19:AL19)</f>
        <v>-451500000</v>
      </c>
      <c r="C19" s="120" t="n">
        <f aca="false">-'🏦 Loan Schedule'!E14</f>
        <v>-10971329.2959632</v>
      </c>
      <c r="D19" s="120" t="n">
        <f aca="false">-'🏦 Loan Schedule'!E15</f>
        <v>-11053614.2656829</v>
      </c>
      <c r="E19" s="120" t="n">
        <f aca="false">-'🏦 Loan Schedule'!E16</f>
        <v>-11136516.3726756</v>
      </c>
      <c r="F19" s="120" t="n">
        <f aca="false">-'🏦 Loan Schedule'!E17</f>
        <v>-11220040.2454706</v>
      </c>
      <c r="G19" s="120" t="n">
        <f aca="false">-'🏦 Loan Schedule'!E18</f>
        <v>-11304190.5473117</v>
      </c>
      <c r="H19" s="120" t="n">
        <f aca="false">-'🏦 Loan Schedule'!E19</f>
        <v>-11388971.9764165</v>
      </c>
      <c r="I19" s="120" t="n">
        <f aca="false">-'🏦 Loan Schedule'!E20</f>
        <v>-11474389.2662396</v>
      </c>
      <c r="J19" s="120" t="n">
        <f aca="false">-'🏦 Loan Schedule'!E21</f>
        <v>-11560447.1857364</v>
      </c>
      <c r="K19" s="120" t="n">
        <f aca="false">-'🏦 Loan Schedule'!E22</f>
        <v>-11647150.5396294</v>
      </c>
      <c r="L19" s="120" t="n">
        <f aca="false">-'🏦 Loan Schedule'!E23</f>
        <v>-11734504.1686767</v>
      </c>
      <c r="M19" s="120" t="n">
        <f aca="false">-'🏦 Loan Schedule'!E24</f>
        <v>-11822512.9499417</v>
      </c>
      <c r="N19" s="120" t="n">
        <f aca="false">-'🏦 Loan Schedule'!E25</f>
        <v>-11911181.7970663</v>
      </c>
      <c r="O19" s="120" t="n">
        <f aca="false">-'🏦 Loan Schedule'!E26</f>
        <v>-12000515.6605443</v>
      </c>
      <c r="P19" s="120" t="n">
        <f aca="false">-'🏦 Loan Schedule'!E27</f>
        <v>-12090519.5279984</v>
      </c>
      <c r="Q19" s="120" t="n">
        <f aca="false">-'🏦 Loan Schedule'!E28</f>
        <v>-12181198.4244584</v>
      </c>
      <c r="R19" s="120" t="n">
        <f aca="false">-'🏦 Loan Schedule'!E29</f>
        <v>-12272557.4126418</v>
      </c>
      <c r="S19" s="120" t="n">
        <f aca="false">-'🏦 Loan Schedule'!E30</f>
        <v>-12364601.5932366</v>
      </c>
      <c r="T19" s="120" t="n">
        <f aca="false">-'🏦 Loan Schedule'!E31</f>
        <v>-12457336.1051859</v>
      </c>
      <c r="U19" s="120" t="n">
        <f aca="false">-'🏦 Loan Schedule'!E32</f>
        <v>-12550766.1259748</v>
      </c>
      <c r="V19" s="120" t="n">
        <f aca="false">-'🏦 Loan Schedule'!E33</f>
        <v>-12644896.8719196</v>
      </c>
      <c r="W19" s="120" t="n">
        <f aca="false">-'🏦 Loan Schedule'!E34</f>
        <v>-12739733.598459</v>
      </c>
      <c r="X19" s="120" t="n">
        <f aca="false">-'🏦 Loan Schedule'!E35</f>
        <v>-12835281.6004474</v>
      </c>
      <c r="Y19" s="120" t="n">
        <f aca="false">-'🏦 Loan Schedule'!E36</f>
        <v>-12931546.2124508</v>
      </c>
      <c r="Z19" s="120" t="n">
        <f aca="false">-'🏦 Loan Schedule'!E37</f>
        <v>-13028532.8090442</v>
      </c>
      <c r="AA19" s="120" t="n">
        <f aca="false">-'🏦 Loan Schedule'!E38</f>
        <v>-13126246.805112</v>
      </c>
      <c r="AB19" s="120" t="n">
        <f aca="false">-'🏦 Loan Schedule'!E39</f>
        <v>-13224693.6561503</v>
      </c>
      <c r="AC19" s="120" t="n">
        <f aca="false">-'🏦 Loan Schedule'!E40</f>
        <v>-13323878.8585715</v>
      </c>
      <c r="AD19" s="120" t="n">
        <f aca="false">-'🏦 Loan Schedule'!E41</f>
        <v>-13423807.9500108</v>
      </c>
      <c r="AE19" s="120" t="n">
        <f aca="false">-'🏦 Loan Schedule'!E42</f>
        <v>-13524486.5096358</v>
      </c>
      <c r="AF19" s="120" t="n">
        <f aca="false">-'🏦 Loan Schedule'!E43</f>
        <v>-13625920.1584581</v>
      </c>
      <c r="AG19" s="120" t="n">
        <f aca="false">-'🏦 Loan Schedule'!E44</f>
        <v>-13728114.5596465</v>
      </c>
      <c r="AH19" s="120" t="n">
        <f aca="false">-'🏦 Loan Schedule'!E45</f>
        <v>-13831075.4188439</v>
      </c>
      <c r="AI19" s="120" t="n">
        <f aca="false">-'🏦 Loan Schedule'!E46</f>
        <v>-13934808.4844852</v>
      </c>
      <c r="AJ19" s="120" t="n">
        <f aca="false">-'🏦 Loan Schedule'!E47</f>
        <v>-14039319.5481189</v>
      </c>
      <c r="AK19" s="120" t="n">
        <f aca="false">-'🏦 Loan Schedule'!E48</f>
        <v>-14144614.4447298</v>
      </c>
      <c r="AL19" s="120" t="n">
        <f aca="false">-'🏦 Loan Schedule'!E49</f>
        <v>-14250699.0530652</v>
      </c>
      <c r="AM19" s="120" t="n">
        <f aca="false">-'🏦 Loan Schedule'!F49</f>
        <v>-14357579.2959632</v>
      </c>
      <c r="AN19" s="120" t="n">
        <f aca="false">-'🏦 Loan Schedule'!G49</f>
        <v>-0</v>
      </c>
      <c r="AO19" s="120" t="n">
        <f aca="false">-'🏦 Loan Schedule'!H49</f>
        <v>-0</v>
      </c>
      <c r="AP19" s="120" t="n">
        <f aca="false">-'🏦 Loan Schedule'!I49</f>
        <v>-0</v>
      </c>
      <c r="AQ19" s="120" t="n">
        <f aca="false">-'🏦 Loan Schedule'!J49</f>
        <v>-0</v>
      </c>
      <c r="AR19" s="120" t="n">
        <f aca="false">-'🏦 Loan Schedule'!K49</f>
        <v>-0</v>
      </c>
      <c r="AS19" s="120" t="n">
        <f aca="false">-'🏦 Loan Schedule'!L49</f>
        <v>-0</v>
      </c>
      <c r="AT19" s="120" t="n">
        <f aca="false">-'🏦 Loan Schedule'!M49</f>
        <v>-0</v>
      </c>
      <c r="AU19" s="120" t="n">
        <f aca="false">-'🏦 Loan Schedule'!N49</f>
        <v>-0</v>
      </c>
      <c r="AV19" s="120" t="n">
        <f aca="false">-'🏦 Loan Schedule'!O49</f>
        <v>-0</v>
      </c>
      <c r="AW19" s="120" t="n">
        <f aca="false">-'🏦 Loan Schedule'!P49</f>
        <v>-0</v>
      </c>
      <c r="AX19" s="120" t="n">
        <f aca="false">-'🏦 Loan Schedule'!Q49</f>
        <v>-0</v>
      </c>
      <c r="AY19" s="120" t="n">
        <f aca="false">-'🏦 Loan Schedule'!R49</f>
        <v>-0</v>
      </c>
      <c r="AZ19" s="120" t="n">
        <f aca="false">-'🏦 Loan Schedule'!S49</f>
        <v>-0</v>
      </c>
      <c r="BA19" s="120" t="n">
        <f aca="false">-'🏦 Loan Schedule'!T49</f>
        <v>-0</v>
      </c>
      <c r="BB19" s="120" t="n">
        <f aca="false">-'🏦 Loan Schedule'!U49</f>
        <v>-0</v>
      </c>
      <c r="BC19" s="120" t="n">
        <f aca="false">-'🏦 Loan Schedule'!V49</f>
        <v>-0</v>
      </c>
      <c r="BD19" s="120" t="n">
        <f aca="false">-'🏦 Loan Schedule'!W49</f>
        <v>-0</v>
      </c>
      <c r="BE19" s="120" t="n">
        <f aca="false">-'🏦 Loan Schedule'!X49</f>
        <v>-0</v>
      </c>
      <c r="BF19" s="120" t="n">
        <f aca="false">-'🏦 Loan Schedule'!Y49</f>
        <v>-0</v>
      </c>
      <c r="BG19" s="120" t="n">
        <f aca="false">-'🏦 Loan Schedule'!Z49</f>
        <v>-0</v>
      </c>
      <c r="BH19" s="120" t="n">
        <f aca="false">-'🏦 Loan Schedule'!AA49</f>
        <v>-0</v>
      </c>
      <c r="BI19" s="120" t="n">
        <f aca="false">-'🏦 Loan Schedule'!AB49</f>
        <v>-0</v>
      </c>
      <c r="BJ19" s="120" t="n">
        <f aca="false">-'🏦 Loan Schedule'!AC49</f>
        <v>-0</v>
      </c>
    </row>
    <row r="20" customFormat="false" ht="13.5" hidden="false" customHeight="true" outlineLevel="0" collapsed="false">
      <c r="A20" s="87" t="s">
        <v>421</v>
      </c>
      <c r="B20" s="17" t="n">
        <f aca="false">SUM(C20:AL20)</f>
        <v>-65372854.6546759</v>
      </c>
      <c r="C20" s="17" t="n">
        <f aca="false">-'🏦 Loan Schedule'!D14</f>
        <v>-3386250</v>
      </c>
      <c r="D20" s="17" t="n">
        <f aca="false">-'🏦 Loan Schedule'!D15</f>
        <v>-3303965.03028028</v>
      </c>
      <c r="E20" s="17" t="n">
        <f aca="false">-'🏦 Loan Schedule'!D16</f>
        <v>-3221062.92328765</v>
      </c>
      <c r="F20" s="17" t="n">
        <f aca="false">-'🏦 Loan Schedule'!D17</f>
        <v>-3137539.05049259</v>
      </c>
      <c r="G20" s="17" t="n">
        <f aca="false">-'🏦 Loan Schedule'!D18</f>
        <v>-3053388.74865156</v>
      </c>
      <c r="H20" s="17" t="n">
        <f aca="false">-'🏦 Loan Schedule'!D19</f>
        <v>-2968607.31954672</v>
      </c>
      <c r="I20" s="17" t="n">
        <f aca="false">-'🏦 Loan Schedule'!D20</f>
        <v>-2883190.0297236</v>
      </c>
      <c r="J20" s="17" t="n">
        <f aca="false">-'🏦 Loan Schedule'!D21</f>
        <v>-2797132.1102268</v>
      </c>
      <c r="K20" s="17" t="n">
        <f aca="false">-'🏦 Loan Schedule'!D22</f>
        <v>-2710428.75633378</v>
      </c>
      <c r="L20" s="17" t="n">
        <f aca="false">-'🏦 Loan Schedule'!D23</f>
        <v>-2623075.12728655</v>
      </c>
      <c r="M20" s="17" t="n">
        <f aca="false">-'🏦 Loan Schedule'!D24</f>
        <v>-2535066.34602148</v>
      </c>
      <c r="N20" s="17" t="n">
        <f aca="false">-'🏦 Loan Schedule'!D25</f>
        <v>-2446397.49889692</v>
      </c>
      <c r="O20" s="17" t="n">
        <f aca="false">-'🏦 Loan Schedule'!D26</f>
        <v>-2357063.63541892</v>
      </c>
      <c r="P20" s="17" t="n">
        <f aca="false">-'🏦 Loan Schedule'!D27</f>
        <v>-2267059.76796484</v>
      </c>
      <c r="Q20" s="17" t="n">
        <f aca="false">-'🏦 Loan Schedule'!D28</f>
        <v>-2176380.87150485</v>
      </c>
      <c r="R20" s="17" t="n">
        <f aca="false">-'🏦 Loan Schedule'!D29</f>
        <v>-2085021.88332141</v>
      </c>
      <c r="S20" s="17" t="n">
        <f aca="false">-'🏦 Loan Schedule'!D30</f>
        <v>-1992977.7027266</v>
      </c>
      <c r="T20" s="17" t="n">
        <f aca="false">-'🏦 Loan Schedule'!D31</f>
        <v>-1900243.19077732</v>
      </c>
      <c r="U20" s="17" t="n">
        <f aca="false">-'🏦 Loan Schedule'!D32</f>
        <v>-1806813.16998843</v>
      </c>
      <c r="V20" s="17" t="n">
        <f aca="false">-'🏦 Loan Schedule'!D33</f>
        <v>-1712682.42404362</v>
      </c>
      <c r="W20" s="17" t="n">
        <f aca="false">-'🏦 Loan Schedule'!D34</f>
        <v>-1617845.69750422</v>
      </c>
      <c r="X20" s="17" t="n">
        <f aca="false">-'🏦 Loan Schedule'!D35</f>
        <v>-1522297.69551578</v>
      </c>
      <c r="Y20" s="17" t="n">
        <f aca="false">-'🏦 Loan Schedule'!D36</f>
        <v>-1426033.08351242</v>
      </c>
      <c r="Z20" s="17" t="n">
        <f aca="false">-'🏦 Loan Schedule'!D37</f>
        <v>-1329046.48691904</v>
      </c>
      <c r="AA20" s="17" t="n">
        <f aca="false">-'🏦 Loan Schedule'!D38</f>
        <v>-1231332.49085121</v>
      </c>
      <c r="AB20" s="17" t="n">
        <f aca="false">-'🏦 Loan Schedule'!D39</f>
        <v>-1132885.63981287</v>
      </c>
      <c r="AC20" s="17" t="n">
        <f aca="false">-'🏦 Loan Schedule'!D40</f>
        <v>-1033700.43739174</v>
      </c>
      <c r="AD20" s="17" t="n">
        <f aca="false">-'🏦 Loan Schedule'!D41</f>
        <v>-933771.345952457</v>
      </c>
      <c r="AE20" s="17" t="n">
        <f aca="false">-'🏦 Loan Schedule'!D42</f>
        <v>-833092.786327376</v>
      </c>
      <c r="AF20" s="17" t="n">
        <f aca="false">-'🏦 Loan Schedule'!D43</f>
        <v>-731659.137505107</v>
      </c>
      <c r="AG20" s="17" t="n">
        <f aca="false">-'🏦 Loan Schedule'!D44</f>
        <v>-629464.736316672</v>
      </c>
      <c r="AH20" s="17" t="n">
        <f aca="false">-'🏦 Loan Schedule'!D45</f>
        <v>-526503.877119322</v>
      </c>
      <c r="AI20" s="17" t="n">
        <f aca="false">-'🏦 Loan Schedule'!D46</f>
        <v>-422770.811477993</v>
      </c>
      <c r="AJ20" s="17" t="n">
        <f aca="false">-'🏦 Loan Schedule'!D47</f>
        <v>-318259.747844354</v>
      </c>
      <c r="AK20" s="17" t="n">
        <f aca="false">-'🏦 Loan Schedule'!D48</f>
        <v>-212964.851233463</v>
      </c>
      <c r="AL20" s="17" t="n">
        <f aca="false">-'🏦 Loan Schedule'!D49</f>
        <v>-106880.242897989</v>
      </c>
      <c r="AM20" s="17" t="n">
        <f aca="false">-'🏦 Loan Schedule'!E49</f>
        <v>-14250699.0530652</v>
      </c>
      <c r="AN20" s="17" t="n">
        <f aca="false">-'🏦 Loan Schedule'!F49</f>
        <v>-14357579.2959632</v>
      </c>
      <c r="AO20" s="17" t="n">
        <f aca="false">-'🏦 Loan Schedule'!G49</f>
        <v>-0</v>
      </c>
      <c r="AP20" s="17" t="n">
        <f aca="false">-'🏦 Loan Schedule'!H49</f>
        <v>-0</v>
      </c>
      <c r="AQ20" s="17" t="n">
        <f aca="false">-'🏦 Loan Schedule'!I49</f>
        <v>-0</v>
      </c>
      <c r="AR20" s="17" t="n">
        <f aca="false">-'🏦 Loan Schedule'!J49</f>
        <v>-0</v>
      </c>
      <c r="AS20" s="17" t="n">
        <f aca="false">-'🏦 Loan Schedule'!K49</f>
        <v>-0</v>
      </c>
      <c r="AT20" s="17" t="n">
        <f aca="false">-'🏦 Loan Schedule'!L49</f>
        <v>-0</v>
      </c>
      <c r="AU20" s="17" t="n">
        <f aca="false">-'🏦 Loan Schedule'!M49</f>
        <v>-0</v>
      </c>
      <c r="AV20" s="17" t="n">
        <f aca="false">-'🏦 Loan Schedule'!N49</f>
        <v>-0</v>
      </c>
      <c r="AW20" s="17" t="n">
        <f aca="false">-'🏦 Loan Schedule'!O49</f>
        <v>-0</v>
      </c>
      <c r="AX20" s="17" t="n">
        <f aca="false">-'🏦 Loan Schedule'!P49</f>
        <v>-0</v>
      </c>
      <c r="AY20" s="17" t="n">
        <f aca="false">-'🏦 Loan Schedule'!Q49</f>
        <v>-0</v>
      </c>
      <c r="AZ20" s="17" t="n">
        <f aca="false">-'🏦 Loan Schedule'!R49</f>
        <v>-0</v>
      </c>
      <c r="BA20" s="17" t="n">
        <f aca="false">-'🏦 Loan Schedule'!S49</f>
        <v>-0</v>
      </c>
      <c r="BB20" s="17" t="n">
        <f aca="false">-'🏦 Loan Schedule'!T49</f>
        <v>-0</v>
      </c>
      <c r="BC20" s="17" t="n">
        <f aca="false">-'🏦 Loan Schedule'!U49</f>
        <v>-0</v>
      </c>
      <c r="BD20" s="17" t="n">
        <f aca="false">-'🏦 Loan Schedule'!V49</f>
        <v>-0</v>
      </c>
      <c r="BE20" s="17" t="n">
        <f aca="false">-'🏦 Loan Schedule'!W49</f>
        <v>-0</v>
      </c>
      <c r="BF20" s="17" t="n">
        <f aca="false">-'🏦 Loan Schedule'!X49</f>
        <v>-0</v>
      </c>
      <c r="BG20" s="17" t="n">
        <f aca="false">-'🏦 Loan Schedule'!Y49</f>
        <v>-0</v>
      </c>
      <c r="BH20" s="17" t="n">
        <f aca="false">-'🏦 Loan Schedule'!Z49</f>
        <v>-0</v>
      </c>
      <c r="BI20" s="17" t="n">
        <f aca="false">-'🏦 Loan Schedule'!AA49</f>
        <v>-0</v>
      </c>
      <c r="BJ20" s="17" t="n">
        <f aca="false">-'🏦 Loan Schedule'!AB49</f>
        <v>-0</v>
      </c>
    </row>
    <row r="21" customFormat="false" ht="13.5" hidden="false" customHeight="true" outlineLevel="0" collapsed="false">
      <c r="A21" s="119" t="s">
        <v>422</v>
      </c>
      <c r="B21" s="120" t="n">
        <f aca="false">SUM(C21:AL21)</f>
        <v>460473265.542316</v>
      </c>
      <c r="C21" s="120" t="n">
        <f aca="false">IF(C18=0,'⚙️ Assumptions'!$B$18 *1,('⚙️ Assumptions'!$B$18*(1-'🏦 Loan Schedule'!B5))) +'⚙️ Assumptions'!B14</f>
        <v>460473265.542316</v>
      </c>
      <c r="D21" s="120"/>
      <c r="E21" s="120"/>
      <c r="F21" s="120"/>
      <c r="G21" s="120"/>
      <c r="H21" s="120"/>
      <c r="I21" s="122"/>
      <c r="J21" s="122"/>
      <c r="K21" s="122"/>
      <c r="L21" s="122"/>
      <c r="M21" s="122"/>
      <c r="N21" s="122"/>
      <c r="O21" s="122"/>
      <c r="P21" s="122"/>
      <c r="Q21" s="122"/>
      <c r="R21" s="122"/>
      <c r="S21" s="122"/>
      <c r="T21" s="122"/>
      <c r="U21" s="122"/>
      <c r="V21" s="122"/>
      <c r="W21" s="122"/>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c r="AV21" s="122"/>
      <c r="AW21" s="122"/>
      <c r="AX21" s="122"/>
      <c r="AY21" s="122"/>
      <c r="AZ21" s="122"/>
      <c r="BA21" s="122"/>
      <c r="BB21" s="122"/>
      <c r="BC21" s="122"/>
      <c r="BD21" s="122"/>
      <c r="BE21" s="122"/>
      <c r="BF21" s="122"/>
      <c r="BG21" s="122"/>
      <c r="BH21" s="122"/>
      <c r="BI21" s="122"/>
      <c r="BJ21" s="122"/>
    </row>
    <row r="22" customFormat="false" ht="13.5" hidden="false" customHeight="true" outlineLevel="0" collapsed="false">
      <c r="A22" s="92" t="s">
        <v>423</v>
      </c>
      <c r="B22" s="93" t="n">
        <f aca="false">SUM(C22:AL22)</f>
        <v>395100410.88764</v>
      </c>
      <c r="C22" s="121" t="n">
        <f aca="false">C18+C19+C20+C21</f>
        <v>897615686.246353</v>
      </c>
      <c r="D22" s="121" t="n">
        <f aca="false">D18+D19+D20+D21</f>
        <v>-14357579.2959632</v>
      </c>
      <c r="E22" s="121" t="n">
        <f aca="false">E18+E19+E20+E21</f>
        <v>-14357579.2959632</v>
      </c>
      <c r="F22" s="121" t="n">
        <f aca="false">F18+F19+F20+F21</f>
        <v>-14357579.2959632</v>
      </c>
      <c r="G22" s="121" t="n">
        <f aca="false">G18+G19+G20+G21</f>
        <v>-14357579.2959632</v>
      </c>
      <c r="H22" s="121" t="n">
        <f aca="false">H18+H19+H20+H21</f>
        <v>-14357579.2959632</v>
      </c>
      <c r="I22" s="121" t="n">
        <f aca="false">I18+I19+I20+I21</f>
        <v>-14357579.2959632</v>
      </c>
      <c r="J22" s="121" t="n">
        <f aca="false">J18+J19+J20+J21</f>
        <v>-14357579.2959632</v>
      </c>
      <c r="K22" s="121" t="n">
        <f aca="false">K18+K19+K20+K21</f>
        <v>-14357579.2959632</v>
      </c>
      <c r="L22" s="121" t="n">
        <f aca="false">L18+L19+L20+L21</f>
        <v>-14357579.2959632</v>
      </c>
      <c r="M22" s="121" t="n">
        <f aca="false">M18+M19+M20+M21</f>
        <v>-14357579.2959632</v>
      </c>
      <c r="N22" s="121" t="n">
        <f aca="false">N18+N19+N20+N21</f>
        <v>-14357579.2959632</v>
      </c>
      <c r="O22" s="121" t="n">
        <f aca="false">O18+O19+O20+O21</f>
        <v>-14357579.2959632</v>
      </c>
      <c r="P22" s="121" t="n">
        <f aca="false">P18+P19+P20+P21</f>
        <v>-14357579.2959632</v>
      </c>
      <c r="Q22" s="121" t="n">
        <f aca="false">Q18+Q19+Q20+Q21</f>
        <v>-14357579.2959632</v>
      </c>
      <c r="R22" s="121" t="n">
        <f aca="false">R18+R19+R20+R21</f>
        <v>-14357579.2959632</v>
      </c>
      <c r="S22" s="121" t="n">
        <f aca="false">S18+S19+S20+S21</f>
        <v>-14357579.2959632</v>
      </c>
      <c r="T22" s="121" t="n">
        <f aca="false">T18+T19+T20+T21</f>
        <v>-14357579.2959632</v>
      </c>
      <c r="U22" s="121" t="n">
        <f aca="false">U18+U19+U20+U21</f>
        <v>-14357579.2959632</v>
      </c>
      <c r="V22" s="121" t="n">
        <f aca="false">V18+V19+V20+V21</f>
        <v>-14357579.2959632</v>
      </c>
      <c r="W22" s="121" t="n">
        <f aca="false">W18+W19+W20+W21</f>
        <v>-14357579.2959632</v>
      </c>
      <c r="X22" s="121" t="n">
        <f aca="false">X18+X19+X20+X21</f>
        <v>-14357579.2959632</v>
      </c>
      <c r="Y22" s="121" t="n">
        <f aca="false">Y18+Y19+Y20+Y21</f>
        <v>-14357579.2959632</v>
      </c>
      <c r="Z22" s="121" t="n">
        <f aca="false">Z18+Z19+Z20+Z21</f>
        <v>-14357579.2959632</v>
      </c>
      <c r="AA22" s="121" t="n">
        <f aca="false">AA18+AA19+AA20+AA21</f>
        <v>-14357579.2959632</v>
      </c>
      <c r="AB22" s="121" t="n">
        <f aca="false">AB18+AB19+AB20+AB21</f>
        <v>-14357579.2959632</v>
      </c>
      <c r="AC22" s="121" t="n">
        <f aca="false">AC18+AC19+AC20+AC21</f>
        <v>-14357579.2959632</v>
      </c>
      <c r="AD22" s="121" t="n">
        <f aca="false">AD18+AD19+AD20+AD21</f>
        <v>-14357579.2959632</v>
      </c>
      <c r="AE22" s="121" t="n">
        <f aca="false">AE18+AE19+AE20+AE21</f>
        <v>-14357579.2959632</v>
      </c>
      <c r="AF22" s="121" t="n">
        <f aca="false">AF18+AF19+AF20+AF21</f>
        <v>-14357579.2959632</v>
      </c>
      <c r="AG22" s="121" t="n">
        <f aca="false">AG18+AG19+AG20+AG21</f>
        <v>-14357579.2959632</v>
      </c>
      <c r="AH22" s="121" t="n">
        <f aca="false">AH18+AH19+AH20+AH21</f>
        <v>-14357579.2959632</v>
      </c>
      <c r="AI22" s="121" t="n">
        <f aca="false">AI18+AI19+AI20+AI21</f>
        <v>-14357579.2959632</v>
      </c>
      <c r="AJ22" s="121" t="n">
        <f aca="false">AJ18+AJ19+AJ20+AJ21</f>
        <v>-14357579.2959632</v>
      </c>
      <c r="AK22" s="121" t="n">
        <f aca="false">AK18+AK19+AK20+AK21</f>
        <v>-14357579.2959632</v>
      </c>
      <c r="AL22" s="121" t="n">
        <f aca="false">AL18+AL19+AL20+AL21</f>
        <v>-14357579.2959632</v>
      </c>
      <c r="AM22" s="121" t="n">
        <f aca="false">AM18+AM19+AM20+AM21</f>
        <v>-28608278.3490284</v>
      </c>
      <c r="AN22" s="121" t="n">
        <f aca="false">AN18+AN19+AN20+AN21</f>
        <v>-14357579.2959632</v>
      </c>
      <c r="AO22" s="121" t="n">
        <f aca="false">AO18+AO19+AO20+AO21</f>
        <v>0</v>
      </c>
      <c r="AP22" s="121" t="n">
        <f aca="false">AP18+AP19+AP20+AP21</f>
        <v>0</v>
      </c>
      <c r="AQ22" s="121" t="n">
        <f aca="false">AQ18+AQ19+AQ20+AQ21</f>
        <v>0</v>
      </c>
      <c r="AR22" s="121" t="n">
        <f aca="false">AR18+AR19+AR20+AR21</f>
        <v>0</v>
      </c>
      <c r="AS22" s="121" t="n">
        <f aca="false">AS18+AS19+AS20+AS21</f>
        <v>0</v>
      </c>
      <c r="AT22" s="121" t="n">
        <f aca="false">AT18+AT19+AT20+AT21</f>
        <v>0</v>
      </c>
      <c r="AU22" s="121" t="n">
        <f aca="false">AU18+AU19+AU20+AU21</f>
        <v>0</v>
      </c>
      <c r="AV22" s="121" t="n">
        <f aca="false">AV18+AV19+AV20+AV21</f>
        <v>0</v>
      </c>
      <c r="AW22" s="121" t="n">
        <f aca="false">AW18+AW19+AW20+AW21</f>
        <v>0</v>
      </c>
      <c r="AX22" s="121" t="n">
        <f aca="false">AX18+AX19+AX20+AX21</f>
        <v>0</v>
      </c>
      <c r="AY22" s="121" t="n">
        <f aca="false">AY18+AY19+AY20+AY21</f>
        <v>0</v>
      </c>
      <c r="AZ22" s="121" t="n">
        <f aca="false">AZ18+AZ19+AZ20+AZ21</f>
        <v>0</v>
      </c>
      <c r="BA22" s="121" t="n">
        <f aca="false">BA18+BA19+BA20+BA21</f>
        <v>0</v>
      </c>
      <c r="BB22" s="121" t="n">
        <f aca="false">BB18+BB19+BB20+BB21</f>
        <v>0</v>
      </c>
      <c r="BC22" s="121" t="n">
        <f aca="false">BC18+BC19+BC20+BC21</f>
        <v>0</v>
      </c>
      <c r="BD22" s="121" t="n">
        <f aca="false">BD18+BD19+BD20+BD21</f>
        <v>0</v>
      </c>
      <c r="BE22" s="121" t="n">
        <f aca="false">BE18+BE19+BE20+BE21</f>
        <v>0</v>
      </c>
      <c r="BF22" s="121" t="n">
        <f aca="false">BF18+BF19+BF20+BF21</f>
        <v>0</v>
      </c>
      <c r="BG22" s="121" t="n">
        <f aca="false">BG18+BG19+BG20+BG21</f>
        <v>0</v>
      </c>
      <c r="BH22" s="121" t="n">
        <f aca="false">BH18+BH19+BH20+BH21</f>
        <v>0</v>
      </c>
      <c r="BI22" s="121" t="n">
        <f aca="false">BI18+BI19+BI20+BI21</f>
        <v>0</v>
      </c>
      <c r="BJ22" s="121" t="n">
        <f aca="false">BJ18+BJ19+BJ20+BJ21</f>
        <v>0</v>
      </c>
    </row>
    <row r="23" customFormat="false" ht="13.5" hidden="false" customHeight="true" outlineLevel="0" collapsed="false">
      <c r="A23" s="118" t="s">
        <v>424</v>
      </c>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row>
    <row r="24" customFormat="false" ht="13.5" hidden="false" customHeight="true" outlineLevel="0" collapsed="false">
      <c r="A24" s="123" t="s">
        <v>425</v>
      </c>
      <c r="B24" s="124" t="n">
        <f aca="false">SUM(C24:AL24)</f>
        <v>3641174464.70213</v>
      </c>
      <c r="C24" s="124" t="n">
        <f aca="false">C11+C16+C22</f>
        <v>192240686.246353</v>
      </c>
      <c r="D24" s="124" t="n">
        <f aca="false">D11+D16+D22</f>
        <v>-74732579.2959632</v>
      </c>
      <c r="E24" s="124" t="n">
        <f aca="false">E11+E16+E22</f>
        <v>-48433356.7959632</v>
      </c>
      <c r="F24" s="124" t="n">
        <f aca="false">F11+F16+F22</f>
        <v>-46424556.7959632</v>
      </c>
      <c r="G24" s="124" t="n">
        <f aca="false">G11+G16+G22</f>
        <v>-22650193.3584632</v>
      </c>
      <c r="H24" s="124" t="n">
        <f aca="false">H11+H16+H22</f>
        <v>-7720543.35846321</v>
      </c>
      <c r="I24" s="124" t="n">
        <f aca="false">I11+I16+I22</f>
        <v>53066718.6132591</v>
      </c>
      <c r="J24" s="124" t="n">
        <f aca="false">J11+J16+J22</f>
        <v>43852722.2744345</v>
      </c>
      <c r="K24" s="124" t="n">
        <f aca="false">K11+K16+K22</f>
        <v>64213963.5796702</v>
      </c>
      <c r="L24" s="124" t="n">
        <f aca="false">L11+L16+L22</f>
        <v>96005461.1855155</v>
      </c>
      <c r="M24" s="124" t="n">
        <f aca="false">M11+M16+M22</f>
        <v>70371512.9636389</v>
      </c>
      <c r="N24" s="124" t="n">
        <f aca="false">N11+N16+N22</f>
        <v>65872423.7351765</v>
      </c>
      <c r="O24" s="124" t="n">
        <f aca="false">O11+O16+O22</f>
        <v>70828252.4582037</v>
      </c>
      <c r="P24" s="124" t="n">
        <f aca="false">P11+P16+P22</f>
        <v>104335248.555833</v>
      </c>
      <c r="Q24" s="124" t="n">
        <f aca="false">Q11+Q16+Q22</f>
        <v>140726821.291187</v>
      </c>
      <c r="R24" s="124" t="n">
        <f aca="false">R11+R16+R22</f>
        <v>141847635.392369</v>
      </c>
      <c r="S24" s="124" t="n">
        <f aca="false">S11+S16+S22</f>
        <v>80779820.9743094</v>
      </c>
      <c r="T24" s="124" t="n">
        <f aca="false">T11+T16+T22</f>
        <v>122408141.898115</v>
      </c>
      <c r="U24" s="124" t="n">
        <f aca="false">U11+U16+U22</f>
        <v>162370020.771036</v>
      </c>
      <c r="V24" s="124" t="n">
        <f aca="false">V11+V16+V22</f>
        <v>146466737.071441</v>
      </c>
      <c r="W24" s="124" t="n">
        <f aca="false">W11+W16+W22</f>
        <v>164816055.273787</v>
      </c>
      <c r="X24" s="124" t="n">
        <f aca="false">X11+X16+X22</f>
        <v>161428952.348588</v>
      </c>
      <c r="Y24" s="124" t="n">
        <f aca="false">Y11+Y16+Y22</f>
        <v>126489746.512388</v>
      </c>
      <c r="Z24" s="124" t="n">
        <f aca="false">Z11+Z16+Z22</f>
        <v>108449144.102729</v>
      </c>
      <c r="AA24" s="124" t="n">
        <f aca="false">AA11+AA16+AA22</f>
        <v>114827083.328122</v>
      </c>
      <c r="AB24" s="124" t="n">
        <f aca="false">AB11+AB16+AB22</f>
        <v>140609410.518018</v>
      </c>
      <c r="AC24" s="124" t="n">
        <f aca="false">AC11+AC16+AC22</f>
        <v>184413181.747776</v>
      </c>
      <c r="AD24" s="124" t="n">
        <f aca="false">AD11+AD16+AD22</f>
        <v>188019028.838632</v>
      </c>
      <c r="AE24" s="124" t="n">
        <f aca="false">AE11+AE16+AE22</f>
        <v>82977192.4826695</v>
      </c>
      <c r="AF24" s="124" t="n">
        <f aca="false">AF11+AF16+AF22</f>
        <v>125153823.492787</v>
      </c>
      <c r="AG24" s="124" t="n">
        <f aca="false">AG11+AG16+AG22</f>
        <v>165605685.927668</v>
      </c>
      <c r="AH24" s="124" t="n">
        <f aca="false">AH11+AH16+AH22</f>
        <v>149511979.216749</v>
      </c>
      <c r="AI24" s="124" t="n">
        <f aca="false">AI11+AI16+AI22</f>
        <v>168195747.785185</v>
      </c>
      <c r="AJ24" s="124" t="n">
        <f aca="false">AJ11+AJ16+AJ22</f>
        <v>164773728.553821</v>
      </c>
      <c r="AK24" s="124" t="n">
        <f aca="false">AK11+AK16+AK22</f>
        <v>129381639.68916</v>
      </c>
      <c r="AL24" s="124" t="n">
        <f aca="false">AL11+AL16+AL22</f>
        <v>111097127.478327</v>
      </c>
      <c r="AM24" s="124" t="n">
        <f aca="false">AM11+AM16+AM22</f>
        <v>104740860.931278</v>
      </c>
      <c r="AN24" s="124" t="n">
        <f aca="false">AN11+AN16+AN22</f>
        <v>144993679.883633</v>
      </c>
      <c r="AO24" s="124" t="n">
        <f aca="false">AO11+AO16+AO22</f>
        <v>202283231</v>
      </c>
      <c r="AP24" s="124" t="n">
        <f aca="false">AP11+AP16+AP22</f>
        <v>197537441</v>
      </c>
      <c r="AQ24" s="124" t="n">
        <f aca="false">AQ11+AQ16+AQ22</f>
        <v>94215177.5</v>
      </c>
      <c r="AR24" s="124" t="n">
        <f aca="false">AR11+AR16+AR22</f>
        <v>135681153.125</v>
      </c>
      <c r="AS24" s="124" t="n">
        <f aca="false">AS11+AS16+AS22</f>
        <v>175498981.25</v>
      </c>
      <c r="AT24" s="124" t="n">
        <f aca="false">AT11+AT16+AT22</f>
        <v>159664341.875</v>
      </c>
      <c r="AU24" s="124" t="n">
        <f aca="false">AU11+AU16+AU22</f>
        <v>177918350</v>
      </c>
      <c r="AV24" s="124" t="n">
        <f aca="false">AV11+AV16+AV22</f>
        <v>174551433.125</v>
      </c>
      <c r="AW24" s="124" t="n">
        <f aca="false">AW11+AW16+AW22</f>
        <v>139763097.5</v>
      </c>
      <c r="AX24" s="124" t="n">
        <f aca="false">AX11+AX16+AX22</f>
        <v>121808131.25</v>
      </c>
      <c r="AY24" s="124" t="n">
        <f aca="false">AY11+AY16+AY22</f>
        <v>128166985.625</v>
      </c>
      <c r="AZ24" s="124" t="n">
        <f aca="false">AZ11+AZ16+AZ22</f>
        <v>153896888.75</v>
      </c>
      <c r="BA24" s="124" t="n">
        <f aca="false">BA11+BA16+BA22</f>
        <v>197537441</v>
      </c>
      <c r="BB24" s="124" t="n">
        <f aca="false">BB11+BB16+BB22</f>
        <v>199245925.4</v>
      </c>
      <c r="BC24" s="124" t="n">
        <f aca="false">BC11+BC16+BC22</f>
        <v>101300662.625</v>
      </c>
      <c r="BD24" s="124" t="n">
        <f aca="false">BD11+BD16+BD22</f>
        <v>137183986.625</v>
      </c>
      <c r="BE24" s="124" t="n">
        <f aca="false">BE11+BE16+BE22</f>
        <v>177259516.25</v>
      </c>
      <c r="BF24" s="124" t="n">
        <f aca="false">BF11+BF16+BF22</f>
        <v>161325368.375</v>
      </c>
      <c r="BG24" s="124" t="n">
        <f aca="false">BG11+BG16+BG22</f>
        <v>180673970</v>
      </c>
      <c r="BH24" s="124" t="n">
        <f aca="false">BH11+BH16+BH22</f>
        <v>177280262.375</v>
      </c>
      <c r="BI24" s="124" t="n">
        <f aca="false">BI11+BI16+BI22</f>
        <v>142135992.5</v>
      </c>
      <c r="BJ24" s="124" t="n">
        <f aca="false">BJ11+BJ16+BJ22</f>
        <v>123989663.75</v>
      </c>
    </row>
    <row r="25" customFormat="false" ht="13.5" hidden="false" customHeight="true" outlineLevel="0" collapsed="false">
      <c r="A25" s="123" t="s">
        <v>426</v>
      </c>
      <c r="B25" s="124" t="n">
        <f aca="false">AL25</f>
        <v>3641174464.70213</v>
      </c>
      <c r="C25" s="124" t="n">
        <f aca="false">C24</f>
        <v>192240686.246353</v>
      </c>
      <c r="D25" s="124" t="n">
        <f aca="false">D24+C25</f>
        <v>117508106.95039</v>
      </c>
      <c r="E25" s="124" t="n">
        <f aca="false">E24+D25</f>
        <v>69074750.1544265</v>
      </c>
      <c r="F25" s="124" t="n">
        <f aca="false">F24+E25</f>
        <v>22650193.3584633</v>
      </c>
      <c r="G25" s="124" t="n">
        <f aca="false">G24+F25</f>
        <v>0</v>
      </c>
      <c r="H25" s="124" t="n">
        <f aca="false">H24+G25</f>
        <v>-7720543.35846321</v>
      </c>
      <c r="I25" s="124" t="n">
        <f aca="false">I24+H25</f>
        <v>45346175.2547959</v>
      </c>
      <c r="J25" s="124" t="n">
        <f aca="false">J24+I25</f>
        <v>89198897.5292303</v>
      </c>
      <c r="K25" s="124" t="n">
        <f aca="false">K24+J25</f>
        <v>153412861.108901</v>
      </c>
      <c r="L25" s="124" t="n">
        <f aca="false">L24+K25</f>
        <v>249418322.294416</v>
      </c>
      <c r="M25" s="124" t="n">
        <f aca="false">M24+L25</f>
        <v>319789835.258055</v>
      </c>
      <c r="N25" s="124" t="n">
        <f aca="false">N24+M25</f>
        <v>385662258.993231</v>
      </c>
      <c r="O25" s="124" t="n">
        <f aca="false">O24+N25</f>
        <v>456490511.451435</v>
      </c>
      <c r="P25" s="124" t="n">
        <f aca="false">P24+O25</f>
        <v>560825760.007268</v>
      </c>
      <c r="Q25" s="124" t="n">
        <f aca="false">Q24+P25</f>
        <v>701552581.298456</v>
      </c>
      <c r="R25" s="124" t="n">
        <f aca="false">R24+Q25</f>
        <v>843400216.690824</v>
      </c>
      <c r="S25" s="124" t="n">
        <f aca="false">S24+R25</f>
        <v>924180037.665134</v>
      </c>
      <c r="T25" s="124" t="n">
        <f aca="false">T24+S25</f>
        <v>1046588179.56325</v>
      </c>
      <c r="U25" s="124" t="n">
        <f aca="false">U24+T25</f>
        <v>1208958200.33428</v>
      </c>
      <c r="V25" s="124" t="n">
        <f aca="false">V24+U25</f>
        <v>1355424937.40573</v>
      </c>
      <c r="W25" s="124" t="n">
        <f aca="false">W24+V25</f>
        <v>1520240992.67951</v>
      </c>
      <c r="X25" s="124" t="n">
        <f aca="false">X24+W25</f>
        <v>1681669945.0281</v>
      </c>
      <c r="Y25" s="124" t="n">
        <f aca="false">Y24+X25</f>
        <v>1808159691.54049</v>
      </c>
      <c r="Z25" s="124" t="n">
        <f aca="false">Z24+Y25</f>
        <v>1916608835.64322</v>
      </c>
      <c r="AA25" s="124" t="n">
        <f aca="false">AA24+Z25</f>
        <v>2031435918.97134</v>
      </c>
      <c r="AB25" s="124" t="n">
        <f aca="false">AB24+AA25</f>
        <v>2172045329.48936</v>
      </c>
      <c r="AC25" s="124" t="n">
        <f aca="false">AC24+AB25</f>
        <v>2356458511.23713</v>
      </c>
      <c r="AD25" s="124" t="n">
        <f aca="false">AD24+AC25</f>
        <v>2544477540.07577</v>
      </c>
      <c r="AE25" s="124" t="n">
        <f aca="false">AE24+AD25</f>
        <v>2627454732.55843</v>
      </c>
      <c r="AF25" s="124" t="n">
        <f aca="false">AF24+AE25</f>
        <v>2752608556.05122</v>
      </c>
      <c r="AG25" s="124" t="n">
        <f aca="false">AG24+AF25</f>
        <v>2918214241.97889</v>
      </c>
      <c r="AH25" s="124" t="n">
        <f aca="false">AH24+AG25</f>
        <v>3067726221.19564</v>
      </c>
      <c r="AI25" s="124" t="n">
        <f aca="false">AI24+AH25</f>
        <v>3235921968.98082</v>
      </c>
      <c r="AJ25" s="124" t="n">
        <f aca="false">AJ24+AI25</f>
        <v>3400695697.53464</v>
      </c>
      <c r="AK25" s="124" t="n">
        <f aca="false">AK24+AJ25</f>
        <v>3530077337.22381</v>
      </c>
      <c r="AL25" s="124" t="n">
        <f aca="false">AL24+AK25</f>
        <v>3641174464.70213</v>
      </c>
      <c r="AM25" s="124" t="n">
        <f aca="false">AM24+AL25</f>
        <v>3745915325.63341</v>
      </c>
      <c r="AN25" s="124" t="n">
        <f aca="false">AN24+AM25</f>
        <v>3890909005.51704</v>
      </c>
      <c r="AO25" s="124" t="n">
        <f aca="false">AO24+AN25</f>
        <v>4093192236.51704</v>
      </c>
      <c r="AP25" s="124" t="n">
        <f aca="false">AP24+AO25</f>
        <v>4290729677.51704</v>
      </c>
      <c r="AQ25" s="124" t="n">
        <f aca="false">AQ24+AP25</f>
        <v>4384944855.01704</v>
      </c>
      <c r="AR25" s="124" t="n">
        <f aca="false">AR24+AQ25</f>
        <v>4520626008.14204</v>
      </c>
      <c r="AS25" s="124" t="n">
        <f aca="false">AS24+AR25</f>
        <v>4696124989.39204</v>
      </c>
      <c r="AT25" s="124" t="n">
        <f aca="false">AT24+AS25</f>
        <v>4855789331.26704</v>
      </c>
      <c r="AU25" s="124" t="n">
        <f aca="false">AU24+AT25</f>
        <v>5033707681.26704</v>
      </c>
      <c r="AV25" s="124" t="n">
        <f aca="false">AV24+AU25</f>
        <v>5208259114.39204</v>
      </c>
      <c r="AW25" s="124" t="n">
        <f aca="false">AW24+AV25</f>
        <v>5348022211.89204</v>
      </c>
      <c r="AX25" s="124" t="n">
        <f aca="false">AX24+AW25</f>
        <v>5469830343.14204</v>
      </c>
      <c r="AY25" s="124" t="n">
        <f aca="false">AY24+AX25</f>
        <v>5597997328.76704</v>
      </c>
      <c r="AZ25" s="124" t="n">
        <f aca="false">AZ24+AY25</f>
        <v>5751894217.51704</v>
      </c>
      <c r="BA25" s="124" t="n">
        <f aca="false">BA24+AZ25</f>
        <v>5949431658.51704</v>
      </c>
      <c r="BB25" s="124" t="n">
        <f aca="false">BB24+BA25</f>
        <v>6148677583.91704</v>
      </c>
      <c r="BC25" s="124" t="n">
        <f aca="false">BC24+BB25</f>
        <v>6249978246.54204</v>
      </c>
      <c r="BD25" s="124" t="n">
        <f aca="false">BD24+BC25</f>
        <v>6387162233.16704</v>
      </c>
      <c r="BE25" s="124" t="n">
        <f aca="false">BE24+BD25</f>
        <v>6564421749.41704</v>
      </c>
      <c r="BF25" s="124" t="n">
        <f aca="false">BF24+BE25</f>
        <v>6725747117.79204</v>
      </c>
      <c r="BG25" s="124" t="n">
        <f aca="false">BG24+BF25</f>
        <v>6906421087.79204</v>
      </c>
      <c r="BH25" s="124" t="n">
        <f aca="false">BH24+BG25</f>
        <v>7083701350.16704</v>
      </c>
      <c r="BI25" s="124" t="n">
        <f aca="false">BI24+BH25</f>
        <v>7225837342.66704</v>
      </c>
      <c r="BJ25" s="124" t="n">
        <f aca="false">BJ24+BI25</f>
        <v>7349827006.41704</v>
      </c>
    </row>
    <row r="26" customFormat="false" ht="13.5" hidden="false" customHeight="true" outlineLevel="0" collapsed="false">
      <c r="A26" s="118" t="s">
        <v>427</v>
      </c>
      <c r="B26" s="118"/>
      <c r="C26" s="118"/>
      <c r="D26" s="118"/>
      <c r="E26" s="118"/>
      <c r="F26" s="118"/>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row>
    <row r="27" customFormat="false" ht="15" hidden="false" customHeight="true" outlineLevel="0" collapsed="false">
      <c r="A27" s="125" t="s">
        <v>428</v>
      </c>
      <c r="B27" s="126" t="n">
        <f aca="false">B21</f>
        <v>460473265.542316</v>
      </c>
    </row>
    <row r="28" customFormat="false" ht="15" hidden="false" customHeight="true" outlineLevel="0" collapsed="false">
      <c r="A28" s="127" t="s">
        <v>429</v>
      </c>
      <c r="B28" s="128" t="n">
        <f aca="false">SUM(C7:BJ7)</f>
        <v>7248711320.17069</v>
      </c>
    </row>
    <row r="29" customFormat="false" ht="15" hidden="false" customHeight="true" outlineLevel="0" collapsed="false">
      <c r="A29" s="125" t="s">
        <v>430</v>
      </c>
      <c r="B29" s="129"/>
    </row>
    <row r="30" customFormat="false" ht="15" hidden="false" customHeight="true" outlineLevel="0" collapsed="false">
      <c r="A30" s="130" t="s">
        <v>431</v>
      </c>
      <c r="B30" s="131" t="n">
        <f aca="false">($B$7 * 0.8 + $B$8 - $B$27)/B27</f>
        <v>11.9843999718309</v>
      </c>
    </row>
    <row r="31" customFormat="false" ht="15" hidden="false" customHeight="true" outlineLevel="0" collapsed="false">
      <c r="A31" s="130" t="s">
        <v>432</v>
      </c>
      <c r="B31" s="131" t="n">
        <f aca="false">(1 + B30)^(1/5)-1</f>
        <v>0.669876592419065</v>
      </c>
      <c r="C31" s="0"/>
    </row>
    <row r="32" customFormat="false" ht="15" hidden="false" customHeight="true" outlineLevel="0" collapsed="false">
      <c r="A32" s="125" t="s">
        <v>433</v>
      </c>
      <c r="B32" s="132" t="n">
        <f aca="false">_xlfn.LET(
_xlpm.Last_neg_month, _xlfn.XLOOKUP(-1,SIGN($C$25:$BJ$25),$C$3:$BJ$3,"No Negative",0,-1),
_xlpm.Last_neg_month_val, _xlfn.XLOOKUP(-1,SIGN($C$25:$BJ$25),$C$25:$BJ$25,"No Negative",0,-1),
_xlpm.First_turn_pos_month_val, _xlfn.XLOOKUP(1,SIGN($C$25:$BJ$25),$C$24:$BJ$24,"No Negative",0,1),
_xlpm.Last_neg_month + (_xlpm.Last_neg_month_val*-1)/_xlpm.First_turn_pos_month_val
)</f>
        <v>6.04016081875909</v>
      </c>
      <c r="C32" s="133"/>
      <c r="D32" s="133"/>
    </row>
    <row r="33" customFormat="false" ht="15" hidden="false" customHeight="true" outlineLevel="0" collapsed="false">
      <c r="A33" s="125" t="s">
        <v>434</v>
      </c>
      <c r="B33" s="134" t="e">
        <f aca="false">IRR($C$24:$BJ$24,0.1)</f>
        <v>#N/A</v>
      </c>
    </row>
    <row r="34" customFormat="false" ht="15" hidden="false" customHeight="true" outlineLevel="0" collapsed="false">
      <c r="A34" s="125" t="s">
        <v>435</v>
      </c>
      <c r="B34" s="135"/>
      <c r="D34" s="136"/>
    </row>
    <row r="37" customFormat="false" ht="13.8" hidden="false" customHeight="false" outlineLevel="0" collapsed="false">
      <c r="A37" s="83" t="s">
        <v>436</v>
      </c>
    </row>
    <row r="38" customFormat="false" ht="13.8" hidden="false" customHeight="false" outlineLevel="0" collapsed="false">
      <c r="A38" s="137"/>
      <c r="B38" s="138" t="s">
        <v>437</v>
      </c>
      <c r="C38" s="138" t="s">
        <v>107</v>
      </c>
      <c r="D38" s="138" t="s">
        <v>306</v>
      </c>
      <c r="E38" s="138" t="s">
        <v>307</v>
      </c>
      <c r="F38" s="138" t="s">
        <v>308</v>
      </c>
      <c r="G38" s="138" t="s">
        <v>309</v>
      </c>
      <c r="H38" s="138" t="s">
        <v>310</v>
      </c>
      <c r="I38" s="138" t="s">
        <v>133</v>
      </c>
      <c r="J38" s="138" t="s">
        <v>311</v>
      </c>
      <c r="K38" s="138" t="s">
        <v>312</v>
      </c>
      <c r="L38" s="138" t="s">
        <v>313</v>
      </c>
      <c r="M38" s="138" t="s">
        <v>314</v>
      </c>
      <c r="N38" s="138" t="s">
        <v>315</v>
      </c>
      <c r="O38" s="138" t="s">
        <v>316</v>
      </c>
      <c r="P38" s="138" t="s">
        <v>317</v>
      </c>
      <c r="Q38" s="138" t="s">
        <v>318</v>
      </c>
      <c r="R38" s="138" t="s">
        <v>319</v>
      </c>
      <c r="S38" s="138" t="s">
        <v>320</v>
      </c>
      <c r="T38" s="138" t="s">
        <v>321</v>
      </c>
      <c r="U38" s="138" t="s">
        <v>322</v>
      </c>
      <c r="V38" s="138" t="s">
        <v>323</v>
      </c>
      <c r="W38" s="138" t="s">
        <v>324</v>
      </c>
      <c r="X38" s="138" t="s">
        <v>325</v>
      </c>
      <c r="Y38" s="138" t="s">
        <v>326</v>
      </c>
      <c r="Z38" s="138" t="s">
        <v>327</v>
      </c>
      <c r="AA38" s="138" t="s">
        <v>328</v>
      </c>
      <c r="AB38" s="138" t="s">
        <v>329</v>
      </c>
      <c r="AC38" s="138" t="s">
        <v>330</v>
      </c>
      <c r="AD38" s="138" t="s">
        <v>331</v>
      </c>
      <c r="AE38" s="138" t="s">
        <v>332</v>
      </c>
      <c r="AF38" s="138" t="s">
        <v>333</v>
      </c>
      <c r="AG38" s="138" t="s">
        <v>334</v>
      </c>
      <c r="AH38" s="138" t="s">
        <v>335</v>
      </c>
      <c r="AI38" s="138" t="s">
        <v>336</v>
      </c>
      <c r="AJ38" s="138" t="s">
        <v>337</v>
      </c>
      <c r="AK38" s="138" t="s">
        <v>338</v>
      </c>
      <c r="AL38" s="138" t="s">
        <v>339</v>
      </c>
      <c r="AM38" s="138" t="s">
        <v>340</v>
      </c>
      <c r="AN38" s="138" t="s">
        <v>341</v>
      </c>
      <c r="AO38" s="138" t="s">
        <v>342</v>
      </c>
      <c r="AP38" s="138" t="s">
        <v>343</v>
      </c>
      <c r="AQ38" s="138" t="s">
        <v>344</v>
      </c>
      <c r="AR38" s="138" t="s">
        <v>345</v>
      </c>
      <c r="AS38" s="138" t="s">
        <v>346</v>
      </c>
      <c r="AT38" s="138" t="s">
        <v>347</v>
      </c>
      <c r="AU38" s="138" t="s">
        <v>348</v>
      </c>
      <c r="AV38" s="138" t="s">
        <v>349</v>
      </c>
      <c r="AW38" s="138" t="s">
        <v>350</v>
      </c>
      <c r="AX38" s="138" t="s">
        <v>351</v>
      </c>
      <c r="AY38" s="138" t="s">
        <v>352</v>
      </c>
      <c r="AZ38" s="138" t="s">
        <v>353</v>
      </c>
      <c r="BA38" s="138" t="s">
        <v>354</v>
      </c>
      <c r="BB38" s="138" t="s">
        <v>355</v>
      </c>
      <c r="BC38" s="138" t="s">
        <v>356</v>
      </c>
      <c r="BD38" s="138" t="s">
        <v>357</v>
      </c>
      <c r="BE38" s="138" t="s">
        <v>358</v>
      </c>
      <c r="BF38" s="138" t="s">
        <v>359</v>
      </c>
      <c r="BG38" s="138" t="s">
        <v>360</v>
      </c>
      <c r="BH38" s="138" t="s">
        <v>361</v>
      </c>
      <c r="BI38" s="138" t="s">
        <v>362</v>
      </c>
      <c r="BJ38" s="138" t="s">
        <v>363</v>
      </c>
    </row>
    <row r="39" customFormat="false" ht="13.8" hidden="false" customHeight="false" outlineLevel="0" collapsed="false">
      <c r="A39" s="138" t="s">
        <v>438</v>
      </c>
      <c r="B39" s="137" t="n">
        <f aca="false">C21</f>
        <v>460473265.542316</v>
      </c>
      <c r="C39" s="137" t="n">
        <f aca="false">B50</f>
        <v>460473265.542316</v>
      </c>
      <c r="D39" s="137" t="n">
        <f aca="false">C50</f>
        <v>192240686.246353</v>
      </c>
      <c r="E39" s="137" t="n">
        <f aca="false">D50</f>
        <v>117508106.95039</v>
      </c>
      <c r="F39" s="137" t="n">
        <f aca="false">E50</f>
        <v>69074750.1544265</v>
      </c>
      <c r="G39" s="137" t="n">
        <f aca="false">F50</f>
        <v>22650193.3584632</v>
      </c>
      <c r="H39" s="137" t="n">
        <f aca="false">G50</f>
        <v>0</v>
      </c>
      <c r="I39" s="137" t="n">
        <f aca="false">H50</f>
        <v>-7720543.35846323</v>
      </c>
      <c r="J39" s="137" t="n">
        <f aca="false">I50</f>
        <v>45346175.2547959</v>
      </c>
      <c r="K39" s="137" t="n">
        <f aca="false">J50</f>
        <v>89198897.5292304</v>
      </c>
      <c r="L39" s="137" t="n">
        <f aca="false">K50</f>
        <v>153412861.108901</v>
      </c>
      <c r="M39" s="137" t="n">
        <f aca="false">L50</f>
        <v>249418322.294416</v>
      </c>
      <c r="N39" s="137" t="n">
        <f aca="false">M50</f>
        <v>319789835.258055</v>
      </c>
      <c r="O39" s="137" t="n">
        <f aca="false">N50</f>
        <v>385662258.993231</v>
      </c>
      <c r="P39" s="137" t="n">
        <f aca="false">O50</f>
        <v>456490511.451435</v>
      </c>
      <c r="Q39" s="137" t="n">
        <f aca="false">P50</f>
        <v>560825760.007268</v>
      </c>
      <c r="R39" s="137" t="n">
        <f aca="false">Q50</f>
        <v>701552581.298456</v>
      </c>
      <c r="S39" s="137" t="n">
        <f aca="false">R50</f>
        <v>843400216.690824</v>
      </c>
      <c r="T39" s="137" t="n">
        <f aca="false">S50</f>
        <v>924180037.665134</v>
      </c>
      <c r="U39" s="137" t="n">
        <f aca="false">T50</f>
        <v>1046588179.56325</v>
      </c>
      <c r="V39" s="137" t="n">
        <f aca="false">U50</f>
        <v>1208958200.33428</v>
      </c>
      <c r="W39" s="137" t="n">
        <f aca="false">V50</f>
        <v>1355424937.40573</v>
      </c>
      <c r="X39" s="137" t="n">
        <f aca="false">W50</f>
        <v>1520240992.67951</v>
      </c>
      <c r="Y39" s="137" t="n">
        <f aca="false">X50</f>
        <v>1681669945.0281</v>
      </c>
      <c r="Z39" s="137" t="n">
        <f aca="false">Y50</f>
        <v>1808159691.54049</v>
      </c>
      <c r="AA39" s="137" t="n">
        <f aca="false">Z50</f>
        <v>1916608835.64322</v>
      </c>
      <c r="AB39" s="137" t="n">
        <f aca="false">AA50</f>
        <v>2031435918.97134</v>
      </c>
      <c r="AC39" s="137" t="n">
        <f aca="false">AB50</f>
        <v>2172045329.48936</v>
      </c>
      <c r="AD39" s="137" t="n">
        <f aca="false">AC50</f>
        <v>2356458511.23713</v>
      </c>
      <c r="AE39" s="137" t="n">
        <f aca="false">AD50</f>
        <v>2544477540.07577</v>
      </c>
      <c r="AF39" s="137" t="n">
        <f aca="false">AE50</f>
        <v>2627454732.55844</v>
      </c>
      <c r="AG39" s="137" t="n">
        <f aca="false">AF50</f>
        <v>2752608556.05122</v>
      </c>
      <c r="AH39" s="137" t="n">
        <f aca="false">AG50</f>
        <v>2918214241.97889</v>
      </c>
      <c r="AI39" s="137" t="n">
        <f aca="false">AH50</f>
        <v>3067726221.19564</v>
      </c>
      <c r="AJ39" s="137" t="n">
        <f aca="false">AI50</f>
        <v>3235921968.98083</v>
      </c>
      <c r="AK39" s="137" t="n">
        <f aca="false">AJ50</f>
        <v>3400695697.53465</v>
      </c>
      <c r="AL39" s="137" t="n">
        <f aca="false">AK50</f>
        <v>3530077337.22381</v>
      </c>
      <c r="AM39" s="137" t="n">
        <f aca="false">AL50</f>
        <v>3641174464.70213</v>
      </c>
      <c r="AN39" s="137" t="n">
        <f aca="false">AM50</f>
        <v>3760166024.68648</v>
      </c>
      <c r="AO39" s="137" t="n">
        <f aca="false">AN50</f>
        <v>3919517283.86607</v>
      </c>
      <c r="AP39" s="137" t="n">
        <f aca="false">AO50</f>
        <v>4121800514.86607</v>
      </c>
      <c r="AQ39" s="137" t="n">
        <f aca="false">AP50</f>
        <v>4319337955.86607</v>
      </c>
      <c r="AR39" s="137" t="n">
        <f aca="false">AQ50</f>
        <v>4413553133.36607</v>
      </c>
      <c r="AS39" s="137" t="n">
        <f aca="false">AR50</f>
        <v>4549234286.49107</v>
      </c>
      <c r="AT39" s="137" t="n">
        <f aca="false">AS50</f>
        <v>4724733267.74107</v>
      </c>
      <c r="AU39" s="137" t="n">
        <f aca="false">AT50</f>
        <v>4884397609.61607</v>
      </c>
      <c r="AV39" s="137" t="n">
        <f aca="false">AU50</f>
        <v>5062315959.61607</v>
      </c>
      <c r="AW39" s="137" t="n">
        <f aca="false">AV50</f>
        <v>5236867392.74107</v>
      </c>
      <c r="AX39" s="137" t="n">
        <f aca="false">AW50</f>
        <v>5376630490.24107</v>
      </c>
      <c r="AY39" s="137" t="n">
        <f aca="false">AX50</f>
        <v>5498438621.49107</v>
      </c>
      <c r="AZ39" s="137" t="n">
        <f aca="false">AY50</f>
        <v>5626605607.11607</v>
      </c>
      <c r="BA39" s="137" t="n">
        <f aca="false">AZ50</f>
        <v>5780502495.86607</v>
      </c>
      <c r="BB39" s="137" t="n">
        <f aca="false">BA50</f>
        <v>5978039936.86607</v>
      </c>
      <c r="BC39" s="137" t="n">
        <f aca="false">BB50</f>
        <v>6177285862.26607</v>
      </c>
      <c r="BD39" s="137" t="n">
        <f aca="false">BC50</f>
        <v>6278586524.89107</v>
      </c>
      <c r="BE39" s="137" t="n">
        <f aca="false">BD50</f>
        <v>6415770511.51607</v>
      </c>
      <c r="BF39" s="137" t="n">
        <f aca="false">BE50</f>
        <v>6593030027.76607</v>
      </c>
      <c r="BG39" s="137" t="n">
        <f aca="false">BF50</f>
        <v>6754355396.14107</v>
      </c>
      <c r="BH39" s="137" t="n">
        <f aca="false">BG50</f>
        <v>6935029366.14107</v>
      </c>
      <c r="BI39" s="137" t="n">
        <f aca="false">BH50</f>
        <v>7112309628.51607</v>
      </c>
      <c r="BJ39" s="137" t="n">
        <f aca="false">BI50</f>
        <v>7254445621.01607</v>
      </c>
    </row>
    <row r="40" customFormat="false" ht="13.8" hidden="false" customHeight="false" outlineLevel="0" collapsed="false">
      <c r="A40" s="137" t="s">
        <v>439</v>
      </c>
      <c r="B40" s="137"/>
      <c r="C40" s="137" t="n">
        <f aca="false">INDEX('💰 Revenue'!$C$14:$BJ$14,MATCH(C5,'💰 Revenue'!$C$5:$BJ$5,0))</f>
        <v>0</v>
      </c>
      <c r="D40" s="137" t="n">
        <f aca="false">INDEX('💰 Revenue'!$C$14:$BJ$14,MATCH(D5,'💰 Revenue'!$C$5:$BJ$5,0))</f>
        <v>0</v>
      </c>
      <c r="E40" s="137" t="n">
        <f aca="false">INDEX('💰 Revenue'!$C$14:$BJ$14,MATCH(E5,'💰 Revenue'!$C$5:$BJ$5,0))</f>
        <v>125550000</v>
      </c>
      <c r="F40" s="137" t="n">
        <f aca="false">INDEX('💰 Revenue'!$C$14:$BJ$14,MATCH(F5,'💰 Revenue'!$C$5:$BJ$5,0))</f>
        <v>125550000</v>
      </c>
      <c r="G40" s="137" t="n">
        <f aca="false">INDEX('💰 Revenue'!$C$14:$BJ$14,MATCH(G5,'💰 Revenue'!$C$5:$BJ$5,0))</f>
        <v>138656250</v>
      </c>
      <c r="H40" s="137" t="n">
        <f aca="false">INDEX('💰 Revenue'!$C$14:$BJ$14,MATCH(H5,'💰 Revenue'!$C$5:$BJ$5,0))</f>
        <v>165656250</v>
      </c>
      <c r="I40" s="137" t="n">
        <f aca="false">INDEX('💰 Revenue'!$C$14:$BJ$14,MATCH(I5,'💰 Revenue'!$C$5:$BJ$5,0))</f>
        <v>291093750</v>
      </c>
      <c r="J40" s="137" t="n">
        <f aca="false">INDEX('💰 Revenue'!$C$14:$BJ$14,MATCH(J5,'💰 Revenue'!$C$5:$BJ$5,0))</f>
        <v>274640625</v>
      </c>
      <c r="K40" s="137" t="n">
        <f aca="false">INDEX('💰 Revenue'!$C$14:$BJ$14,MATCH(K5,'💰 Revenue'!$C$5:$BJ$5,0))</f>
        <v>324000000</v>
      </c>
      <c r="L40" s="137" t="n">
        <f aca="false">INDEX('💰 Revenue'!$C$14:$BJ$14,MATCH(L5,'💰 Revenue'!$C$5:$BJ$5,0))</f>
        <v>360956250</v>
      </c>
      <c r="M40" s="137" t="n">
        <f aca="false">INDEX('💰 Revenue'!$C$14:$BJ$14,MATCH(M5,'💰 Revenue'!$C$5:$BJ$5,0))</f>
        <v>313875000</v>
      </c>
      <c r="N40" s="137" t="n">
        <f aca="false">INDEX('💰 Revenue'!$C$14:$BJ$14,MATCH(N5,'💰 Revenue'!$C$5:$BJ$5,0))</f>
        <v>304593750</v>
      </c>
      <c r="O40" s="137" t="n">
        <f aca="false">INDEX('💰 Revenue'!$C$14:$BJ$14,MATCH(O5,'💰 Revenue'!$C$5:$BJ$5,0))</f>
        <v>314746875</v>
      </c>
      <c r="P40" s="137" t="n">
        <f aca="false">INDEX('💰 Revenue'!$C$14:$BJ$14,MATCH(P5,'💰 Revenue'!$C$5:$BJ$5,0))</f>
        <v>354375000</v>
      </c>
      <c r="Q40" s="137" t="n">
        <f aca="false">INDEX('💰 Revenue'!$C$14:$BJ$14,MATCH(Q5,'💰 Revenue'!$C$5:$BJ$5,0))</f>
        <v>418500000</v>
      </c>
      <c r="R40" s="137" t="n">
        <f aca="false">INDEX('💰 Revenue'!$C$14:$BJ$14,MATCH(R5,'💰 Revenue'!$C$5:$BJ$5,0))</f>
        <v>418500000</v>
      </c>
      <c r="S40" s="137" t="n">
        <f aca="false">INDEX('💰 Revenue'!$C$14:$BJ$14,MATCH(S5,'💰 Revenue'!$C$5:$BJ$5,0))</f>
        <v>321300000</v>
      </c>
      <c r="T40" s="137" t="n">
        <f aca="false">INDEX('💰 Revenue'!$C$14:$BJ$14,MATCH(T5,'💰 Revenue'!$C$5:$BJ$5,0))</f>
        <v>397575000</v>
      </c>
      <c r="U40" s="137" t="n">
        <f aca="false">INDEX('💰 Revenue'!$C$14:$BJ$14,MATCH(U5,'💰 Revenue'!$C$5:$BJ$5,0))</f>
        <v>465750000</v>
      </c>
      <c r="V40" s="137" t="n">
        <f aca="false">INDEX('💰 Revenue'!$C$14:$BJ$14,MATCH(V5,'💰 Revenue'!$C$5:$BJ$5,0))</f>
        <v>439425000</v>
      </c>
      <c r="W40" s="137" t="n">
        <f aca="false">INDEX('💰 Revenue'!$C$14:$BJ$14,MATCH(W5,'💰 Revenue'!$C$5:$BJ$5,0))</f>
        <v>486000000</v>
      </c>
      <c r="X40" s="137" t="n">
        <f aca="false">INDEX('💰 Revenue'!$C$14:$BJ$14,MATCH(X5,'💰 Revenue'!$C$5:$BJ$5,0))</f>
        <v>481275000</v>
      </c>
      <c r="Y40" s="137" t="n">
        <f aca="false">INDEX('💰 Revenue'!$C$14:$BJ$14,MATCH(Y5,'💰 Revenue'!$C$5:$BJ$5,0))</f>
        <v>418500000</v>
      </c>
      <c r="Z40" s="137" t="n">
        <f aca="false">INDEX('💰 Revenue'!$C$14:$BJ$14,MATCH(Z5,'💰 Revenue'!$C$5:$BJ$5,0))</f>
        <v>384750000</v>
      </c>
      <c r="AA40" s="137" t="n">
        <f aca="false">INDEX('💰 Revenue'!$C$14:$BJ$14,MATCH(AA5,'💰 Revenue'!$C$5:$BJ$5,0))</f>
        <v>397575000</v>
      </c>
      <c r="AB40" s="137" t="n">
        <f aca="false">INDEX('💰 Revenue'!$C$14:$BJ$14,MATCH(AB5,'💰 Revenue'!$C$5:$BJ$5,0))</f>
        <v>425250000</v>
      </c>
      <c r="AC40" s="137" t="n">
        <f aca="false">INDEX('💰 Revenue'!$C$14:$BJ$14,MATCH(AC5,'💰 Revenue'!$C$5:$BJ$5,0))</f>
        <v>502200000</v>
      </c>
      <c r="AD40" s="137" t="n">
        <f aca="false">INDEX('💰 Revenue'!$C$14:$BJ$14,MATCH(AD5,'💰 Revenue'!$C$5:$BJ$5,0))</f>
        <v>502200000</v>
      </c>
      <c r="AE40" s="137" t="n">
        <f aca="false">INDEX('💰 Revenue'!$C$14:$BJ$14,MATCH(AE5,'💰 Revenue'!$C$5:$BJ$5,0))</f>
        <v>321300000</v>
      </c>
      <c r="AF40" s="137" t="n">
        <f aca="false">INDEX('💰 Revenue'!$C$14:$BJ$14,MATCH(AF5,'💰 Revenue'!$C$5:$BJ$5,0))</f>
        <v>397575000</v>
      </c>
      <c r="AG40" s="137" t="n">
        <f aca="false">INDEX('💰 Revenue'!$C$14:$BJ$14,MATCH(AG5,'💰 Revenue'!$C$5:$BJ$5,0))</f>
        <v>465750000</v>
      </c>
      <c r="AH40" s="137" t="n">
        <f aca="false">INDEX('💰 Revenue'!$C$14:$BJ$14,MATCH(AH5,'💰 Revenue'!$C$5:$BJ$5,0))</f>
        <v>439425000</v>
      </c>
      <c r="AI40" s="137" t="n">
        <f aca="false">INDEX('💰 Revenue'!$C$14:$BJ$14,MATCH(AI5,'💰 Revenue'!$C$5:$BJ$5,0))</f>
        <v>486000000</v>
      </c>
      <c r="AJ40" s="137" t="n">
        <f aca="false">INDEX('💰 Revenue'!$C$14:$BJ$14,MATCH(AJ5,'💰 Revenue'!$C$5:$BJ$5,0))</f>
        <v>481275000</v>
      </c>
      <c r="AK40" s="137" t="n">
        <f aca="false">INDEX('💰 Revenue'!$C$14:$BJ$14,MATCH(AK5,'💰 Revenue'!$C$5:$BJ$5,0))</f>
        <v>418500000</v>
      </c>
      <c r="AL40" s="137" t="n">
        <f aca="false">INDEX('💰 Revenue'!$C$14:$BJ$14,MATCH(AL5,'💰 Revenue'!$C$5:$BJ$5,0))</f>
        <v>384750000</v>
      </c>
      <c r="AM40" s="137" t="n">
        <f aca="false">INDEX('💰 Revenue'!$C$14:$BJ$14,MATCH(AM5,'💰 Revenue'!$C$5:$BJ$5,0))</f>
        <v>397575000</v>
      </c>
      <c r="AN40" s="137" t="n">
        <f aca="false">INDEX('💰 Revenue'!$C$14:$BJ$14,MATCH(AN5,'💰 Revenue'!$C$5:$BJ$5,0))</f>
        <v>425250000</v>
      </c>
      <c r="AO40" s="137" t="n">
        <f aca="false">INDEX('💰 Revenue'!$C$14:$BJ$14,MATCH(AO5,'💰 Revenue'!$C$5:$BJ$5,0))</f>
        <v>502200000</v>
      </c>
      <c r="AP40" s="137" t="n">
        <f aca="false">INDEX('💰 Revenue'!$C$14:$BJ$14,MATCH(AP5,'💰 Revenue'!$C$5:$BJ$5,0))</f>
        <v>502200000</v>
      </c>
      <c r="AQ40" s="137" t="n">
        <f aca="false">INDEX('💰 Revenue'!$C$14:$BJ$14,MATCH(AQ5,'💰 Revenue'!$C$5:$BJ$5,0))</f>
        <v>321300000</v>
      </c>
      <c r="AR40" s="137" t="n">
        <f aca="false">INDEX('💰 Revenue'!$C$14:$BJ$14,MATCH(AR5,'💰 Revenue'!$C$5:$BJ$5,0))</f>
        <v>397575000</v>
      </c>
      <c r="AS40" s="137" t="n">
        <f aca="false">INDEX('💰 Revenue'!$C$14:$BJ$14,MATCH(AS5,'💰 Revenue'!$C$5:$BJ$5,0))</f>
        <v>465750000</v>
      </c>
      <c r="AT40" s="137" t="n">
        <f aca="false">INDEX('💰 Revenue'!$C$14:$BJ$14,MATCH(AT5,'💰 Revenue'!$C$5:$BJ$5,0))</f>
        <v>439425000</v>
      </c>
      <c r="AU40" s="137" t="n">
        <f aca="false">INDEX('💰 Revenue'!$C$14:$BJ$14,MATCH(AU5,'💰 Revenue'!$C$5:$BJ$5,0))</f>
        <v>486000000</v>
      </c>
      <c r="AV40" s="137" t="n">
        <f aca="false">INDEX('💰 Revenue'!$C$14:$BJ$14,MATCH(AV5,'💰 Revenue'!$C$5:$BJ$5,0))</f>
        <v>481275000</v>
      </c>
      <c r="AW40" s="137" t="n">
        <f aca="false">INDEX('💰 Revenue'!$C$14:$BJ$14,MATCH(AW5,'💰 Revenue'!$C$5:$BJ$5,0))</f>
        <v>418500000</v>
      </c>
      <c r="AX40" s="137" t="n">
        <f aca="false">INDEX('💰 Revenue'!$C$14:$BJ$14,MATCH(AX5,'💰 Revenue'!$C$5:$BJ$5,0))</f>
        <v>384750000</v>
      </c>
      <c r="AY40" s="137" t="n">
        <f aca="false">INDEX('💰 Revenue'!$C$14:$BJ$14,MATCH(AY5,'💰 Revenue'!$C$5:$BJ$5,0))</f>
        <v>397575000</v>
      </c>
      <c r="AZ40" s="137" t="n">
        <f aca="false">INDEX('💰 Revenue'!$C$14:$BJ$14,MATCH(AZ5,'💰 Revenue'!$C$5:$BJ$5,0))</f>
        <v>425250000</v>
      </c>
      <c r="BA40" s="137" t="n">
        <f aca="false">INDEX('💰 Revenue'!$C$14:$BJ$14,MATCH(BA5,'💰 Revenue'!$C$5:$BJ$5,0))</f>
        <v>502200000</v>
      </c>
      <c r="BB40" s="137" t="n">
        <f aca="false">INDEX('💰 Revenue'!$C$14:$BJ$14,MATCH(BB5,'💰 Revenue'!$C$5:$BJ$5,0))</f>
        <v>502200000</v>
      </c>
      <c r="BC40" s="137" t="n">
        <f aca="false">INDEX('💰 Revenue'!$C$14:$BJ$14,MATCH(BC5,'💰 Revenue'!$C$5:$BJ$5,0))</f>
        <v>332775000</v>
      </c>
      <c r="BD40" s="137" t="n">
        <f aca="false">INDEX('💰 Revenue'!$C$14:$BJ$14,MATCH(BD5,'💰 Revenue'!$C$5:$BJ$5,0))</f>
        <v>397575000</v>
      </c>
      <c r="BE40" s="137" t="n">
        <f aca="false">INDEX('💰 Revenue'!$C$14:$BJ$14,MATCH(BE5,'💰 Revenue'!$C$5:$BJ$5,0))</f>
        <v>465750000</v>
      </c>
      <c r="BF40" s="137" t="n">
        <f aca="false">INDEX('💰 Revenue'!$C$14:$BJ$14,MATCH(BF5,'💰 Revenue'!$C$5:$BJ$5,0))</f>
        <v>439425000</v>
      </c>
      <c r="BG40" s="137" t="n">
        <f aca="false">INDEX('💰 Revenue'!$C$14:$BJ$14,MATCH(BG5,'💰 Revenue'!$C$5:$BJ$5,0))</f>
        <v>486000000</v>
      </c>
      <c r="BH40" s="137" t="n">
        <f aca="false">INDEX('💰 Revenue'!$C$14:$BJ$14,MATCH(BH5,'💰 Revenue'!$C$5:$BJ$5,0))</f>
        <v>481275000</v>
      </c>
      <c r="BI40" s="137" t="n">
        <f aca="false">INDEX('💰 Revenue'!$C$14:$BJ$14,MATCH(BI5,'💰 Revenue'!$C$5:$BJ$5,0))</f>
        <v>418500000</v>
      </c>
      <c r="BJ40" s="137" t="n">
        <f aca="false">INDEX('💰 Revenue'!$C$14:$BJ$14,MATCH(BJ5,'💰 Revenue'!$C$5:$BJ$5,0))</f>
        <v>384750000</v>
      </c>
    </row>
    <row r="41" customFormat="false" ht="13.8" hidden="false" customHeight="false" outlineLevel="0" collapsed="false">
      <c r="A41" s="137" t="s">
        <v>440</v>
      </c>
      <c r="B41" s="137"/>
      <c r="C41" s="137" t="n">
        <f aca="false">'🏦 Loan Schedule'!B6</f>
        <v>451500000</v>
      </c>
      <c r="D41" s="137"/>
      <c r="E41" s="137"/>
      <c r="F41" s="137"/>
      <c r="G41" s="137"/>
      <c r="H41" s="137"/>
      <c r="I41" s="137"/>
      <c r="J41" s="137"/>
      <c r="K41" s="137"/>
      <c r="L41" s="137"/>
      <c r="M41" s="137"/>
      <c r="N41" s="137"/>
      <c r="O41" s="137"/>
      <c r="P41" s="137"/>
      <c r="Q41" s="137"/>
      <c r="R41" s="137"/>
      <c r="S41" s="137"/>
      <c r="T41" s="137"/>
      <c r="U41" s="137"/>
      <c r="V41" s="137"/>
      <c r="W41" s="137"/>
      <c r="X41" s="137"/>
      <c r="Y41" s="137"/>
      <c r="Z41" s="137"/>
      <c r="AA41" s="137"/>
      <c r="AB41" s="137"/>
      <c r="AC41" s="137"/>
      <c r="AD41" s="137"/>
      <c r="AE41" s="137"/>
      <c r="AF41" s="137"/>
      <c r="AG41" s="137"/>
      <c r="AH41" s="137"/>
      <c r="AI41" s="137"/>
      <c r="AJ41" s="137"/>
      <c r="AK41" s="137"/>
      <c r="AL41" s="137"/>
      <c r="AM41" s="137"/>
      <c r="AN41" s="137"/>
      <c r="AO41" s="137"/>
      <c r="AP41" s="137"/>
      <c r="AQ41" s="137"/>
      <c r="AR41" s="137"/>
      <c r="AS41" s="137"/>
      <c r="AT41" s="137"/>
      <c r="AU41" s="137"/>
      <c r="AV41" s="137"/>
      <c r="AW41" s="137"/>
      <c r="AX41" s="137"/>
      <c r="AY41" s="137"/>
      <c r="AZ41" s="137"/>
      <c r="BA41" s="137"/>
      <c r="BB41" s="137"/>
      <c r="BC41" s="137"/>
      <c r="BD41" s="137"/>
      <c r="BE41" s="137"/>
      <c r="BF41" s="137"/>
      <c r="BG41" s="137"/>
      <c r="BH41" s="137"/>
      <c r="BI41" s="137"/>
      <c r="BJ41" s="137"/>
    </row>
    <row r="42" customFormat="false" ht="13.8" hidden="false" customHeight="false" outlineLevel="0" collapsed="false">
      <c r="A42" s="138" t="s">
        <v>441</v>
      </c>
      <c r="B42" s="137"/>
      <c r="C42" s="137" t="n">
        <f aca="false">SUM(C40:C41)</f>
        <v>451500000</v>
      </c>
      <c r="D42" s="137" t="n">
        <f aca="false">D40+D41</f>
        <v>0</v>
      </c>
      <c r="E42" s="137" t="n">
        <f aca="false">E40+E41</f>
        <v>125550000</v>
      </c>
      <c r="F42" s="137" t="n">
        <f aca="false">F40+F41</f>
        <v>125550000</v>
      </c>
      <c r="G42" s="137" t="n">
        <f aca="false">G40+G41</f>
        <v>138656250</v>
      </c>
      <c r="H42" s="137" t="n">
        <f aca="false">H40+H41</f>
        <v>165656250</v>
      </c>
      <c r="I42" s="137" t="n">
        <f aca="false">I40+I41</f>
        <v>291093750</v>
      </c>
      <c r="J42" s="137" t="n">
        <f aca="false">J40+J41</f>
        <v>274640625</v>
      </c>
      <c r="K42" s="137" t="n">
        <f aca="false">K40+K41</f>
        <v>324000000</v>
      </c>
      <c r="L42" s="137" t="n">
        <f aca="false">L40+L41</f>
        <v>360956250</v>
      </c>
      <c r="M42" s="137" t="n">
        <f aca="false">M40+M41</f>
        <v>313875000</v>
      </c>
      <c r="N42" s="137" t="n">
        <f aca="false">N40+N41</f>
        <v>304593750</v>
      </c>
      <c r="O42" s="137" t="n">
        <f aca="false">O40+O41</f>
        <v>314746875</v>
      </c>
      <c r="P42" s="137" t="n">
        <f aca="false">P40+P41</f>
        <v>354375000</v>
      </c>
      <c r="Q42" s="137" t="n">
        <f aca="false">Q40+Q41</f>
        <v>418500000</v>
      </c>
      <c r="R42" s="137" t="n">
        <f aca="false">R40+R41</f>
        <v>418500000</v>
      </c>
      <c r="S42" s="137" t="n">
        <f aca="false">S40+S41</f>
        <v>321300000</v>
      </c>
      <c r="T42" s="137" t="n">
        <f aca="false">T40+T41</f>
        <v>397575000</v>
      </c>
      <c r="U42" s="137" t="n">
        <f aca="false">U40+U41</f>
        <v>465750000</v>
      </c>
      <c r="V42" s="137" t="n">
        <f aca="false">V40+V41</f>
        <v>439425000</v>
      </c>
      <c r="W42" s="137" t="n">
        <f aca="false">W40+W41</f>
        <v>486000000</v>
      </c>
      <c r="X42" s="137" t="n">
        <f aca="false">X40+X41</f>
        <v>481275000</v>
      </c>
      <c r="Y42" s="137" t="n">
        <f aca="false">Y40+Y41</f>
        <v>418500000</v>
      </c>
      <c r="Z42" s="137" t="n">
        <f aca="false">Z40+Z41</f>
        <v>384750000</v>
      </c>
      <c r="AA42" s="137" t="n">
        <f aca="false">AA40+AA41</f>
        <v>397575000</v>
      </c>
      <c r="AB42" s="137" t="n">
        <f aca="false">AB40+AB41</f>
        <v>425250000</v>
      </c>
      <c r="AC42" s="137" t="n">
        <f aca="false">AC40+AC41</f>
        <v>502200000</v>
      </c>
      <c r="AD42" s="137" t="n">
        <f aca="false">AD40+AD41</f>
        <v>502200000</v>
      </c>
      <c r="AE42" s="137" t="n">
        <f aca="false">AE40+AE41</f>
        <v>321300000</v>
      </c>
      <c r="AF42" s="137" t="n">
        <f aca="false">AF40+AF41</f>
        <v>397575000</v>
      </c>
      <c r="AG42" s="137" t="n">
        <f aca="false">AG40+AG41</f>
        <v>465750000</v>
      </c>
      <c r="AH42" s="137" t="n">
        <f aca="false">AH40+AH41</f>
        <v>439425000</v>
      </c>
      <c r="AI42" s="137" t="n">
        <f aca="false">AI40+AI41</f>
        <v>486000000</v>
      </c>
      <c r="AJ42" s="137" t="n">
        <f aca="false">AJ40+AJ41</f>
        <v>481275000</v>
      </c>
      <c r="AK42" s="137" t="n">
        <f aca="false">AK40+AK41</f>
        <v>418500000</v>
      </c>
      <c r="AL42" s="137" t="n">
        <f aca="false">AL40+AL41</f>
        <v>384750000</v>
      </c>
      <c r="AM42" s="137" t="n">
        <f aca="false">AM40+AM41</f>
        <v>397575000</v>
      </c>
      <c r="AN42" s="137" t="n">
        <f aca="false">AN40+AN41</f>
        <v>425250000</v>
      </c>
      <c r="AO42" s="137" t="n">
        <f aca="false">AO40+AO41</f>
        <v>502200000</v>
      </c>
      <c r="AP42" s="137" t="n">
        <f aca="false">AP40+AP41</f>
        <v>502200000</v>
      </c>
      <c r="AQ42" s="137" t="n">
        <f aca="false">AQ40+AQ41</f>
        <v>321300000</v>
      </c>
      <c r="AR42" s="137" t="n">
        <f aca="false">AR40+AR41</f>
        <v>397575000</v>
      </c>
      <c r="AS42" s="137" t="n">
        <f aca="false">AS40+AS41</f>
        <v>465750000</v>
      </c>
      <c r="AT42" s="137" t="n">
        <f aca="false">AT40+AT41</f>
        <v>439425000</v>
      </c>
      <c r="AU42" s="137" t="n">
        <f aca="false">AU40+AU41</f>
        <v>486000000</v>
      </c>
      <c r="AV42" s="137" t="n">
        <f aca="false">AV40+AV41</f>
        <v>481275000</v>
      </c>
      <c r="AW42" s="137" t="n">
        <f aca="false">AW40+AW41</f>
        <v>418500000</v>
      </c>
      <c r="AX42" s="137" t="n">
        <f aca="false">AX40+AX41</f>
        <v>384750000</v>
      </c>
      <c r="AY42" s="137" t="n">
        <f aca="false">AY40+AY41</f>
        <v>397575000</v>
      </c>
      <c r="AZ42" s="137" t="n">
        <f aca="false">AZ40+AZ41</f>
        <v>425250000</v>
      </c>
      <c r="BA42" s="137" t="n">
        <f aca="false">BA40+BA41</f>
        <v>502200000</v>
      </c>
      <c r="BB42" s="137" t="n">
        <f aca="false">BB40+BB41</f>
        <v>502200000</v>
      </c>
      <c r="BC42" s="137" t="n">
        <f aca="false">BC40+BC41</f>
        <v>332775000</v>
      </c>
      <c r="BD42" s="137" t="n">
        <f aca="false">BD40+BD41</f>
        <v>397575000</v>
      </c>
      <c r="BE42" s="137" t="n">
        <f aca="false">BE40+BE41</f>
        <v>465750000</v>
      </c>
      <c r="BF42" s="137" t="n">
        <f aca="false">BF40+BF41</f>
        <v>439425000</v>
      </c>
      <c r="BG42" s="137" t="n">
        <f aca="false">BG40+BG41</f>
        <v>486000000</v>
      </c>
      <c r="BH42" s="137" t="n">
        <f aca="false">BH40+BH41</f>
        <v>481275000</v>
      </c>
      <c r="BI42" s="137" t="n">
        <f aca="false">BI40+BI41</f>
        <v>418500000</v>
      </c>
      <c r="BJ42" s="137" t="n">
        <f aca="false">BJ40+BJ41</f>
        <v>384750000</v>
      </c>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c r="IX42" s="0"/>
      <c r="IY42" s="0"/>
      <c r="IZ42" s="0"/>
      <c r="JA42" s="0"/>
      <c r="JB42" s="0"/>
      <c r="JC42" s="0"/>
      <c r="JD42" s="0"/>
      <c r="JE42" s="0"/>
      <c r="JF42" s="0"/>
      <c r="JG42" s="0"/>
      <c r="JH42" s="0"/>
      <c r="JI42" s="0"/>
      <c r="JJ42" s="0"/>
      <c r="JK42" s="0"/>
      <c r="JL42" s="0"/>
      <c r="JM42" s="0"/>
      <c r="JN42" s="0"/>
      <c r="JO42" s="0"/>
      <c r="JP42" s="0"/>
      <c r="JQ42" s="0"/>
      <c r="JR42" s="0"/>
      <c r="JS42" s="0"/>
      <c r="JT42" s="0"/>
      <c r="JU42" s="0"/>
      <c r="JV42" s="0"/>
      <c r="JW42" s="0"/>
      <c r="JX42" s="0"/>
      <c r="JY42" s="0"/>
      <c r="JZ42" s="0"/>
      <c r="KA42" s="0"/>
      <c r="KB42" s="0"/>
      <c r="KC42" s="0"/>
      <c r="KD42" s="0"/>
      <c r="KE42" s="0"/>
      <c r="KF42" s="0"/>
      <c r="KG42" s="0"/>
      <c r="KH42" s="0"/>
      <c r="KI42" s="0"/>
      <c r="KJ42" s="0"/>
      <c r="KK42" s="0"/>
      <c r="KL42" s="0"/>
      <c r="KM42" s="0"/>
      <c r="KN42" s="0"/>
      <c r="KO42" s="0"/>
      <c r="KP42" s="0"/>
      <c r="KQ42" s="0"/>
      <c r="KR42" s="0"/>
      <c r="KS42" s="0"/>
      <c r="KT42" s="0"/>
      <c r="KU42" s="0"/>
      <c r="KV42" s="0"/>
      <c r="KW42" s="0"/>
      <c r="KX42" s="0"/>
      <c r="KY42" s="0"/>
      <c r="KZ42" s="0"/>
      <c r="LA42" s="0"/>
      <c r="LB42" s="0"/>
      <c r="LC42" s="0"/>
      <c r="LD42" s="0"/>
      <c r="LE42" s="0"/>
      <c r="LF42" s="0"/>
      <c r="LG42" s="0"/>
      <c r="LH42" s="0"/>
      <c r="LI42" s="0"/>
      <c r="LJ42" s="0"/>
      <c r="LK42" s="0"/>
      <c r="LL42" s="0"/>
      <c r="LM42" s="0"/>
      <c r="LN42" s="0"/>
      <c r="LO42" s="0"/>
      <c r="LP42" s="0"/>
      <c r="LQ42" s="0"/>
      <c r="LR42" s="0"/>
      <c r="LS42" s="0"/>
      <c r="LT42" s="0"/>
      <c r="LU42" s="0"/>
      <c r="LV42" s="0"/>
      <c r="LW42" s="0"/>
      <c r="LX42" s="0"/>
      <c r="LY42" s="0"/>
      <c r="LZ42" s="0"/>
      <c r="MA42" s="0"/>
      <c r="MB42" s="0"/>
      <c r="MC42" s="0"/>
      <c r="MD42" s="0"/>
      <c r="ME42" s="0"/>
      <c r="MF42" s="0"/>
      <c r="MG42" s="0"/>
      <c r="MH42" s="0"/>
      <c r="MI42" s="0"/>
      <c r="MJ42" s="0"/>
      <c r="MK42" s="0"/>
      <c r="ML42" s="0"/>
      <c r="MM42" s="0"/>
      <c r="MN42" s="0"/>
      <c r="MO42" s="0"/>
      <c r="MP42" s="0"/>
      <c r="MQ42" s="0"/>
      <c r="MR42" s="0"/>
      <c r="MS42" s="0"/>
      <c r="MT42" s="0"/>
      <c r="MU42" s="0"/>
      <c r="MV42" s="0"/>
      <c r="MW42" s="0"/>
      <c r="MX42" s="0"/>
      <c r="MY42" s="0"/>
      <c r="MZ42" s="0"/>
      <c r="NA42" s="0"/>
      <c r="NB42" s="0"/>
      <c r="NC42" s="0"/>
      <c r="ND42" s="0"/>
      <c r="NE42" s="0"/>
      <c r="NF42" s="0"/>
      <c r="NG42" s="0"/>
      <c r="NH42" s="0"/>
      <c r="NI42" s="0"/>
      <c r="NJ42" s="0"/>
      <c r="NK42" s="0"/>
      <c r="NL42" s="0"/>
      <c r="NM42" s="0"/>
      <c r="NN42" s="0"/>
      <c r="NO42" s="0"/>
      <c r="NP42" s="0"/>
      <c r="NQ42" s="0"/>
      <c r="NR42" s="0"/>
      <c r="NS42" s="0"/>
      <c r="NT42" s="0"/>
      <c r="NU42" s="0"/>
      <c r="NV42" s="0"/>
      <c r="NW42" s="0"/>
      <c r="NX42" s="0"/>
      <c r="NY42" s="0"/>
      <c r="NZ42" s="0"/>
      <c r="OA42" s="0"/>
      <c r="OB42" s="0"/>
      <c r="OC42" s="0"/>
      <c r="OD42" s="0"/>
      <c r="OE42" s="0"/>
      <c r="OF42" s="0"/>
      <c r="OG42" s="0"/>
      <c r="OH42" s="0"/>
      <c r="OI42" s="0"/>
      <c r="OJ42" s="0"/>
      <c r="OK42" s="0"/>
      <c r="OL42" s="0"/>
      <c r="OM42" s="0"/>
      <c r="ON42" s="0"/>
      <c r="OO42" s="0"/>
      <c r="OP42" s="0"/>
      <c r="OQ42" s="0"/>
      <c r="OR42" s="0"/>
      <c r="OS42" s="0"/>
      <c r="OT42" s="0"/>
      <c r="OU42" s="0"/>
      <c r="OV42" s="0"/>
      <c r="OW42" s="0"/>
      <c r="OX42" s="0"/>
      <c r="OY42" s="0"/>
      <c r="OZ42" s="0"/>
      <c r="PA42" s="0"/>
      <c r="PB42" s="0"/>
      <c r="PC42" s="0"/>
      <c r="PD42" s="0"/>
      <c r="PE42" s="0"/>
      <c r="PF42" s="0"/>
      <c r="PG42" s="0"/>
      <c r="PH42" s="0"/>
      <c r="PI42" s="0"/>
      <c r="PJ42" s="0"/>
      <c r="PK42" s="0"/>
      <c r="PL42" s="0"/>
      <c r="PM42" s="0"/>
      <c r="PN42" s="0"/>
      <c r="PO42" s="0"/>
      <c r="PP42" s="0"/>
      <c r="PQ42" s="0"/>
      <c r="PR42" s="0"/>
      <c r="PS42" s="0"/>
      <c r="PT42" s="0"/>
      <c r="PU42" s="0"/>
      <c r="PV42" s="0"/>
      <c r="PW42" s="0"/>
      <c r="PX42" s="0"/>
      <c r="PY42" s="0"/>
      <c r="PZ42" s="0"/>
      <c r="QA42" s="0"/>
      <c r="QB42" s="0"/>
      <c r="QC42" s="0"/>
      <c r="QD42" s="0"/>
      <c r="QE42" s="0"/>
      <c r="QF42" s="0"/>
      <c r="QG42" s="0"/>
      <c r="QH42" s="0"/>
      <c r="QI42" s="0"/>
      <c r="QJ42" s="0"/>
      <c r="QK42" s="0"/>
      <c r="QL42" s="0"/>
      <c r="QM42" s="0"/>
      <c r="QN42" s="0"/>
      <c r="QO42" s="0"/>
      <c r="QP42" s="0"/>
      <c r="QQ42" s="0"/>
      <c r="QR42" s="0"/>
      <c r="QS42" s="0"/>
      <c r="QT42" s="0"/>
      <c r="QU42" s="0"/>
      <c r="QV42" s="0"/>
      <c r="QW42" s="0"/>
      <c r="QX42" s="0"/>
      <c r="QY42" s="0"/>
      <c r="QZ42" s="0"/>
      <c r="RA42" s="0"/>
      <c r="RB42" s="0"/>
      <c r="RC42" s="0"/>
      <c r="RD42" s="0"/>
      <c r="RE42" s="0"/>
      <c r="RF42" s="0"/>
      <c r="RG42" s="0"/>
      <c r="RH42" s="0"/>
      <c r="RI42" s="0"/>
      <c r="RJ42" s="0"/>
      <c r="RK42" s="0"/>
      <c r="RL42" s="0"/>
      <c r="RM42" s="0"/>
      <c r="RN42" s="0"/>
      <c r="RO42" s="0"/>
      <c r="RP42" s="0"/>
      <c r="RQ42" s="0"/>
      <c r="RR42" s="0"/>
      <c r="RS42" s="0"/>
      <c r="RT42" s="0"/>
      <c r="RU42" s="0"/>
      <c r="RV42" s="0"/>
      <c r="RW42" s="0"/>
      <c r="RX42" s="0"/>
      <c r="RY42" s="0"/>
      <c r="RZ42" s="0"/>
      <c r="SA42" s="0"/>
      <c r="SB42" s="0"/>
      <c r="SC42" s="0"/>
      <c r="SD42" s="0"/>
      <c r="SE42" s="0"/>
      <c r="SF42" s="0"/>
      <c r="SG42" s="0"/>
      <c r="SH42" s="0"/>
      <c r="SI42" s="0"/>
      <c r="SJ42" s="0"/>
      <c r="SK42" s="0"/>
      <c r="SL42" s="0"/>
      <c r="SM42" s="0"/>
      <c r="SN42" s="0"/>
      <c r="SO42" s="0"/>
      <c r="SP42" s="0"/>
      <c r="SQ42" s="0"/>
      <c r="SR42" s="0"/>
      <c r="SS42" s="0"/>
      <c r="ST42" s="0"/>
      <c r="SU42" s="0"/>
      <c r="SV42" s="0"/>
      <c r="SW42" s="0"/>
      <c r="SX42" s="0"/>
      <c r="SY42" s="0"/>
      <c r="SZ42" s="0"/>
      <c r="TA42" s="0"/>
      <c r="TB42" s="0"/>
      <c r="TC42" s="0"/>
      <c r="TD42" s="0"/>
      <c r="TE42" s="0"/>
      <c r="TF42" s="0"/>
      <c r="TG42" s="0"/>
      <c r="TH42" s="0"/>
      <c r="TI42" s="0"/>
      <c r="TJ42" s="0"/>
      <c r="TK42" s="0"/>
      <c r="TL42" s="0"/>
      <c r="TM42" s="0"/>
      <c r="TN42" s="0"/>
      <c r="TO42" s="0"/>
      <c r="TP42" s="0"/>
      <c r="TQ42" s="0"/>
      <c r="TR42" s="0"/>
      <c r="TS42" s="0"/>
      <c r="TT42" s="0"/>
      <c r="TU42" s="0"/>
      <c r="TV42" s="0"/>
      <c r="TW42" s="0"/>
      <c r="TX42" s="0"/>
      <c r="TY42" s="0"/>
      <c r="TZ42" s="0"/>
      <c r="UA42" s="0"/>
      <c r="UB42" s="0"/>
      <c r="UC42" s="0"/>
      <c r="UD42" s="0"/>
      <c r="UE42" s="0"/>
      <c r="UF42" s="0"/>
      <c r="UG42" s="0"/>
      <c r="UH42" s="0"/>
      <c r="UI42" s="0"/>
      <c r="UJ42" s="0"/>
      <c r="UK42" s="0"/>
      <c r="UL42" s="0"/>
      <c r="UM42" s="0"/>
      <c r="UN42" s="0"/>
      <c r="UO42" s="0"/>
      <c r="UP42" s="0"/>
      <c r="UQ42" s="0"/>
      <c r="UR42" s="0"/>
      <c r="US42" s="0"/>
      <c r="UT42" s="0"/>
      <c r="UU42" s="0"/>
      <c r="UV42" s="0"/>
      <c r="UW42" s="0"/>
      <c r="UX42" s="0"/>
      <c r="UY42" s="0"/>
      <c r="UZ42" s="0"/>
      <c r="VA42" s="0"/>
      <c r="VB42" s="0"/>
      <c r="VC42" s="0"/>
      <c r="VD42" s="0"/>
      <c r="VE42" s="0"/>
      <c r="VF42" s="0"/>
      <c r="VG42" s="0"/>
      <c r="VH42" s="0"/>
      <c r="VI42" s="0"/>
      <c r="VJ42" s="0"/>
      <c r="VK42" s="0"/>
      <c r="VL42" s="0"/>
      <c r="VM42" s="0"/>
      <c r="VN42" s="0"/>
      <c r="VO42" s="0"/>
      <c r="VP42" s="0"/>
      <c r="VQ42" s="0"/>
      <c r="VR42" s="0"/>
      <c r="VS42" s="0"/>
      <c r="VT42" s="0"/>
      <c r="VU42" s="0"/>
      <c r="VV42" s="0"/>
      <c r="VW42" s="0"/>
      <c r="VX42" s="0"/>
      <c r="VY42" s="0"/>
      <c r="VZ42" s="0"/>
      <c r="WA42" s="0"/>
      <c r="WB42" s="0"/>
      <c r="WC42" s="0"/>
      <c r="WD42" s="0"/>
      <c r="WE42" s="0"/>
      <c r="WF42" s="0"/>
      <c r="WG42" s="0"/>
      <c r="WH42" s="0"/>
      <c r="WI42" s="0"/>
      <c r="WJ42" s="0"/>
      <c r="WK42" s="0"/>
      <c r="WL42" s="0"/>
      <c r="WM42" s="0"/>
      <c r="WN42" s="0"/>
      <c r="WO42" s="0"/>
      <c r="WP42" s="0"/>
      <c r="WQ42" s="0"/>
      <c r="WR42" s="0"/>
      <c r="WS42" s="0"/>
      <c r="WT42" s="0"/>
      <c r="WU42" s="0"/>
      <c r="WV42" s="0"/>
      <c r="WW42" s="0"/>
      <c r="WX42" s="0"/>
      <c r="WY42" s="0"/>
      <c r="WZ42" s="0"/>
      <c r="XA42" s="0"/>
      <c r="XB42" s="0"/>
      <c r="XC42" s="0"/>
      <c r="XD42" s="0"/>
      <c r="XE42" s="0"/>
      <c r="XF42" s="0"/>
      <c r="XG42" s="0"/>
      <c r="XH42" s="0"/>
      <c r="XI42" s="0"/>
      <c r="XJ42" s="0"/>
      <c r="XK42" s="0"/>
      <c r="XL42" s="0"/>
      <c r="XM42" s="0"/>
      <c r="XN42" s="0"/>
      <c r="XO42" s="0"/>
      <c r="XP42" s="0"/>
      <c r="XQ42" s="0"/>
      <c r="XR42" s="0"/>
      <c r="XS42" s="0"/>
      <c r="XT42" s="0"/>
      <c r="XU42" s="0"/>
      <c r="XV42" s="0"/>
      <c r="XW42" s="0"/>
      <c r="XX42" s="0"/>
      <c r="XY42" s="0"/>
      <c r="XZ42" s="0"/>
      <c r="YA42" s="0"/>
      <c r="YB42" s="0"/>
      <c r="YC42" s="0"/>
      <c r="YD42" s="0"/>
      <c r="YE42" s="0"/>
      <c r="YF42" s="0"/>
      <c r="YG42" s="0"/>
      <c r="YH42" s="0"/>
      <c r="YI42" s="0"/>
      <c r="YJ42" s="0"/>
      <c r="YK42" s="0"/>
      <c r="YL42" s="0"/>
      <c r="YM42" s="0"/>
      <c r="YN42" s="0"/>
      <c r="YO42" s="0"/>
      <c r="YP42" s="0"/>
      <c r="YQ42" s="0"/>
      <c r="YR42" s="0"/>
      <c r="YS42" s="0"/>
      <c r="YT42" s="0"/>
      <c r="YU42" s="0"/>
      <c r="YV42" s="0"/>
      <c r="YW42" s="0"/>
      <c r="YX42" s="0"/>
      <c r="YY42" s="0"/>
      <c r="YZ42" s="0"/>
      <c r="ZA42" s="0"/>
      <c r="ZB42" s="0"/>
      <c r="ZC42" s="0"/>
      <c r="ZD42" s="0"/>
      <c r="ZE42" s="0"/>
      <c r="ZF42" s="0"/>
      <c r="ZG42" s="0"/>
      <c r="ZH42" s="0"/>
      <c r="ZI42" s="0"/>
      <c r="ZJ42" s="0"/>
      <c r="ZK42" s="0"/>
      <c r="ZL42" s="0"/>
      <c r="ZM42" s="0"/>
      <c r="ZN42" s="0"/>
      <c r="ZO42" s="0"/>
      <c r="ZP42" s="0"/>
      <c r="ZQ42" s="0"/>
      <c r="ZR42" s="0"/>
      <c r="ZS42" s="0"/>
      <c r="ZT42" s="0"/>
      <c r="ZU42" s="0"/>
      <c r="ZV42" s="0"/>
      <c r="ZW42" s="0"/>
      <c r="ZX42" s="0"/>
      <c r="ZY42" s="0"/>
      <c r="ZZ42" s="0"/>
      <c r="AAA42" s="0"/>
      <c r="AAB42" s="0"/>
      <c r="AAC42" s="0"/>
      <c r="AAD42" s="0"/>
      <c r="AAE42" s="0"/>
      <c r="AAF42" s="0"/>
      <c r="AAG42" s="0"/>
      <c r="AAH42" s="0"/>
      <c r="AAI42" s="0"/>
      <c r="AAJ42" s="0"/>
      <c r="AAK42" s="0"/>
      <c r="AAL42" s="0"/>
      <c r="AAM42" s="0"/>
      <c r="AAN42" s="0"/>
      <c r="AAO42" s="0"/>
      <c r="AAP42" s="0"/>
      <c r="AAQ42" s="0"/>
      <c r="AAR42" s="0"/>
      <c r="AAS42" s="0"/>
      <c r="AAT42" s="0"/>
      <c r="AAU42" s="0"/>
      <c r="AAV42" s="0"/>
      <c r="AAW42" s="0"/>
      <c r="AAX42" s="0"/>
      <c r="AAY42" s="0"/>
      <c r="AAZ42" s="0"/>
      <c r="ABA42" s="0"/>
      <c r="ABB42" s="0"/>
      <c r="ABC42" s="0"/>
      <c r="ABD42" s="0"/>
      <c r="ABE42" s="0"/>
      <c r="ABF42" s="0"/>
      <c r="ABG42" s="0"/>
      <c r="ABH42" s="0"/>
      <c r="ABI42" s="0"/>
      <c r="ABJ42" s="0"/>
      <c r="ABK42" s="0"/>
      <c r="ABL42" s="0"/>
      <c r="ABM42" s="0"/>
      <c r="ABN42" s="0"/>
      <c r="ABO42" s="0"/>
      <c r="ABP42" s="0"/>
      <c r="ABQ42" s="0"/>
      <c r="ABR42" s="0"/>
      <c r="ABS42" s="0"/>
      <c r="ABT42" s="0"/>
      <c r="ABU42" s="0"/>
      <c r="ABV42" s="0"/>
      <c r="ABW42" s="0"/>
      <c r="ABX42" s="0"/>
      <c r="ABY42" s="0"/>
      <c r="ABZ42" s="0"/>
      <c r="ACA42" s="0"/>
      <c r="ACB42" s="0"/>
      <c r="ACC42" s="0"/>
      <c r="ACD42" s="0"/>
      <c r="ACE42" s="0"/>
      <c r="ACF42" s="0"/>
      <c r="ACG42" s="0"/>
      <c r="ACH42" s="0"/>
      <c r="ACI42" s="0"/>
      <c r="ACJ42" s="0"/>
      <c r="ACK42" s="0"/>
      <c r="ACL42" s="0"/>
      <c r="ACM42" s="0"/>
      <c r="ACN42" s="0"/>
      <c r="ACO42" s="0"/>
      <c r="ACP42" s="0"/>
      <c r="ACQ42" s="0"/>
      <c r="ACR42" s="0"/>
      <c r="ACS42" s="0"/>
      <c r="ACT42" s="0"/>
      <c r="ACU42" s="0"/>
      <c r="ACV42" s="0"/>
      <c r="ACW42" s="0"/>
      <c r="ACX42" s="0"/>
      <c r="ACY42" s="0"/>
      <c r="ACZ42" s="0"/>
      <c r="ADA42" s="0"/>
      <c r="ADB42" s="0"/>
      <c r="ADC42" s="0"/>
      <c r="ADD42" s="0"/>
      <c r="ADE42" s="0"/>
      <c r="ADF42" s="0"/>
      <c r="ADG42" s="0"/>
      <c r="ADH42" s="0"/>
      <c r="ADI42" s="0"/>
      <c r="ADJ42" s="0"/>
      <c r="ADK42" s="0"/>
      <c r="ADL42" s="0"/>
      <c r="ADM42" s="0"/>
      <c r="ADN42" s="0"/>
      <c r="ADO42" s="0"/>
      <c r="ADP42" s="0"/>
      <c r="ADQ42" s="0"/>
      <c r="ADR42" s="0"/>
      <c r="ADS42" s="0"/>
      <c r="ADT42" s="0"/>
      <c r="ADU42" s="0"/>
      <c r="ADV42" s="0"/>
      <c r="ADW42" s="0"/>
      <c r="ADX42" s="0"/>
      <c r="ADY42" s="0"/>
      <c r="ADZ42" s="0"/>
      <c r="AEA42" s="0"/>
      <c r="AEB42" s="0"/>
      <c r="AEC42" s="0"/>
      <c r="AED42" s="0"/>
      <c r="AEE42" s="0"/>
      <c r="AEF42" s="0"/>
      <c r="AEG42" s="0"/>
      <c r="AEH42" s="0"/>
      <c r="AEI42" s="0"/>
      <c r="AEJ42" s="0"/>
      <c r="AEK42" s="0"/>
      <c r="AEL42" s="0"/>
      <c r="AEM42" s="0"/>
      <c r="AEN42" s="0"/>
      <c r="AEO42" s="0"/>
      <c r="AEP42" s="0"/>
      <c r="AEQ42" s="0"/>
      <c r="AER42" s="0"/>
      <c r="AES42" s="0"/>
      <c r="AET42" s="0"/>
      <c r="AEU42" s="0"/>
      <c r="AEV42" s="0"/>
      <c r="AEW42" s="0"/>
      <c r="AEX42" s="0"/>
      <c r="AEY42" s="0"/>
      <c r="AEZ42" s="0"/>
      <c r="AFA42" s="0"/>
      <c r="AFB42" s="0"/>
      <c r="AFC42" s="0"/>
      <c r="AFD42" s="0"/>
      <c r="AFE42" s="0"/>
      <c r="AFF42" s="0"/>
      <c r="AFG42" s="0"/>
      <c r="AFH42" s="0"/>
      <c r="AFI42" s="0"/>
      <c r="AFJ42" s="0"/>
      <c r="AFK42" s="0"/>
      <c r="AFL42" s="0"/>
      <c r="AFM42" s="0"/>
      <c r="AFN42" s="0"/>
      <c r="AFO42" s="0"/>
      <c r="AFP42" s="0"/>
      <c r="AFQ42" s="0"/>
      <c r="AFR42" s="0"/>
      <c r="AFS42" s="0"/>
      <c r="AFT42" s="0"/>
      <c r="AFU42" s="0"/>
      <c r="AFV42" s="0"/>
      <c r="AFW42" s="0"/>
      <c r="AFX42" s="0"/>
      <c r="AFY42" s="0"/>
      <c r="AFZ42" s="0"/>
      <c r="AGA42" s="0"/>
      <c r="AGB42" s="0"/>
      <c r="AGC42" s="0"/>
      <c r="AGD42" s="0"/>
      <c r="AGE42" s="0"/>
      <c r="AGF42" s="0"/>
      <c r="AGG42" s="0"/>
      <c r="AGH42" s="0"/>
      <c r="AGI42" s="0"/>
      <c r="AGJ42" s="0"/>
      <c r="AGK42" s="0"/>
      <c r="AGL42" s="0"/>
      <c r="AGM42" s="0"/>
      <c r="AGN42" s="0"/>
      <c r="AGO42" s="0"/>
      <c r="AGP42" s="0"/>
      <c r="AGQ42" s="0"/>
      <c r="AGR42" s="0"/>
      <c r="AGS42" s="0"/>
      <c r="AGT42" s="0"/>
      <c r="AGU42" s="0"/>
      <c r="AGV42" s="0"/>
      <c r="AGW42" s="0"/>
      <c r="AGX42" s="0"/>
      <c r="AGY42" s="0"/>
      <c r="AGZ42" s="0"/>
      <c r="AHA42" s="0"/>
      <c r="AHB42" s="0"/>
      <c r="AHC42" s="0"/>
      <c r="AHD42" s="0"/>
      <c r="AHE42" s="0"/>
      <c r="AHF42" s="0"/>
      <c r="AHG42" s="0"/>
      <c r="AHH42" s="0"/>
      <c r="AHI42" s="0"/>
      <c r="AHJ42" s="0"/>
      <c r="AHK42" s="0"/>
      <c r="AHL42" s="0"/>
      <c r="AHM42" s="0"/>
      <c r="AHN42" s="0"/>
      <c r="AHO42" s="0"/>
      <c r="AHP42" s="0"/>
      <c r="AHQ42" s="0"/>
      <c r="AHR42" s="0"/>
      <c r="AHS42" s="0"/>
      <c r="AHT42" s="0"/>
      <c r="AHU42" s="0"/>
      <c r="AHV42" s="0"/>
      <c r="AHW42" s="0"/>
      <c r="AHX42" s="0"/>
      <c r="AHY42" s="0"/>
      <c r="AHZ42" s="0"/>
      <c r="AIA42" s="0"/>
      <c r="AIB42" s="0"/>
      <c r="AIC42" s="0"/>
      <c r="AID42" s="0"/>
      <c r="AIE42" s="0"/>
      <c r="AIF42" s="0"/>
      <c r="AIG42" s="0"/>
      <c r="AIH42" s="0"/>
      <c r="AII42" s="0"/>
      <c r="AIJ42" s="0"/>
      <c r="AIK42" s="0"/>
      <c r="AIL42" s="0"/>
      <c r="AIM42" s="0"/>
      <c r="AIN42" s="0"/>
      <c r="AIO42" s="0"/>
      <c r="AIP42" s="0"/>
      <c r="AIQ42" s="0"/>
      <c r="AIR42" s="0"/>
      <c r="AIS42" s="0"/>
      <c r="AIT42" s="0"/>
      <c r="AIU42" s="0"/>
      <c r="AIV42" s="0"/>
      <c r="AIW42" s="0"/>
      <c r="AIX42" s="0"/>
      <c r="AIY42" s="0"/>
      <c r="AIZ42" s="0"/>
      <c r="AJA42" s="0"/>
      <c r="AJB42" s="0"/>
      <c r="AJC42" s="0"/>
      <c r="AJD42" s="0"/>
      <c r="AJE42" s="0"/>
      <c r="AJF42" s="0"/>
      <c r="AJG42" s="0"/>
      <c r="AJH42" s="0"/>
      <c r="AJI42" s="0"/>
      <c r="AJJ42" s="0"/>
      <c r="AJK42" s="0"/>
      <c r="AJL42" s="0"/>
      <c r="AJM42" s="0"/>
      <c r="AJN42" s="0"/>
      <c r="AJO42" s="0"/>
      <c r="AJP42" s="0"/>
      <c r="AJQ42" s="0"/>
      <c r="AJR42" s="0"/>
      <c r="AJS42" s="0"/>
      <c r="AJT42" s="0"/>
      <c r="AJU42" s="0"/>
      <c r="AJV42" s="0"/>
      <c r="AJW42" s="0"/>
      <c r="AJX42" s="0"/>
      <c r="AJY42" s="0"/>
      <c r="AJZ42" s="0"/>
      <c r="AKA42" s="0"/>
      <c r="AKB42" s="0"/>
      <c r="AKC42" s="0"/>
      <c r="AKD42" s="0"/>
      <c r="AKE42" s="0"/>
      <c r="AKF42" s="0"/>
      <c r="AKG42" s="0"/>
      <c r="AKH42" s="0"/>
      <c r="AKI42" s="0"/>
      <c r="AKJ42" s="0"/>
      <c r="AKK42" s="0"/>
      <c r="AKL42" s="0"/>
      <c r="AKM42" s="0"/>
      <c r="AKN42" s="0"/>
      <c r="AKO42" s="0"/>
      <c r="AKP42" s="0"/>
      <c r="AKQ42" s="0"/>
      <c r="AKR42" s="0"/>
      <c r="AKS42" s="0"/>
      <c r="AKT42" s="0"/>
      <c r="AKU42" s="0"/>
      <c r="AKV42" s="0"/>
      <c r="AKW42" s="0"/>
      <c r="AKX42" s="0"/>
      <c r="AKY42" s="0"/>
      <c r="AKZ42" s="0"/>
      <c r="ALA42" s="0"/>
      <c r="ALB42" s="0"/>
      <c r="ALC42" s="0"/>
      <c r="ALD42" s="0"/>
      <c r="ALE42" s="0"/>
      <c r="ALF42" s="0"/>
      <c r="ALG42" s="0"/>
      <c r="ALH42" s="0"/>
      <c r="ALI42" s="0"/>
      <c r="ALJ42" s="0"/>
      <c r="ALK42" s="0"/>
      <c r="ALL42" s="0"/>
      <c r="ALM42" s="0"/>
      <c r="ALN42" s="0"/>
      <c r="ALO42" s="0"/>
      <c r="ALP42" s="0"/>
      <c r="ALQ42" s="0"/>
      <c r="ALR42" s="0"/>
      <c r="ALS42" s="0"/>
      <c r="ALT42" s="0"/>
      <c r="ALU42" s="0"/>
      <c r="ALV42" s="0"/>
      <c r="ALW42" s="0"/>
      <c r="ALX42" s="0"/>
      <c r="ALY42" s="0"/>
      <c r="ALZ42" s="0"/>
      <c r="AMA42" s="0"/>
      <c r="AMB42" s="0"/>
      <c r="AMC42" s="0"/>
      <c r="AMD42" s="0"/>
      <c r="AME42" s="0"/>
      <c r="AMF42" s="0"/>
      <c r="AMG42" s="0"/>
      <c r="AMH42" s="0"/>
      <c r="AMI42" s="0"/>
      <c r="AMJ42" s="0"/>
      <c r="AMK42" s="0"/>
      <c r="AML42" s="0"/>
      <c r="AMM42" s="0"/>
      <c r="AMN42" s="0"/>
      <c r="AMO42" s="0"/>
      <c r="AMP42" s="0"/>
      <c r="AMQ42" s="0"/>
      <c r="AMR42" s="0"/>
      <c r="AMS42" s="0"/>
      <c r="AMT42" s="0"/>
      <c r="AMU42" s="0"/>
      <c r="AMV42" s="0"/>
      <c r="AMW42" s="0"/>
      <c r="AMX42" s="0"/>
      <c r="AMY42" s="0"/>
      <c r="AMZ42" s="0"/>
      <c r="ANA42" s="0"/>
      <c r="ANB42" s="0"/>
      <c r="ANC42" s="0"/>
      <c r="AND42" s="0"/>
      <c r="ANE42" s="0"/>
      <c r="ANF42" s="0"/>
      <c r="ANG42" s="0"/>
      <c r="ANH42" s="0"/>
      <c r="ANI42" s="0"/>
      <c r="ANJ42" s="0"/>
      <c r="ANK42" s="0"/>
      <c r="ANL42" s="0"/>
      <c r="ANM42" s="0"/>
      <c r="ANN42" s="0"/>
      <c r="ANO42" s="0"/>
      <c r="ANP42" s="0"/>
      <c r="ANQ42" s="0"/>
      <c r="ANR42" s="0"/>
      <c r="ANS42" s="0"/>
      <c r="ANT42" s="0"/>
      <c r="ANU42" s="0"/>
      <c r="ANV42" s="0"/>
      <c r="ANW42" s="0"/>
      <c r="ANX42" s="0"/>
      <c r="ANY42" s="0"/>
      <c r="ANZ42" s="0"/>
      <c r="AOA42" s="0"/>
      <c r="AOB42" s="0"/>
      <c r="AOC42" s="0"/>
      <c r="AOD42" s="0"/>
      <c r="AOE42" s="0"/>
      <c r="AOF42" s="0"/>
      <c r="AOG42" s="0"/>
      <c r="AOH42" s="0"/>
      <c r="AOI42" s="0"/>
      <c r="AOJ42" s="0"/>
      <c r="AOK42" s="0"/>
      <c r="AOL42" s="0"/>
      <c r="AOM42" s="0"/>
      <c r="AON42" s="0"/>
      <c r="AOO42" s="0"/>
      <c r="AOP42" s="0"/>
      <c r="AOQ42" s="0"/>
      <c r="AOR42" s="0"/>
      <c r="AOS42" s="0"/>
      <c r="AOT42" s="0"/>
      <c r="AOU42" s="0"/>
      <c r="AOV42" s="0"/>
      <c r="AOW42" s="0"/>
      <c r="AOX42" s="0"/>
      <c r="AOY42" s="0"/>
      <c r="AOZ42" s="0"/>
      <c r="APA42" s="0"/>
      <c r="APB42" s="0"/>
      <c r="APC42" s="0"/>
      <c r="APD42" s="0"/>
      <c r="APE42" s="0"/>
      <c r="APF42" s="0"/>
      <c r="APG42" s="0"/>
      <c r="APH42" s="0"/>
      <c r="API42" s="0"/>
      <c r="APJ42" s="0"/>
      <c r="APK42" s="0"/>
      <c r="APL42" s="0"/>
      <c r="APM42" s="0"/>
      <c r="APN42" s="0"/>
      <c r="APO42" s="0"/>
      <c r="APP42" s="0"/>
      <c r="APQ42" s="0"/>
      <c r="APR42" s="0"/>
      <c r="APS42" s="0"/>
      <c r="APT42" s="0"/>
      <c r="APU42" s="0"/>
      <c r="APV42" s="0"/>
      <c r="APW42" s="0"/>
      <c r="APX42" s="0"/>
      <c r="APY42" s="0"/>
      <c r="APZ42" s="0"/>
      <c r="AQA42" s="0"/>
      <c r="AQB42" s="0"/>
      <c r="AQC42" s="0"/>
      <c r="AQD42" s="0"/>
      <c r="AQE42" s="0"/>
      <c r="AQF42" s="0"/>
      <c r="AQG42" s="0"/>
      <c r="AQH42" s="0"/>
      <c r="AQI42" s="0"/>
      <c r="AQJ42" s="0"/>
      <c r="AQK42" s="0"/>
      <c r="AQL42" s="0"/>
      <c r="AQM42" s="0"/>
      <c r="AQN42" s="0"/>
      <c r="AQO42" s="0"/>
      <c r="AQP42" s="0"/>
      <c r="AQQ42" s="0"/>
      <c r="AQR42" s="0"/>
      <c r="AQS42" s="0"/>
      <c r="AQT42" s="0"/>
      <c r="AQU42" s="0"/>
      <c r="AQV42" s="0"/>
      <c r="AQW42" s="0"/>
      <c r="AQX42" s="0"/>
      <c r="AQY42" s="0"/>
      <c r="AQZ42" s="0"/>
      <c r="ARA42" s="0"/>
      <c r="ARB42" s="0"/>
      <c r="ARC42" s="0"/>
      <c r="ARD42" s="0"/>
      <c r="ARE42" s="0"/>
      <c r="ARF42" s="0"/>
      <c r="ARG42" s="0"/>
      <c r="ARH42" s="0"/>
      <c r="ARI42" s="0"/>
      <c r="ARJ42" s="0"/>
      <c r="ARK42" s="0"/>
      <c r="ARL42" s="0"/>
      <c r="ARM42" s="0"/>
      <c r="ARN42" s="0"/>
      <c r="ARO42" s="0"/>
      <c r="ARP42" s="0"/>
      <c r="ARQ42" s="0"/>
      <c r="ARR42" s="0"/>
      <c r="ARS42" s="0"/>
      <c r="ART42" s="0"/>
      <c r="ARU42" s="0"/>
      <c r="ARV42" s="0"/>
      <c r="ARW42" s="0"/>
      <c r="ARX42" s="0"/>
      <c r="ARY42" s="0"/>
      <c r="ARZ42" s="0"/>
      <c r="ASA42" s="0"/>
      <c r="ASB42" s="0"/>
      <c r="ASC42" s="0"/>
      <c r="ASD42" s="0"/>
      <c r="ASE42" s="0"/>
      <c r="ASF42" s="0"/>
      <c r="ASG42" s="0"/>
      <c r="ASH42" s="0"/>
      <c r="ASI42" s="0"/>
      <c r="ASJ42" s="0"/>
      <c r="ASK42" s="0"/>
      <c r="ASL42" s="0"/>
      <c r="ASM42" s="0"/>
      <c r="ASN42" s="0"/>
      <c r="ASO42" s="0"/>
      <c r="ASP42" s="0"/>
      <c r="ASQ42" s="0"/>
      <c r="ASR42" s="0"/>
      <c r="ASS42" s="0"/>
      <c r="AST42" s="0"/>
      <c r="ASU42" s="0"/>
      <c r="ASV42" s="0"/>
      <c r="ASW42" s="0"/>
      <c r="ASX42" s="0"/>
      <c r="ASY42" s="0"/>
      <c r="ASZ42" s="0"/>
      <c r="ATA42" s="0"/>
      <c r="ATB42" s="0"/>
      <c r="ATC42" s="0"/>
      <c r="ATD42" s="0"/>
      <c r="ATE42" s="0"/>
      <c r="ATF42" s="0"/>
      <c r="ATG42" s="0"/>
      <c r="ATH42" s="0"/>
      <c r="ATI42" s="0"/>
      <c r="ATJ42" s="0"/>
      <c r="ATK42" s="0"/>
      <c r="ATL42" s="0"/>
      <c r="ATM42" s="0"/>
      <c r="ATN42" s="0"/>
      <c r="ATO42" s="0"/>
      <c r="ATP42" s="0"/>
      <c r="ATQ42" s="0"/>
      <c r="ATR42" s="0"/>
      <c r="ATS42" s="0"/>
      <c r="ATT42" s="0"/>
      <c r="ATU42" s="0"/>
      <c r="ATV42" s="0"/>
      <c r="ATW42" s="0"/>
      <c r="ATX42" s="0"/>
      <c r="ATY42" s="0"/>
      <c r="ATZ42" s="0"/>
      <c r="AUA42" s="0"/>
      <c r="AUB42" s="0"/>
      <c r="AUC42" s="0"/>
      <c r="AUD42" s="0"/>
      <c r="AUE42" s="0"/>
      <c r="AUF42" s="0"/>
      <c r="AUG42" s="0"/>
      <c r="AUH42" s="0"/>
      <c r="AUI42" s="0"/>
      <c r="AUJ42" s="0"/>
      <c r="AUK42" s="0"/>
      <c r="AUL42" s="0"/>
      <c r="AUM42" s="0"/>
      <c r="AUN42" s="0"/>
      <c r="AUO42" s="0"/>
      <c r="AUP42" s="0"/>
      <c r="AUQ42" s="0"/>
      <c r="AUR42" s="0"/>
      <c r="AUS42" s="0"/>
      <c r="AUT42" s="0"/>
      <c r="AUU42" s="0"/>
      <c r="AUV42" s="0"/>
      <c r="AUW42" s="0"/>
      <c r="AUX42" s="0"/>
      <c r="AUY42" s="0"/>
      <c r="AUZ42" s="0"/>
      <c r="AVA42" s="0"/>
      <c r="AVB42" s="0"/>
      <c r="AVC42" s="0"/>
      <c r="AVD42" s="0"/>
      <c r="AVE42" s="0"/>
      <c r="AVF42" s="0"/>
      <c r="AVG42" s="0"/>
      <c r="AVH42" s="0"/>
      <c r="AVI42" s="0"/>
      <c r="AVJ42" s="0"/>
      <c r="AVK42" s="0"/>
      <c r="AVL42" s="0"/>
      <c r="AVM42" s="0"/>
      <c r="AVN42" s="0"/>
      <c r="AVO42" s="0"/>
      <c r="AVP42" s="0"/>
      <c r="AVQ42" s="0"/>
      <c r="AVR42" s="0"/>
      <c r="AVS42" s="0"/>
      <c r="AVT42" s="0"/>
      <c r="AVU42" s="0"/>
      <c r="AVV42" s="0"/>
      <c r="AVW42" s="0"/>
      <c r="AVX42" s="0"/>
      <c r="AVY42" s="0"/>
      <c r="AVZ42" s="0"/>
      <c r="AWA42" s="0"/>
      <c r="AWB42" s="0"/>
      <c r="AWC42" s="0"/>
      <c r="AWD42" s="0"/>
      <c r="AWE42" s="0"/>
      <c r="AWF42" s="0"/>
      <c r="AWG42" s="0"/>
      <c r="AWH42" s="0"/>
      <c r="AWI42" s="0"/>
      <c r="AWJ42" s="0"/>
      <c r="AWK42" s="0"/>
      <c r="AWL42" s="0"/>
      <c r="AWM42" s="0"/>
      <c r="AWN42" s="0"/>
      <c r="AWO42" s="0"/>
      <c r="AWP42" s="0"/>
      <c r="AWQ42" s="0"/>
      <c r="AWR42" s="0"/>
      <c r="AWS42" s="0"/>
      <c r="AWT42" s="0"/>
      <c r="AWU42" s="0"/>
      <c r="AWV42" s="0"/>
      <c r="AWW42" s="0"/>
      <c r="AWX42" s="0"/>
      <c r="AWY42" s="0"/>
      <c r="AWZ42" s="0"/>
      <c r="AXA42" s="0"/>
      <c r="AXB42" s="0"/>
      <c r="AXC42" s="0"/>
      <c r="AXD42" s="0"/>
      <c r="AXE42" s="0"/>
      <c r="AXF42" s="0"/>
      <c r="AXG42" s="0"/>
      <c r="AXH42" s="0"/>
      <c r="AXI42" s="0"/>
      <c r="AXJ42" s="0"/>
      <c r="AXK42" s="0"/>
      <c r="AXL42" s="0"/>
      <c r="AXM42" s="0"/>
      <c r="AXN42" s="0"/>
      <c r="AXO42" s="0"/>
      <c r="AXP42" s="0"/>
      <c r="AXQ42" s="0"/>
      <c r="AXR42" s="0"/>
      <c r="AXS42" s="0"/>
      <c r="AXT42" s="0"/>
      <c r="AXU42" s="0"/>
      <c r="AXV42" s="0"/>
      <c r="AXW42" s="0"/>
      <c r="AXX42" s="0"/>
      <c r="AXY42" s="0"/>
      <c r="AXZ42" s="0"/>
      <c r="AYA42" s="0"/>
      <c r="AYB42" s="0"/>
      <c r="AYC42" s="0"/>
      <c r="AYD42" s="0"/>
      <c r="AYE42" s="0"/>
      <c r="AYF42" s="0"/>
      <c r="AYG42" s="0"/>
      <c r="AYH42" s="0"/>
      <c r="AYI42" s="0"/>
      <c r="AYJ42" s="0"/>
      <c r="AYK42" s="0"/>
      <c r="AYL42" s="0"/>
      <c r="AYM42" s="0"/>
      <c r="AYN42" s="0"/>
      <c r="AYO42" s="0"/>
      <c r="AYP42" s="0"/>
      <c r="AYQ42" s="0"/>
      <c r="AYR42" s="0"/>
      <c r="AYS42" s="0"/>
      <c r="AYT42" s="0"/>
      <c r="AYU42" s="0"/>
      <c r="AYV42" s="0"/>
      <c r="AYW42" s="0"/>
      <c r="AYX42" s="0"/>
      <c r="AYY42" s="0"/>
      <c r="AYZ42" s="0"/>
      <c r="AZA42" s="0"/>
      <c r="AZB42" s="0"/>
      <c r="AZC42" s="0"/>
      <c r="AZD42" s="0"/>
      <c r="AZE42" s="0"/>
      <c r="AZF42" s="0"/>
      <c r="AZG42" s="0"/>
      <c r="AZH42" s="0"/>
      <c r="AZI42" s="0"/>
      <c r="AZJ42" s="0"/>
      <c r="AZK42" s="0"/>
      <c r="AZL42" s="0"/>
      <c r="AZM42" s="0"/>
      <c r="AZN42" s="0"/>
      <c r="AZO42" s="0"/>
      <c r="AZP42" s="0"/>
      <c r="AZQ42" s="0"/>
      <c r="AZR42" s="0"/>
      <c r="AZS42" s="0"/>
      <c r="AZT42" s="0"/>
      <c r="AZU42" s="0"/>
      <c r="AZV42" s="0"/>
      <c r="AZW42" s="0"/>
      <c r="AZX42" s="0"/>
      <c r="AZY42" s="0"/>
      <c r="AZZ42" s="0"/>
      <c r="BAA42" s="0"/>
      <c r="BAB42" s="0"/>
      <c r="BAC42" s="0"/>
      <c r="BAD42" s="0"/>
      <c r="BAE42" s="0"/>
      <c r="BAF42" s="0"/>
      <c r="BAG42" s="0"/>
      <c r="BAH42" s="0"/>
      <c r="BAI42" s="0"/>
      <c r="BAJ42" s="0"/>
      <c r="BAK42" s="0"/>
      <c r="BAL42" s="0"/>
      <c r="BAM42" s="0"/>
      <c r="BAN42" s="0"/>
      <c r="BAO42" s="0"/>
      <c r="BAP42" s="0"/>
      <c r="BAQ42" s="0"/>
      <c r="BAR42" s="0"/>
      <c r="BAS42" s="0"/>
      <c r="BAT42" s="0"/>
      <c r="BAU42" s="0"/>
      <c r="BAV42" s="0"/>
      <c r="BAW42" s="0"/>
      <c r="BAX42" s="0"/>
      <c r="BAY42" s="0"/>
      <c r="BAZ42" s="0"/>
      <c r="BBA42" s="0"/>
      <c r="BBB42" s="0"/>
      <c r="BBC42" s="0"/>
      <c r="BBD42" s="0"/>
      <c r="BBE42" s="0"/>
      <c r="BBF42" s="0"/>
      <c r="BBG42" s="0"/>
      <c r="BBH42" s="0"/>
      <c r="BBI42" s="0"/>
      <c r="BBJ42" s="0"/>
      <c r="BBK42" s="0"/>
      <c r="BBL42" s="0"/>
      <c r="BBM42" s="0"/>
      <c r="BBN42" s="0"/>
      <c r="BBO42" s="0"/>
      <c r="BBP42" s="0"/>
      <c r="BBQ42" s="0"/>
      <c r="BBR42" s="0"/>
      <c r="BBS42" s="0"/>
      <c r="BBT42" s="0"/>
      <c r="BBU42" s="0"/>
      <c r="BBV42" s="0"/>
      <c r="BBW42" s="0"/>
      <c r="BBX42" s="0"/>
      <c r="BBY42" s="0"/>
      <c r="BBZ42" s="0"/>
      <c r="BCA42" s="0"/>
      <c r="BCB42" s="0"/>
      <c r="BCC42" s="0"/>
      <c r="BCD42" s="0"/>
      <c r="BCE42" s="0"/>
      <c r="BCF42" s="0"/>
      <c r="BCG42" s="0"/>
      <c r="BCH42" s="0"/>
      <c r="BCI42" s="0"/>
      <c r="BCJ42" s="0"/>
      <c r="BCK42" s="0"/>
      <c r="BCL42" s="0"/>
      <c r="BCM42" s="0"/>
      <c r="BCN42" s="0"/>
      <c r="BCO42" s="0"/>
      <c r="BCP42" s="0"/>
      <c r="BCQ42" s="0"/>
      <c r="BCR42" s="0"/>
      <c r="BCS42" s="0"/>
      <c r="BCT42" s="0"/>
      <c r="BCU42" s="0"/>
      <c r="BCV42" s="0"/>
      <c r="BCW42" s="0"/>
      <c r="BCX42" s="0"/>
      <c r="BCY42" s="0"/>
      <c r="BCZ42" s="0"/>
      <c r="BDA42" s="0"/>
      <c r="BDB42" s="0"/>
      <c r="BDC42" s="0"/>
      <c r="BDD42" s="0"/>
      <c r="BDE42" s="0"/>
      <c r="BDF42" s="0"/>
      <c r="BDG42" s="0"/>
      <c r="BDH42" s="0"/>
      <c r="BDI42" s="0"/>
      <c r="BDJ42" s="0"/>
      <c r="BDK42" s="0"/>
      <c r="BDL42" s="0"/>
      <c r="BDM42" s="0"/>
      <c r="BDN42" s="0"/>
      <c r="BDO42" s="0"/>
      <c r="BDP42" s="0"/>
      <c r="BDQ42" s="0"/>
      <c r="BDR42" s="0"/>
      <c r="BDS42" s="0"/>
      <c r="BDT42" s="0"/>
      <c r="BDU42" s="0"/>
      <c r="BDV42" s="0"/>
      <c r="BDW42" s="0"/>
      <c r="BDX42" s="0"/>
      <c r="BDY42" s="0"/>
      <c r="BDZ42" s="0"/>
      <c r="BEA42" s="0"/>
      <c r="BEB42" s="0"/>
      <c r="BEC42" s="0"/>
      <c r="BED42" s="0"/>
      <c r="BEE42" s="0"/>
      <c r="BEF42" s="0"/>
      <c r="BEG42" s="0"/>
      <c r="BEH42" s="0"/>
      <c r="BEI42" s="0"/>
      <c r="BEJ42" s="0"/>
      <c r="BEK42" s="0"/>
      <c r="BEL42" s="0"/>
      <c r="BEM42" s="0"/>
      <c r="BEN42" s="0"/>
      <c r="BEO42" s="0"/>
      <c r="BEP42" s="0"/>
      <c r="BEQ42" s="0"/>
      <c r="BER42" s="0"/>
      <c r="BES42" s="0"/>
      <c r="BET42" s="0"/>
      <c r="BEU42" s="0"/>
      <c r="BEV42" s="0"/>
      <c r="BEW42" s="0"/>
      <c r="BEX42" s="0"/>
      <c r="BEY42" s="0"/>
      <c r="BEZ42" s="0"/>
      <c r="BFA42" s="0"/>
      <c r="BFB42" s="0"/>
      <c r="BFC42" s="0"/>
      <c r="BFD42" s="0"/>
      <c r="BFE42" s="0"/>
      <c r="BFF42" s="0"/>
      <c r="BFG42" s="0"/>
      <c r="BFH42" s="0"/>
      <c r="BFI42" s="0"/>
      <c r="BFJ42" s="0"/>
      <c r="BFK42" s="0"/>
      <c r="BFL42" s="0"/>
      <c r="BFM42" s="0"/>
      <c r="BFN42" s="0"/>
      <c r="BFO42" s="0"/>
      <c r="BFP42" s="0"/>
      <c r="BFQ42" s="0"/>
      <c r="BFR42" s="0"/>
      <c r="BFS42" s="0"/>
      <c r="BFT42" s="0"/>
      <c r="BFU42" s="0"/>
      <c r="BFV42" s="0"/>
      <c r="BFW42" s="0"/>
      <c r="BFX42" s="0"/>
      <c r="BFY42" s="0"/>
      <c r="BFZ42" s="0"/>
      <c r="BGA42" s="0"/>
      <c r="BGB42" s="0"/>
      <c r="BGC42" s="0"/>
      <c r="BGD42" s="0"/>
      <c r="BGE42" s="0"/>
      <c r="BGF42" s="0"/>
      <c r="BGG42" s="0"/>
      <c r="BGH42" s="0"/>
      <c r="BGI42" s="0"/>
      <c r="BGJ42" s="0"/>
      <c r="BGK42" s="0"/>
      <c r="BGL42" s="0"/>
      <c r="BGM42" s="0"/>
      <c r="BGN42" s="0"/>
      <c r="BGO42" s="0"/>
      <c r="BGP42" s="0"/>
      <c r="BGQ42" s="0"/>
      <c r="BGR42" s="0"/>
      <c r="BGS42" s="0"/>
      <c r="BGT42" s="0"/>
      <c r="BGU42" s="0"/>
      <c r="BGV42" s="0"/>
      <c r="BGW42" s="0"/>
      <c r="BGX42" s="0"/>
      <c r="BGY42" s="0"/>
      <c r="BGZ42" s="0"/>
      <c r="BHA42" s="0"/>
      <c r="BHB42" s="0"/>
      <c r="BHC42" s="0"/>
      <c r="BHD42" s="0"/>
      <c r="BHE42" s="0"/>
      <c r="BHF42" s="0"/>
      <c r="BHG42" s="0"/>
      <c r="BHH42" s="0"/>
      <c r="BHI42" s="0"/>
      <c r="BHJ42" s="0"/>
      <c r="BHK42" s="0"/>
      <c r="BHL42" s="0"/>
      <c r="BHM42" s="0"/>
      <c r="BHN42" s="0"/>
      <c r="BHO42" s="0"/>
      <c r="BHP42" s="0"/>
      <c r="BHQ42" s="0"/>
      <c r="BHR42" s="0"/>
      <c r="BHS42" s="0"/>
      <c r="BHT42" s="0"/>
      <c r="BHU42" s="0"/>
      <c r="BHV42" s="0"/>
      <c r="BHW42" s="0"/>
      <c r="BHX42" s="0"/>
      <c r="BHY42" s="0"/>
      <c r="BHZ42" s="0"/>
      <c r="BIA42" s="0"/>
      <c r="BIB42" s="0"/>
      <c r="BIC42" s="0"/>
      <c r="BID42" s="0"/>
      <c r="BIE42" s="0"/>
      <c r="BIF42" s="0"/>
      <c r="BIG42" s="0"/>
      <c r="BIH42" s="0"/>
      <c r="BII42" s="0"/>
      <c r="BIJ42" s="0"/>
      <c r="BIK42" s="0"/>
      <c r="BIL42" s="0"/>
      <c r="BIM42" s="0"/>
      <c r="BIN42" s="0"/>
      <c r="BIO42" s="0"/>
      <c r="BIP42" s="0"/>
      <c r="BIQ42" s="0"/>
      <c r="BIR42" s="0"/>
      <c r="BIS42" s="0"/>
      <c r="BIT42" s="0"/>
      <c r="BIU42" s="0"/>
      <c r="BIV42" s="0"/>
      <c r="BIW42" s="0"/>
      <c r="BIX42" s="0"/>
      <c r="BIY42" s="0"/>
      <c r="BIZ42" s="0"/>
      <c r="BJA42" s="0"/>
      <c r="BJB42" s="0"/>
      <c r="BJC42" s="0"/>
      <c r="BJD42" s="0"/>
      <c r="BJE42" s="0"/>
      <c r="BJF42" s="0"/>
      <c r="BJG42" s="0"/>
      <c r="BJH42" s="0"/>
      <c r="BJI42" s="0"/>
      <c r="BJJ42" s="0"/>
      <c r="BJK42" s="0"/>
      <c r="BJL42" s="0"/>
      <c r="BJM42" s="0"/>
      <c r="BJN42" s="0"/>
      <c r="BJO42" s="0"/>
      <c r="BJP42" s="0"/>
      <c r="BJQ42" s="0"/>
      <c r="BJR42" s="0"/>
      <c r="BJS42" s="0"/>
      <c r="BJT42" s="0"/>
      <c r="BJU42" s="0"/>
      <c r="BJV42" s="0"/>
      <c r="BJW42" s="0"/>
      <c r="BJX42" s="0"/>
      <c r="BJY42" s="0"/>
      <c r="BJZ42" s="0"/>
      <c r="BKA42" s="0"/>
      <c r="BKB42" s="0"/>
      <c r="BKC42" s="0"/>
      <c r="BKD42" s="0"/>
      <c r="BKE42" s="0"/>
      <c r="BKF42" s="0"/>
      <c r="BKG42" s="0"/>
      <c r="BKH42" s="0"/>
      <c r="BKI42" s="0"/>
      <c r="BKJ42" s="0"/>
      <c r="BKK42" s="0"/>
      <c r="BKL42" s="0"/>
      <c r="BKM42" s="0"/>
      <c r="BKN42" s="0"/>
      <c r="BKO42" s="0"/>
      <c r="BKP42" s="0"/>
      <c r="BKQ42" s="0"/>
      <c r="BKR42" s="0"/>
      <c r="BKS42" s="0"/>
      <c r="BKT42" s="0"/>
      <c r="BKU42" s="0"/>
      <c r="BKV42" s="0"/>
      <c r="BKW42" s="0"/>
      <c r="BKX42" s="0"/>
      <c r="BKY42" s="0"/>
      <c r="BKZ42" s="0"/>
      <c r="BLA42" s="0"/>
      <c r="BLB42" s="0"/>
      <c r="BLC42" s="0"/>
      <c r="BLD42" s="0"/>
      <c r="BLE42" s="0"/>
      <c r="BLF42" s="0"/>
      <c r="BLG42" s="0"/>
      <c r="BLH42" s="0"/>
      <c r="BLI42" s="0"/>
      <c r="BLJ42" s="0"/>
      <c r="BLK42" s="0"/>
      <c r="BLL42" s="0"/>
      <c r="BLM42" s="0"/>
      <c r="BLN42" s="0"/>
      <c r="BLO42" s="0"/>
      <c r="BLP42" s="0"/>
      <c r="BLQ42" s="0"/>
      <c r="BLR42" s="0"/>
      <c r="BLS42" s="0"/>
      <c r="BLT42" s="0"/>
      <c r="BLU42" s="0"/>
      <c r="BLV42" s="0"/>
      <c r="BLW42" s="0"/>
      <c r="BLX42" s="0"/>
      <c r="BLY42" s="0"/>
      <c r="BLZ42" s="0"/>
      <c r="BMA42" s="0"/>
      <c r="BMB42" s="0"/>
      <c r="BMC42" s="0"/>
      <c r="BMD42" s="0"/>
      <c r="BME42" s="0"/>
      <c r="BMF42" s="0"/>
      <c r="BMG42" s="0"/>
      <c r="BMH42" s="0"/>
      <c r="BMI42" s="0"/>
      <c r="BMJ42" s="0"/>
      <c r="BMK42" s="0"/>
      <c r="BML42" s="0"/>
      <c r="BMM42" s="0"/>
      <c r="BMN42" s="0"/>
      <c r="BMO42" s="0"/>
      <c r="BMP42" s="0"/>
      <c r="BMQ42" s="0"/>
      <c r="BMR42" s="0"/>
      <c r="BMS42" s="0"/>
      <c r="BMT42" s="0"/>
      <c r="BMU42" s="0"/>
      <c r="BMV42" s="0"/>
      <c r="BMW42" s="0"/>
      <c r="BMX42" s="0"/>
      <c r="BMY42" s="0"/>
      <c r="BMZ42" s="0"/>
      <c r="BNA42" s="0"/>
      <c r="BNB42" s="0"/>
      <c r="BNC42" s="0"/>
      <c r="BND42" s="0"/>
      <c r="BNE42" s="0"/>
      <c r="BNF42" s="0"/>
      <c r="BNG42" s="0"/>
      <c r="BNH42" s="0"/>
      <c r="BNI42" s="0"/>
      <c r="BNJ42" s="0"/>
      <c r="BNK42" s="0"/>
      <c r="BNL42" s="0"/>
      <c r="BNM42" s="0"/>
      <c r="BNN42" s="0"/>
      <c r="BNO42" s="0"/>
      <c r="BNP42" s="0"/>
      <c r="BNQ42" s="0"/>
      <c r="BNR42" s="0"/>
      <c r="BNS42" s="0"/>
      <c r="BNT42" s="0"/>
      <c r="BNU42" s="0"/>
      <c r="BNV42" s="0"/>
      <c r="BNW42" s="0"/>
      <c r="BNX42" s="0"/>
      <c r="BNY42" s="0"/>
      <c r="BNZ42" s="0"/>
      <c r="BOA42" s="0"/>
      <c r="BOB42" s="0"/>
      <c r="BOC42" s="0"/>
      <c r="BOD42" s="0"/>
      <c r="BOE42" s="0"/>
      <c r="BOF42" s="0"/>
      <c r="BOG42" s="0"/>
      <c r="BOH42" s="0"/>
      <c r="BOI42" s="0"/>
      <c r="BOJ42" s="0"/>
      <c r="BOK42" s="0"/>
      <c r="BOL42" s="0"/>
      <c r="BOM42" s="0"/>
      <c r="BON42" s="0"/>
      <c r="BOO42" s="0"/>
      <c r="BOP42" s="0"/>
      <c r="BOQ42" s="0"/>
      <c r="BOR42" s="0"/>
      <c r="BOS42" s="0"/>
      <c r="BOT42" s="0"/>
      <c r="BOU42" s="0"/>
      <c r="BOV42" s="0"/>
      <c r="BOW42" s="0"/>
      <c r="BOX42" s="0"/>
      <c r="BOY42" s="0"/>
      <c r="BOZ42" s="0"/>
      <c r="BPA42" s="0"/>
      <c r="BPB42" s="0"/>
      <c r="BPC42" s="0"/>
      <c r="BPD42" s="0"/>
      <c r="BPE42" s="0"/>
      <c r="BPF42" s="0"/>
      <c r="BPG42" s="0"/>
      <c r="BPH42" s="0"/>
      <c r="BPI42" s="0"/>
      <c r="BPJ42" s="0"/>
      <c r="BPK42" s="0"/>
      <c r="BPL42" s="0"/>
      <c r="BPM42" s="0"/>
      <c r="BPN42" s="0"/>
      <c r="BPO42" s="0"/>
      <c r="BPP42" s="0"/>
      <c r="BPQ42" s="0"/>
      <c r="BPR42" s="0"/>
      <c r="BPS42" s="0"/>
      <c r="BPT42" s="0"/>
      <c r="BPU42" s="0"/>
      <c r="BPV42" s="0"/>
      <c r="BPW42" s="0"/>
      <c r="BPX42" s="0"/>
      <c r="BPY42" s="0"/>
      <c r="BPZ42" s="0"/>
      <c r="BQA42" s="0"/>
      <c r="BQB42" s="0"/>
      <c r="BQC42" s="0"/>
      <c r="BQD42" s="0"/>
      <c r="BQE42" s="0"/>
      <c r="BQF42" s="0"/>
      <c r="BQG42" s="0"/>
      <c r="BQH42" s="0"/>
      <c r="BQI42" s="0"/>
      <c r="BQJ42" s="0"/>
      <c r="BQK42" s="0"/>
      <c r="BQL42" s="0"/>
      <c r="BQM42" s="0"/>
      <c r="BQN42" s="0"/>
      <c r="BQO42" s="0"/>
      <c r="BQP42" s="0"/>
      <c r="BQQ42" s="0"/>
      <c r="BQR42" s="0"/>
      <c r="BQS42" s="0"/>
      <c r="BQT42" s="0"/>
      <c r="BQU42" s="0"/>
      <c r="BQV42" s="0"/>
      <c r="BQW42" s="0"/>
      <c r="BQX42" s="0"/>
      <c r="BQY42" s="0"/>
      <c r="BQZ42" s="0"/>
      <c r="BRA42" s="0"/>
      <c r="BRB42" s="0"/>
      <c r="BRC42" s="0"/>
      <c r="BRD42" s="0"/>
      <c r="BRE42" s="0"/>
      <c r="BRF42" s="0"/>
      <c r="BRG42" s="0"/>
      <c r="BRH42" s="0"/>
      <c r="BRI42" s="0"/>
      <c r="BRJ42" s="0"/>
      <c r="BRK42" s="0"/>
      <c r="BRL42" s="0"/>
      <c r="BRM42" s="0"/>
      <c r="BRN42" s="0"/>
      <c r="BRO42" s="0"/>
      <c r="BRP42" s="0"/>
      <c r="BRQ42" s="0"/>
      <c r="BRR42" s="0"/>
      <c r="BRS42" s="0"/>
      <c r="BRT42" s="0"/>
      <c r="BRU42" s="0"/>
      <c r="BRV42" s="0"/>
      <c r="BRW42" s="0"/>
      <c r="BRX42" s="0"/>
      <c r="BRY42" s="0"/>
      <c r="BRZ42" s="0"/>
      <c r="BSA42" s="0"/>
      <c r="BSB42" s="0"/>
      <c r="BSC42" s="0"/>
      <c r="BSD42" s="0"/>
      <c r="BSE42" s="0"/>
      <c r="BSF42" s="0"/>
      <c r="BSG42" s="0"/>
      <c r="BSH42" s="0"/>
      <c r="BSI42" s="0"/>
      <c r="BSJ42" s="0"/>
      <c r="BSK42" s="0"/>
      <c r="BSL42" s="0"/>
      <c r="BSM42" s="0"/>
      <c r="BSN42" s="0"/>
      <c r="BSO42" s="0"/>
      <c r="BSP42" s="0"/>
      <c r="BSQ42" s="0"/>
      <c r="BSR42" s="0"/>
      <c r="BSS42" s="0"/>
      <c r="BST42" s="0"/>
      <c r="BSU42" s="0"/>
      <c r="BSV42" s="0"/>
      <c r="BSW42" s="0"/>
      <c r="BSX42" s="0"/>
      <c r="BSY42" s="0"/>
      <c r="BSZ42" s="0"/>
      <c r="BTA42" s="0"/>
      <c r="BTB42" s="0"/>
      <c r="BTC42" s="0"/>
      <c r="BTD42" s="0"/>
      <c r="BTE42" s="0"/>
      <c r="BTF42" s="0"/>
      <c r="BTG42" s="0"/>
      <c r="BTH42" s="0"/>
      <c r="BTI42" s="0"/>
      <c r="BTJ42" s="0"/>
      <c r="BTK42" s="0"/>
      <c r="BTL42" s="0"/>
      <c r="BTM42" s="0"/>
      <c r="BTN42" s="0"/>
      <c r="BTO42" s="0"/>
      <c r="BTP42" s="0"/>
      <c r="BTQ42" s="0"/>
      <c r="BTR42" s="0"/>
      <c r="BTS42" s="0"/>
      <c r="BTT42" s="0"/>
      <c r="BTU42" s="0"/>
      <c r="BTV42" s="0"/>
      <c r="BTW42" s="0"/>
      <c r="BTX42" s="0"/>
      <c r="BTY42" s="0"/>
      <c r="BTZ42" s="0"/>
      <c r="BUA42" s="0"/>
      <c r="BUB42" s="0"/>
      <c r="BUC42" s="0"/>
      <c r="BUD42" s="0"/>
      <c r="BUE42" s="0"/>
      <c r="BUF42" s="0"/>
      <c r="BUG42" s="0"/>
      <c r="BUH42" s="0"/>
      <c r="BUI42" s="0"/>
      <c r="BUJ42" s="0"/>
      <c r="BUK42" s="0"/>
      <c r="BUL42" s="0"/>
      <c r="BUM42" s="0"/>
      <c r="BUN42" s="0"/>
      <c r="BUO42" s="0"/>
      <c r="BUP42" s="0"/>
      <c r="BUQ42" s="0"/>
      <c r="BUR42" s="0"/>
      <c r="BUS42" s="0"/>
      <c r="BUT42" s="0"/>
      <c r="BUU42" s="0"/>
      <c r="BUV42" s="0"/>
      <c r="BUW42" s="0"/>
      <c r="BUX42" s="0"/>
      <c r="BUY42" s="0"/>
      <c r="BUZ42" s="0"/>
      <c r="BVA42" s="0"/>
      <c r="BVB42" s="0"/>
      <c r="BVC42" s="0"/>
      <c r="BVD42" s="0"/>
      <c r="BVE42" s="0"/>
      <c r="BVF42" s="0"/>
      <c r="BVG42" s="0"/>
      <c r="BVH42" s="0"/>
      <c r="BVI42" s="0"/>
      <c r="BVJ42" s="0"/>
      <c r="BVK42" s="0"/>
      <c r="BVL42" s="0"/>
      <c r="BVM42" s="0"/>
      <c r="BVN42" s="0"/>
      <c r="BVO42" s="0"/>
      <c r="BVP42" s="0"/>
      <c r="BVQ42" s="0"/>
      <c r="BVR42" s="0"/>
      <c r="BVS42" s="0"/>
      <c r="BVT42" s="0"/>
      <c r="BVU42" s="0"/>
      <c r="BVV42" s="0"/>
      <c r="BVW42" s="0"/>
      <c r="BVX42" s="0"/>
      <c r="BVY42" s="0"/>
      <c r="BVZ42" s="0"/>
      <c r="BWA42" s="0"/>
      <c r="BWB42" s="0"/>
      <c r="BWC42" s="0"/>
      <c r="BWD42" s="0"/>
      <c r="BWE42" s="0"/>
      <c r="BWF42" s="0"/>
      <c r="BWG42" s="0"/>
      <c r="BWH42" s="0"/>
      <c r="BWI42" s="0"/>
      <c r="BWJ42" s="0"/>
      <c r="BWK42" s="0"/>
      <c r="BWL42" s="0"/>
      <c r="BWM42" s="0"/>
      <c r="BWN42" s="0"/>
      <c r="BWO42" s="0"/>
      <c r="BWP42" s="0"/>
      <c r="BWQ42" s="0"/>
      <c r="BWR42" s="0"/>
      <c r="BWS42" s="0"/>
      <c r="BWT42" s="0"/>
      <c r="BWU42" s="0"/>
      <c r="BWV42" s="0"/>
      <c r="BWW42" s="0"/>
      <c r="BWX42" s="0"/>
      <c r="BWY42" s="0"/>
      <c r="BWZ42" s="0"/>
      <c r="BXA42" s="0"/>
      <c r="BXB42" s="0"/>
      <c r="BXC42" s="0"/>
      <c r="BXD42" s="0"/>
      <c r="BXE42" s="0"/>
      <c r="BXF42" s="0"/>
      <c r="BXG42" s="0"/>
      <c r="BXH42" s="0"/>
      <c r="BXI42" s="0"/>
      <c r="BXJ42" s="0"/>
      <c r="BXK42" s="0"/>
      <c r="BXL42" s="0"/>
      <c r="BXM42" s="0"/>
      <c r="BXN42" s="0"/>
      <c r="BXO42" s="0"/>
      <c r="BXP42" s="0"/>
      <c r="BXQ42" s="0"/>
      <c r="BXR42" s="0"/>
      <c r="BXS42" s="0"/>
      <c r="BXT42" s="0"/>
      <c r="BXU42" s="0"/>
      <c r="BXV42" s="0"/>
      <c r="BXW42" s="0"/>
      <c r="BXX42" s="0"/>
      <c r="BXY42" s="0"/>
      <c r="BXZ42" s="0"/>
      <c r="BYA42" s="0"/>
      <c r="BYB42" s="0"/>
      <c r="BYC42" s="0"/>
      <c r="BYD42" s="0"/>
      <c r="BYE42" s="0"/>
      <c r="BYF42" s="0"/>
      <c r="BYG42" s="0"/>
      <c r="BYH42" s="0"/>
      <c r="BYI42" s="0"/>
      <c r="BYJ42" s="0"/>
      <c r="BYK42" s="0"/>
      <c r="BYL42" s="0"/>
      <c r="BYM42" s="0"/>
      <c r="BYN42" s="0"/>
      <c r="BYO42" s="0"/>
      <c r="BYP42" s="0"/>
      <c r="BYQ42" s="0"/>
      <c r="BYR42" s="0"/>
      <c r="BYS42" s="0"/>
      <c r="BYT42" s="0"/>
      <c r="BYU42" s="0"/>
      <c r="BYV42" s="0"/>
      <c r="BYW42" s="0"/>
      <c r="BYX42" s="0"/>
      <c r="BYY42" s="0"/>
      <c r="BYZ42" s="0"/>
      <c r="BZA42" s="0"/>
      <c r="BZB42" s="0"/>
      <c r="BZC42" s="0"/>
      <c r="BZD42" s="0"/>
      <c r="BZE42" s="0"/>
      <c r="BZF42" s="0"/>
      <c r="BZG42" s="0"/>
      <c r="BZH42" s="0"/>
      <c r="BZI42" s="0"/>
      <c r="BZJ42" s="0"/>
      <c r="BZK42" s="0"/>
      <c r="BZL42" s="0"/>
      <c r="BZM42" s="0"/>
      <c r="BZN42" s="0"/>
      <c r="BZO42" s="0"/>
      <c r="BZP42" s="0"/>
      <c r="BZQ42" s="0"/>
      <c r="BZR42" s="0"/>
      <c r="BZS42" s="0"/>
      <c r="BZT42" s="0"/>
      <c r="BZU42" s="0"/>
      <c r="BZV42" s="0"/>
      <c r="BZW42" s="0"/>
      <c r="BZX42" s="0"/>
      <c r="BZY42" s="0"/>
      <c r="BZZ42" s="0"/>
      <c r="CAA42" s="0"/>
      <c r="CAB42" s="0"/>
      <c r="CAC42" s="0"/>
      <c r="CAD42" s="0"/>
      <c r="CAE42" s="0"/>
      <c r="CAF42" s="0"/>
      <c r="CAG42" s="0"/>
      <c r="CAH42" s="0"/>
      <c r="CAI42" s="0"/>
      <c r="CAJ42" s="0"/>
      <c r="CAK42" s="0"/>
      <c r="CAL42" s="0"/>
      <c r="CAM42" s="0"/>
      <c r="CAN42" s="0"/>
      <c r="CAO42" s="0"/>
      <c r="CAP42" s="0"/>
      <c r="CAQ42" s="0"/>
      <c r="CAR42" s="0"/>
      <c r="CAS42" s="0"/>
      <c r="CAT42" s="0"/>
      <c r="CAU42" s="0"/>
      <c r="CAV42" s="0"/>
      <c r="CAW42" s="0"/>
      <c r="CAX42" s="0"/>
      <c r="CAY42" s="0"/>
      <c r="CAZ42" s="0"/>
      <c r="CBA42" s="0"/>
      <c r="CBB42" s="0"/>
      <c r="CBC42" s="0"/>
      <c r="CBD42" s="0"/>
      <c r="CBE42" s="0"/>
      <c r="CBF42" s="0"/>
      <c r="CBG42" s="0"/>
      <c r="CBH42" s="0"/>
      <c r="CBI42" s="0"/>
      <c r="CBJ42" s="0"/>
      <c r="CBK42" s="0"/>
      <c r="CBL42" s="0"/>
      <c r="CBM42" s="0"/>
      <c r="CBN42" s="0"/>
      <c r="CBO42" s="0"/>
      <c r="CBP42" s="0"/>
      <c r="CBQ42" s="0"/>
      <c r="CBR42" s="0"/>
      <c r="CBS42" s="0"/>
      <c r="CBT42" s="0"/>
      <c r="CBU42" s="0"/>
      <c r="CBV42" s="0"/>
      <c r="CBW42" s="0"/>
      <c r="CBX42" s="0"/>
      <c r="CBY42" s="0"/>
      <c r="CBZ42" s="0"/>
      <c r="CCA42" s="0"/>
      <c r="CCB42" s="0"/>
      <c r="CCC42" s="0"/>
      <c r="CCD42" s="0"/>
      <c r="CCE42" s="0"/>
      <c r="CCF42" s="0"/>
      <c r="CCG42" s="0"/>
      <c r="CCH42" s="0"/>
      <c r="CCI42" s="0"/>
      <c r="CCJ42" s="0"/>
      <c r="CCK42" s="0"/>
      <c r="CCL42" s="0"/>
      <c r="CCM42" s="0"/>
      <c r="CCN42" s="0"/>
      <c r="CCO42" s="0"/>
      <c r="CCP42" s="0"/>
      <c r="CCQ42" s="0"/>
      <c r="CCR42" s="0"/>
      <c r="CCS42" s="0"/>
      <c r="CCT42" s="0"/>
      <c r="CCU42" s="0"/>
      <c r="CCV42" s="0"/>
      <c r="CCW42" s="0"/>
      <c r="CCX42" s="0"/>
      <c r="CCY42" s="0"/>
      <c r="CCZ42" s="0"/>
      <c r="CDA42" s="0"/>
      <c r="CDB42" s="0"/>
      <c r="CDC42" s="0"/>
      <c r="CDD42" s="0"/>
      <c r="CDE42" s="0"/>
      <c r="CDF42" s="0"/>
      <c r="CDG42" s="0"/>
      <c r="CDH42" s="0"/>
      <c r="CDI42" s="0"/>
      <c r="CDJ42" s="0"/>
      <c r="CDK42" s="0"/>
      <c r="CDL42" s="0"/>
      <c r="CDM42" s="0"/>
      <c r="CDN42" s="0"/>
      <c r="CDO42" s="0"/>
      <c r="CDP42" s="0"/>
      <c r="CDQ42" s="0"/>
      <c r="CDR42" s="0"/>
      <c r="CDS42" s="0"/>
      <c r="CDT42" s="0"/>
      <c r="CDU42" s="0"/>
      <c r="CDV42" s="0"/>
      <c r="CDW42" s="0"/>
      <c r="CDX42" s="0"/>
      <c r="CDY42" s="0"/>
      <c r="CDZ42" s="0"/>
      <c r="CEA42" s="0"/>
      <c r="CEB42" s="0"/>
      <c r="CEC42" s="0"/>
      <c r="CED42" s="0"/>
      <c r="CEE42" s="0"/>
      <c r="CEF42" s="0"/>
      <c r="CEG42" s="0"/>
      <c r="CEH42" s="0"/>
      <c r="CEI42" s="0"/>
      <c r="CEJ42" s="0"/>
      <c r="CEK42" s="0"/>
      <c r="CEL42" s="0"/>
      <c r="CEM42" s="0"/>
      <c r="CEN42" s="0"/>
      <c r="CEO42" s="0"/>
      <c r="CEP42" s="0"/>
      <c r="CEQ42" s="0"/>
      <c r="CER42" s="0"/>
      <c r="CES42" s="0"/>
      <c r="CET42" s="0"/>
      <c r="CEU42" s="0"/>
      <c r="CEV42" s="0"/>
      <c r="CEW42" s="0"/>
      <c r="CEX42" s="0"/>
      <c r="CEY42" s="0"/>
      <c r="CEZ42" s="0"/>
      <c r="CFA42" s="0"/>
      <c r="CFB42" s="0"/>
      <c r="CFC42" s="0"/>
      <c r="CFD42" s="0"/>
      <c r="CFE42" s="0"/>
      <c r="CFF42" s="0"/>
      <c r="CFG42" s="0"/>
      <c r="CFH42" s="0"/>
      <c r="CFI42" s="0"/>
      <c r="CFJ42" s="0"/>
      <c r="CFK42" s="0"/>
      <c r="CFL42" s="0"/>
      <c r="CFM42" s="0"/>
      <c r="CFN42" s="0"/>
      <c r="CFO42" s="0"/>
      <c r="CFP42" s="0"/>
      <c r="CFQ42" s="0"/>
      <c r="CFR42" s="0"/>
      <c r="CFS42" s="0"/>
      <c r="CFT42" s="0"/>
      <c r="CFU42" s="0"/>
      <c r="CFV42" s="0"/>
      <c r="CFW42" s="0"/>
      <c r="CFX42" s="0"/>
      <c r="CFY42" s="0"/>
      <c r="CFZ42" s="0"/>
      <c r="CGA42" s="0"/>
      <c r="CGB42" s="0"/>
      <c r="CGC42" s="0"/>
      <c r="CGD42" s="0"/>
      <c r="CGE42" s="0"/>
      <c r="CGF42" s="0"/>
      <c r="CGG42" s="0"/>
      <c r="CGH42" s="0"/>
      <c r="CGI42" s="0"/>
      <c r="CGJ42" s="0"/>
      <c r="CGK42" s="0"/>
      <c r="CGL42" s="0"/>
      <c r="CGM42" s="0"/>
      <c r="CGN42" s="0"/>
      <c r="CGO42" s="0"/>
      <c r="CGP42" s="0"/>
      <c r="CGQ42" s="0"/>
      <c r="CGR42" s="0"/>
      <c r="CGS42" s="0"/>
      <c r="CGT42" s="0"/>
      <c r="CGU42" s="0"/>
      <c r="CGV42" s="0"/>
      <c r="CGW42" s="0"/>
      <c r="CGX42" s="0"/>
      <c r="CGY42" s="0"/>
      <c r="CGZ42" s="0"/>
      <c r="CHA42" s="0"/>
      <c r="CHB42" s="0"/>
      <c r="CHC42" s="0"/>
      <c r="CHD42" s="0"/>
      <c r="CHE42" s="0"/>
      <c r="CHF42" s="0"/>
      <c r="CHG42" s="0"/>
      <c r="CHH42" s="0"/>
      <c r="CHI42" s="0"/>
      <c r="CHJ42" s="0"/>
      <c r="CHK42" s="0"/>
      <c r="CHL42" s="0"/>
      <c r="CHM42" s="0"/>
      <c r="CHN42" s="0"/>
      <c r="CHO42" s="0"/>
      <c r="CHP42" s="0"/>
      <c r="CHQ42" s="0"/>
      <c r="CHR42" s="0"/>
      <c r="CHS42" s="0"/>
      <c r="CHT42" s="0"/>
      <c r="CHU42" s="0"/>
      <c r="CHV42" s="0"/>
      <c r="CHW42" s="0"/>
      <c r="CHX42" s="0"/>
      <c r="CHY42" s="0"/>
      <c r="CHZ42" s="0"/>
      <c r="CIA42" s="0"/>
      <c r="CIB42" s="0"/>
      <c r="CIC42" s="0"/>
      <c r="CID42" s="0"/>
      <c r="CIE42" s="0"/>
      <c r="CIF42" s="0"/>
      <c r="CIG42" s="0"/>
      <c r="CIH42" s="0"/>
      <c r="CII42" s="0"/>
      <c r="CIJ42" s="0"/>
      <c r="CIK42" s="0"/>
      <c r="CIL42" s="0"/>
      <c r="CIM42" s="0"/>
      <c r="CIN42" s="0"/>
      <c r="CIO42" s="0"/>
      <c r="CIP42" s="0"/>
      <c r="CIQ42" s="0"/>
      <c r="CIR42" s="0"/>
      <c r="CIS42" s="0"/>
      <c r="CIT42" s="0"/>
      <c r="CIU42" s="0"/>
      <c r="CIV42" s="0"/>
      <c r="CIW42" s="0"/>
      <c r="CIX42" s="0"/>
      <c r="CIY42" s="0"/>
      <c r="CIZ42" s="0"/>
      <c r="CJA42" s="0"/>
      <c r="CJB42" s="0"/>
      <c r="CJC42" s="0"/>
      <c r="CJD42" s="0"/>
      <c r="CJE42" s="0"/>
      <c r="CJF42" s="0"/>
      <c r="CJG42" s="0"/>
      <c r="CJH42" s="0"/>
      <c r="CJI42" s="0"/>
      <c r="CJJ42" s="0"/>
      <c r="CJK42" s="0"/>
      <c r="CJL42" s="0"/>
      <c r="CJM42" s="0"/>
      <c r="CJN42" s="0"/>
      <c r="CJO42" s="0"/>
      <c r="CJP42" s="0"/>
      <c r="CJQ42" s="0"/>
      <c r="CJR42" s="0"/>
      <c r="CJS42" s="0"/>
      <c r="CJT42" s="0"/>
      <c r="CJU42" s="0"/>
      <c r="CJV42" s="0"/>
      <c r="CJW42" s="0"/>
      <c r="CJX42" s="0"/>
      <c r="CJY42" s="0"/>
      <c r="CJZ42" s="0"/>
      <c r="CKA42" s="0"/>
      <c r="CKB42" s="0"/>
      <c r="CKC42" s="0"/>
      <c r="CKD42" s="0"/>
      <c r="CKE42" s="0"/>
      <c r="CKF42" s="0"/>
      <c r="CKG42" s="0"/>
      <c r="CKH42" s="0"/>
      <c r="CKI42" s="0"/>
      <c r="CKJ42" s="0"/>
      <c r="CKK42" s="0"/>
      <c r="CKL42" s="0"/>
      <c r="CKM42" s="0"/>
      <c r="CKN42" s="0"/>
      <c r="CKO42" s="0"/>
      <c r="CKP42" s="0"/>
      <c r="CKQ42" s="0"/>
      <c r="CKR42" s="0"/>
      <c r="CKS42" s="0"/>
      <c r="CKT42" s="0"/>
      <c r="CKU42" s="0"/>
      <c r="CKV42" s="0"/>
      <c r="CKW42" s="0"/>
      <c r="CKX42" s="0"/>
      <c r="CKY42" s="0"/>
      <c r="CKZ42" s="0"/>
      <c r="CLA42" s="0"/>
      <c r="CLB42" s="0"/>
      <c r="CLC42" s="0"/>
      <c r="CLD42" s="0"/>
      <c r="CLE42" s="0"/>
      <c r="CLF42" s="0"/>
      <c r="CLG42" s="0"/>
      <c r="CLH42" s="0"/>
      <c r="CLI42" s="0"/>
      <c r="CLJ42" s="0"/>
      <c r="CLK42" s="0"/>
      <c r="CLL42" s="0"/>
      <c r="CLM42" s="0"/>
      <c r="CLN42" s="0"/>
      <c r="CLO42" s="0"/>
      <c r="CLP42" s="0"/>
      <c r="CLQ42" s="0"/>
      <c r="CLR42" s="0"/>
      <c r="CLS42" s="0"/>
      <c r="CLT42" s="0"/>
      <c r="CLU42" s="0"/>
      <c r="CLV42" s="0"/>
      <c r="CLW42" s="0"/>
      <c r="CLX42" s="0"/>
      <c r="CLY42" s="0"/>
      <c r="CLZ42" s="0"/>
      <c r="CMA42" s="0"/>
      <c r="CMB42" s="0"/>
      <c r="CMC42" s="0"/>
      <c r="CMD42" s="0"/>
      <c r="CME42" s="0"/>
      <c r="CMF42" s="0"/>
      <c r="CMG42" s="0"/>
      <c r="CMH42" s="0"/>
      <c r="CMI42" s="0"/>
      <c r="CMJ42" s="0"/>
      <c r="CMK42" s="0"/>
      <c r="CML42" s="0"/>
      <c r="CMM42" s="0"/>
      <c r="CMN42" s="0"/>
      <c r="CMO42" s="0"/>
      <c r="CMP42" s="0"/>
      <c r="CMQ42" s="0"/>
      <c r="CMR42" s="0"/>
      <c r="CMS42" s="0"/>
      <c r="CMT42" s="0"/>
      <c r="CMU42" s="0"/>
      <c r="CMV42" s="0"/>
      <c r="CMW42" s="0"/>
      <c r="CMX42" s="0"/>
      <c r="CMY42" s="0"/>
      <c r="CMZ42" s="0"/>
      <c r="CNA42" s="0"/>
      <c r="CNB42" s="0"/>
      <c r="CNC42" s="0"/>
      <c r="CND42" s="0"/>
      <c r="CNE42" s="0"/>
      <c r="CNF42" s="0"/>
      <c r="CNG42" s="0"/>
      <c r="CNH42" s="0"/>
      <c r="CNI42" s="0"/>
      <c r="CNJ42" s="0"/>
      <c r="CNK42" s="0"/>
      <c r="CNL42" s="0"/>
      <c r="CNM42" s="0"/>
      <c r="CNN42" s="0"/>
      <c r="CNO42" s="0"/>
      <c r="CNP42" s="0"/>
      <c r="CNQ42" s="0"/>
      <c r="CNR42" s="0"/>
      <c r="CNS42" s="0"/>
      <c r="CNT42" s="0"/>
      <c r="CNU42" s="0"/>
      <c r="CNV42" s="0"/>
      <c r="CNW42" s="0"/>
      <c r="CNX42" s="0"/>
      <c r="CNY42" s="0"/>
      <c r="CNZ42" s="0"/>
      <c r="COA42" s="0"/>
      <c r="COB42" s="0"/>
      <c r="COC42" s="0"/>
      <c r="COD42" s="0"/>
      <c r="COE42" s="0"/>
      <c r="COF42" s="0"/>
      <c r="COG42" s="0"/>
      <c r="COH42" s="0"/>
      <c r="COI42" s="0"/>
      <c r="COJ42" s="0"/>
      <c r="COK42" s="0"/>
      <c r="COL42" s="0"/>
      <c r="COM42" s="0"/>
      <c r="CON42" s="0"/>
      <c r="COO42" s="0"/>
      <c r="COP42" s="0"/>
      <c r="COQ42" s="0"/>
      <c r="COR42" s="0"/>
      <c r="COS42" s="0"/>
      <c r="COT42" s="0"/>
      <c r="COU42" s="0"/>
      <c r="COV42" s="0"/>
      <c r="COW42" s="0"/>
      <c r="COX42" s="0"/>
      <c r="COY42" s="0"/>
      <c r="COZ42" s="0"/>
      <c r="CPA42" s="0"/>
      <c r="CPB42" s="0"/>
      <c r="CPC42" s="0"/>
      <c r="CPD42" s="0"/>
      <c r="CPE42" s="0"/>
      <c r="CPF42" s="0"/>
      <c r="CPG42" s="0"/>
      <c r="CPH42" s="0"/>
      <c r="CPI42" s="0"/>
      <c r="CPJ42" s="0"/>
      <c r="CPK42" s="0"/>
      <c r="CPL42" s="0"/>
      <c r="CPM42" s="0"/>
      <c r="CPN42" s="0"/>
      <c r="CPO42" s="0"/>
      <c r="CPP42" s="0"/>
      <c r="CPQ42" s="0"/>
      <c r="CPR42" s="0"/>
      <c r="CPS42" s="0"/>
      <c r="CPT42" s="0"/>
      <c r="CPU42" s="0"/>
      <c r="CPV42" s="0"/>
      <c r="CPW42" s="0"/>
      <c r="CPX42" s="0"/>
      <c r="CPY42" s="0"/>
      <c r="CPZ42" s="0"/>
      <c r="CQA42" s="0"/>
      <c r="CQB42" s="0"/>
      <c r="CQC42" s="0"/>
      <c r="CQD42" s="0"/>
      <c r="CQE42" s="0"/>
      <c r="CQF42" s="0"/>
      <c r="CQG42" s="0"/>
      <c r="CQH42" s="0"/>
      <c r="CQI42" s="0"/>
      <c r="CQJ42" s="0"/>
      <c r="CQK42" s="0"/>
      <c r="CQL42" s="0"/>
      <c r="CQM42" s="0"/>
      <c r="CQN42" s="0"/>
      <c r="CQO42" s="0"/>
      <c r="CQP42" s="0"/>
      <c r="CQQ42" s="0"/>
      <c r="CQR42" s="0"/>
      <c r="CQS42" s="0"/>
      <c r="CQT42" s="0"/>
      <c r="CQU42" s="0"/>
      <c r="CQV42" s="0"/>
      <c r="CQW42" s="0"/>
      <c r="CQX42" s="0"/>
      <c r="CQY42" s="0"/>
      <c r="CQZ42" s="0"/>
      <c r="CRA42" s="0"/>
      <c r="CRB42" s="0"/>
      <c r="CRC42" s="0"/>
      <c r="CRD42" s="0"/>
      <c r="CRE42" s="0"/>
      <c r="CRF42" s="0"/>
      <c r="CRG42" s="0"/>
      <c r="CRH42" s="0"/>
      <c r="CRI42" s="0"/>
      <c r="CRJ42" s="0"/>
      <c r="CRK42" s="0"/>
      <c r="CRL42" s="0"/>
      <c r="CRM42" s="0"/>
      <c r="CRN42" s="0"/>
      <c r="CRO42" s="0"/>
      <c r="CRP42" s="0"/>
      <c r="CRQ42" s="0"/>
      <c r="CRR42" s="0"/>
      <c r="CRS42" s="0"/>
      <c r="CRT42" s="0"/>
      <c r="CRU42" s="0"/>
      <c r="CRV42" s="0"/>
      <c r="CRW42" s="0"/>
      <c r="CRX42" s="0"/>
      <c r="CRY42" s="0"/>
      <c r="CRZ42" s="0"/>
      <c r="CSA42" s="0"/>
      <c r="CSB42" s="0"/>
      <c r="CSC42" s="0"/>
      <c r="CSD42" s="0"/>
      <c r="CSE42" s="0"/>
      <c r="CSF42" s="0"/>
      <c r="CSG42" s="0"/>
      <c r="CSH42" s="0"/>
      <c r="CSI42" s="0"/>
      <c r="CSJ42" s="0"/>
      <c r="CSK42" s="0"/>
      <c r="CSL42" s="0"/>
      <c r="CSM42" s="0"/>
      <c r="CSN42" s="0"/>
      <c r="CSO42" s="0"/>
      <c r="CSP42" s="0"/>
      <c r="CSQ42" s="0"/>
      <c r="CSR42" s="0"/>
      <c r="CSS42" s="0"/>
      <c r="CST42" s="0"/>
      <c r="CSU42" s="0"/>
      <c r="CSV42" s="0"/>
      <c r="CSW42" s="0"/>
      <c r="CSX42" s="0"/>
      <c r="CSY42" s="0"/>
      <c r="CSZ42" s="0"/>
      <c r="CTA42" s="0"/>
      <c r="CTB42" s="0"/>
      <c r="CTC42" s="0"/>
      <c r="CTD42" s="0"/>
      <c r="CTE42" s="0"/>
      <c r="CTF42" s="0"/>
      <c r="CTG42" s="0"/>
      <c r="CTH42" s="0"/>
      <c r="CTI42" s="0"/>
      <c r="CTJ42" s="0"/>
      <c r="CTK42" s="0"/>
      <c r="CTL42" s="0"/>
      <c r="CTM42" s="0"/>
      <c r="CTN42" s="0"/>
      <c r="CTO42" s="0"/>
      <c r="CTP42" s="0"/>
      <c r="CTQ42" s="0"/>
      <c r="CTR42" s="0"/>
      <c r="CTS42" s="0"/>
      <c r="CTT42" s="0"/>
      <c r="CTU42" s="0"/>
      <c r="CTV42" s="0"/>
      <c r="CTW42" s="0"/>
      <c r="CTX42" s="0"/>
      <c r="CTY42" s="0"/>
      <c r="CTZ42" s="0"/>
      <c r="CUA42" s="0"/>
      <c r="CUB42" s="0"/>
      <c r="CUC42" s="0"/>
      <c r="CUD42" s="0"/>
      <c r="CUE42" s="0"/>
      <c r="CUF42" s="0"/>
      <c r="CUG42" s="0"/>
      <c r="CUH42" s="0"/>
      <c r="CUI42" s="0"/>
      <c r="CUJ42" s="0"/>
      <c r="CUK42" s="0"/>
      <c r="CUL42" s="0"/>
      <c r="CUM42" s="0"/>
      <c r="CUN42" s="0"/>
      <c r="CUO42" s="0"/>
      <c r="CUP42" s="0"/>
      <c r="CUQ42" s="0"/>
      <c r="CUR42" s="0"/>
      <c r="CUS42" s="0"/>
      <c r="CUT42" s="0"/>
      <c r="CUU42" s="0"/>
      <c r="CUV42" s="0"/>
      <c r="CUW42" s="0"/>
      <c r="CUX42" s="0"/>
      <c r="CUY42" s="0"/>
      <c r="CUZ42" s="0"/>
      <c r="CVA42" s="0"/>
      <c r="CVB42" s="0"/>
      <c r="CVC42" s="0"/>
      <c r="CVD42" s="0"/>
      <c r="CVE42" s="0"/>
      <c r="CVF42" s="0"/>
      <c r="CVG42" s="0"/>
      <c r="CVH42" s="0"/>
      <c r="CVI42" s="0"/>
      <c r="CVJ42" s="0"/>
      <c r="CVK42" s="0"/>
      <c r="CVL42" s="0"/>
      <c r="CVM42" s="0"/>
      <c r="CVN42" s="0"/>
      <c r="CVO42" s="0"/>
      <c r="CVP42" s="0"/>
      <c r="CVQ42" s="0"/>
      <c r="CVR42" s="0"/>
      <c r="CVS42" s="0"/>
      <c r="CVT42" s="0"/>
      <c r="CVU42" s="0"/>
      <c r="CVV42" s="0"/>
      <c r="CVW42" s="0"/>
      <c r="CVX42" s="0"/>
      <c r="CVY42" s="0"/>
      <c r="CVZ42" s="0"/>
      <c r="CWA42" s="0"/>
      <c r="CWB42" s="0"/>
      <c r="CWC42" s="0"/>
      <c r="CWD42" s="0"/>
      <c r="CWE42" s="0"/>
      <c r="CWF42" s="0"/>
      <c r="CWG42" s="0"/>
      <c r="CWH42" s="0"/>
      <c r="CWI42" s="0"/>
      <c r="CWJ42" s="0"/>
      <c r="CWK42" s="0"/>
      <c r="CWL42" s="0"/>
      <c r="CWM42" s="0"/>
      <c r="CWN42" s="0"/>
      <c r="CWO42" s="0"/>
      <c r="CWP42" s="0"/>
      <c r="CWQ42" s="0"/>
      <c r="CWR42" s="0"/>
      <c r="CWS42" s="0"/>
      <c r="CWT42" s="0"/>
      <c r="CWU42" s="0"/>
      <c r="CWV42" s="0"/>
      <c r="CWW42" s="0"/>
      <c r="CWX42" s="0"/>
      <c r="CWY42" s="0"/>
      <c r="CWZ42" s="0"/>
      <c r="CXA42" s="0"/>
      <c r="CXB42" s="0"/>
      <c r="CXC42" s="0"/>
      <c r="CXD42" s="0"/>
      <c r="CXE42" s="0"/>
      <c r="CXF42" s="0"/>
      <c r="CXG42" s="0"/>
      <c r="CXH42" s="0"/>
      <c r="CXI42" s="0"/>
      <c r="CXJ42" s="0"/>
      <c r="CXK42" s="0"/>
      <c r="CXL42" s="0"/>
      <c r="CXM42" s="0"/>
      <c r="CXN42" s="0"/>
      <c r="CXO42" s="0"/>
      <c r="CXP42" s="0"/>
      <c r="CXQ42" s="0"/>
      <c r="CXR42" s="0"/>
      <c r="CXS42" s="0"/>
      <c r="CXT42" s="0"/>
      <c r="CXU42" s="0"/>
      <c r="CXV42" s="0"/>
      <c r="CXW42" s="0"/>
      <c r="CXX42" s="0"/>
      <c r="CXY42" s="0"/>
      <c r="CXZ42" s="0"/>
      <c r="CYA42" s="0"/>
      <c r="CYB42" s="0"/>
      <c r="CYC42" s="0"/>
      <c r="CYD42" s="0"/>
      <c r="CYE42" s="0"/>
      <c r="CYF42" s="0"/>
      <c r="CYG42" s="0"/>
      <c r="CYH42" s="0"/>
      <c r="CYI42" s="0"/>
      <c r="CYJ42" s="0"/>
      <c r="CYK42" s="0"/>
      <c r="CYL42" s="0"/>
      <c r="CYM42" s="0"/>
      <c r="CYN42" s="0"/>
      <c r="CYO42" s="0"/>
      <c r="CYP42" s="0"/>
      <c r="CYQ42" s="0"/>
      <c r="CYR42" s="0"/>
      <c r="CYS42" s="0"/>
      <c r="CYT42" s="0"/>
      <c r="CYU42" s="0"/>
      <c r="CYV42" s="0"/>
      <c r="CYW42" s="0"/>
      <c r="CYX42" s="0"/>
      <c r="CYY42" s="0"/>
      <c r="CYZ42" s="0"/>
      <c r="CZA42" s="0"/>
      <c r="CZB42" s="0"/>
      <c r="CZC42" s="0"/>
      <c r="CZD42" s="0"/>
      <c r="CZE42" s="0"/>
      <c r="CZF42" s="0"/>
      <c r="CZG42" s="0"/>
      <c r="CZH42" s="0"/>
      <c r="CZI42" s="0"/>
      <c r="CZJ42" s="0"/>
      <c r="CZK42" s="0"/>
      <c r="CZL42" s="0"/>
      <c r="CZM42" s="0"/>
      <c r="CZN42" s="0"/>
      <c r="CZO42" s="0"/>
      <c r="CZP42" s="0"/>
      <c r="CZQ42" s="0"/>
      <c r="CZR42" s="0"/>
      <c r="CZS42" s="0"/>
      <c r="CZT42" s="0"/>
      <c r="CZU42" s="0"/>
      <c r="CZV42" s="0"/>
      <c r="CZW42" s="0"/>
      <c r="CZX42" s="0"/>
      <c r="CZY42" s="0"/>
      <c r="CZZ42" s="0"/>
      <c r="DAA42" s="0"/>
      <c r="DAB42" s="0"/>
      <c r="DAC42" s="0"/>
      <c r="DAD42" s="0"/>
      <c r="DAE42" s="0"/>
      <c r="DAF42" s="0"/>
      <c r="DAG42" s="0"/>
      <c r="DAH42" s="0"/>
      <c r="DAI42" s="0"/>
      <c r="DAJ42" s="0"/>
      <c r="DAK42" s="0"/>
      <c r="DAL42" s="0"/>
      <c r="DAM42" s="0"/>
      <c r="DAN42" s="0"/>
      <c r="DAO42" s="0"/>
      <c r="DAP42" s="0"/>
      <c r="DAQ42" s="0"/>
      <c r="DAR42" s="0"/>
      <c r="DAS42" s="0"/>
      <c r="DAT42" s="0"/>
      <c r="DAU42" s="0"/>
      <c r="DAV42" s="0"/>
      <c r="DAW42" s="0"/>
      <c r="DAX42" s="0"/>
      <c r="DAY42" s="0"/>
      <c r="DAZ42" s="0"/>
      <c r="DBA42" s="0"/>
      <c r="DBB42" s="0"/>
      <c r="DBC42" s="0"/>
      <c r="DBD42" s="0"/>
      <c r="DBE42" s="0"/>
      <c r="DBF42" s="0"/>
      <c r="DBG42" s="0"/>
      <c r="DBH42" s="0"/>
      <c r="DBI42" s="0"/>
      <c r="DBJ42" s="0"/>
      <c r="DBK42" s="0"/>
      <c r="DBL42" s="0"/>
      <c r="DBM42" s="0"/>
      <c r="DBN42" s="0"/>
      <c r="DBO42" s="0"/>
      <c r="DBP42" s="0"/>
      <c r="DBQ42" s="0"/>
      <c r="DBR42" s="0"/>
      <c r="DBS42" s="0"/>
      <c r="DBT42" s="0"/>
      <c r="DBU42" s="0"/>
      <c r="DBV42" s="0"/>
      <c r="DBW42" s="0"/>
      <c r="DBX42" s="0"/>
      <c r="DBY42" s="0"/>
      <c r="DBZ42" s="0"/>
      <c r="DCA42" s="0"/>
      <c r="DCB42" s="0"/>
      <c r="DCC42" s="0"/>
      <c r="DCD42" s="0"/>
      <c r="DCE42" s="0"/>
      <c r="DCF42" s="0"/>
      <c r="DCG42" s="0"/>
      <c r="DCH42" s="0"/>
      <c r="DCI42" s="0"/>
      <c r="DCJ42" s="0"/>
      <c r="DCK42" s="0"/>
      <c r="DCL42" s="0"/>
      <c r="DCM42" s="0"/>
      <c r="DCN42" s="0"/>
      <c r="DCO42" s="0"/>
      <c r="DCP42" s="0"/>
      <c r="DCQ42" s="0"/>
      <c r="DCR42" s="0"/>
      <c r="DCS42" s="0"/>
      <c r="DCT42" s="0"/>
      <c r="DCU42" s="0"/>
      <c r="DCV42" s="0"/>
      <c r="DCW42" s="0"/>
      <c r="DCX42" s="0"/>
      <c r="DCY42" s="0"/>
      <c r="DCZ42" s="0"/>
      <c r="DDA42" s="0"/>
      <c r="DDB42" s="0"/>
      <c r="DDC42" s="0"/>
      <c r="DDD42" s="0"/>
      <c r="DDE42" s="0"/>
      <c r="DDF42" s="0"/>
      <c r="DDG42" s="0"/>
      <c r="DDH42" s="0"/>
      <c r="DDI42" s="0"/>
      <c r="DDJ42" s="0"/>
      <c r="DDK42" s="0"/>
      <c r="DDL42" s="0"/>
      <c r="DDM42" s="0"/>
      <c r="DDN42" s="0"/>
      <c r="DDO42" s="0"/>
      <c r="DDP42" s="0"/>
      <c r="DDQ42" s="0"/>
      <c r="DDR42" s="0"/>
      <c r="DDS42" s="0"/>
      <c r="DDT42" s="0"/>
      <c r="DDU42" s="0"/>
      <c r="DDV42" s="0"/>
      <c r="DDW42" s="0"/>
      <c r="DDX42" s="0"/>
      <c r="DDY42" s="0"/>
      <c r="DDZ42" s="0"/>
      <c r="DEA42" s="0"/>
      <c r="DEB42" s="0"/>
      <c r="DEC42" s="0"/>
      <c r="DED42" s="0"/>
      <c r="DEE42" s="0"/>
      <c r="DEF42" s="0"/>
      <c r="DEG42" s="0"/>
      <c r="DEH42" s="0"/>
      <c r="DEI42" s="0"/>
      <c r="DEJ42" s="0"/>
      <c r="DEK42" s="0"/>
      <c r="DEL42" s="0"/>
      <c r="DEM42" s="0"/>
      <c r="DEN42" s="0"/>
      <c r="DEO42" s="0"/>
      <c r="DEP42" s="0"/>
      <c r="DEQ42" s="0"/>
      <c r="DER42" s="0"/>
      <c r="DES42" s="0"/>
      <c r="DET42" s="0"/>
      <c r="DEU42" s="0"/>
      <c r="DEV42" s="0"/>
      <c r="DEW42" s="0"/>
      <c r="DEX42" s="0"/>
      <c r="DEY42" s="0"/>
      <c r="DEZ42" s="0"/>
      <c r="DFA42" s="0"/>
      <c r="DFB42" s="0"/>
      <c r="DFC42" s="0"/>
      <c r="DFD42" s="0"/>
      <c r="DFE42" s="0"/>
      <c r="DFF42" s="0"/>
      <c r="DFG42" s="0"/>
      <c r="DFH42" s="0"/>
      <c r="DFI42" s="0"/>
      <c r="DFJ42" s="0"/>
      <c r="DFK42" s="0"/>
      <c r="DFL42" s="0"/>
      <c r="DFM42" s="0"/>
      <c r="DFN42" s="0"/>
      <c r="DFO42" s="0"/>
      <c r="DFP42" s="0"/>
      <c r="DFQ42" s="0"/>
      <c r="DFR42" s="0"/>
      <c r="DFS42" s="0"/>
      <c r="DFT42" s="0"/>
      <c r="DFU42" s="0"/>
      <c r="DFV42" s="0"/>
      <c r="DFW42" s="0"/>
      <c r="DFX42" s="0"/>
      <c r="DFY42" s="0"/>
      <c r="DFZ42" s="0"/>
      <c r="DGA42" s="0"/>
      <c r="DGB42" s="0"/>
      <c r="DGC42" s="0"/>
      <c r="DGD42" s="0"/>
      <c r="DGE42" s="0"/>
      <c r="DGF42" s="0"/>
      <c r="DGG42" s="0"/>
      <c r="DGH42" s="0"/>
      <c r="DGI42" s="0"/>
      <c r="DGJ42" s="0"/>
      <c r="DGK42" s="0"/>
      <c r="DGL42" s="0"/>
      <c r="DGM42" s="0"/>
      <c r="DGN42" s="0"/>
      <c r="DGO42" s="0"/>
      <c r="DGP42" s="0"/>
      <c r="DGQ42" s="0"/>
      <c r="DGR42" s="0"/>
      <c r="DGS42" s="0"/>
      <c r="DGT42" s="0"/>
      <c r="DGU42" s="0"/>
      <c r="DGV42" s="0"/>
      <c r="DGW42" s="0"/>
      <c r="DGX42" s="0"/>
      <c r="DGY42" s="0"/>
      <c r="DGZ42" s="0"/>
      <c r="DHA42" s="0"/>
      <c r="DHB42" s="0"/>
      <c r="DHC42" s="0"/>
      <c r="DHD42" s="0"/>
      <c r="DHE42" s="0"/>
      <c r="DHF42" s="0"/>
      <c r="DHG42" s="0"/>
      <c r="DHH42" s="0"/>
      <c r="DHI42" s="0"/>
      <c r="DHJ42" s="0"/>
      <c r="DHK42" s="0"/>
      <c r="DHL42" s="0"/>
      <c r="DHM42" s="0"/>
      <c r="DHN42" s="0"/>
      <c r="DHO42" s="0"/>
      <c r="DHP42" s="0"/>
      <c r="DHQ42" s="0"/>
      <c r="DHR42" s="0"/>
      <c r="DHS42" s="0"/>
      <c r="DHT42" s="0"/>
      <c r="DHU42" s="0"/>
      <c r="DHV42" s="0"/>
      <c r="DHW42" s="0"/>
      <c r="DHX42" s="0"/>
      <c r="DHY42" s="0"/>
      <c r="DHZ42" s="0"/>
      <c r="DIA42" s="0"/>
      <c r="DIB42" s="0"/>
      <c r="DIC42" s="0"/>
      <c r="DID42" s="0"/>
      <c r="DIE42" s="0"/>
      <c r="DIF42" s="0"/>
      <c r="DIG42" s="0"/>
      <c r="DIH42" s="0"/>
      <c r="DII42" s="0"/>
      <c r="DIJ42" s="0"/>
      <c r="DIK42" s="0"/>
      <c r="DIL42" s="0"/>
      <c r="DIM42" s="0"/>
      <c r="DIN42" s="0"/>
      <c r="DIO42" s="0"/>
      <c r="DIP42" s="0"/>
      <c r="DIQ42" s="0"/>
      <c r="DIR42" s="0"/>
      <c r="DIS42" s="0"/>
      <c r="DIT42" s="0"/>
      <c r="DIU42" s="0"/>
      <c r="DIV42" s="0"/>
      <c r="DIW42" s="0"/>
      <c r="DIX42" s="0"/>
      <c r="DIY42" s="0"/>
      <c r="DIZ42" s="0"/>
      <c r="DJA42" s="0"/>
      <c r="DJB42" s="0"/>
      <c r="DJC42" s="0"/>
      <c r="DJD42" s="0"/>
      <c r="DJE42" s="0"/>
      <c r="DJF42" s="0"/>
      <c r="DJG42" s="0"/>
      <c r="DJH42" s="0"/>
      <c r="DJI42" s="0"/>
      <c r="DJJ42" s="0"/>
      <c r="DJK42" s="0"/>
      <c r="DJL42" s="0"/>
      <c r="DJM42" s="0"/>
      <c r="DJN42" s="0"/>
      <c r="DJO42" s="0"/>
      <c r="DJP42" s="0"/>
      <c r="DJQ42" s="0"/>
      <c r="DJR42" s="0"/>
      <c r="DJS42" s="0"/>
      <c r="DJT42" s="0"/>
      <c r="DJU42" s="0"/>
      <c r="DJV42" s="0"/>
      <c r="DJW42" s="0"/>
      <c r="DJX42" s="0"/>
      <c r="DJY42" s="0"/>
      <c r="DJZ42" s="0"/>
      <c r="DKA42" s="0"/>
      <c r="DKB42" s="0"/>
      <c r="DKC42" s="0"/>
      <c r="DKD42" s="0"/>
      <c r="DKE42" s="0"/>
      <c r="DKF42" s="0"/>
      <c r="DKG42" s="0"/>
      <c r="DKH42" s="0"/>
      <c r="DKI42" s="0"/>
      <c r="DKJ42" s="0"/>
      <c r="DKK42" s="0"/>
      <c r="DKL42" s="0"/>
      <c r="DKM42" s="0"/>
      <c r="DKN42" s="0"/>
      <c r="DKO42" s="0"/>
      <c r="DKP42" s="0"/>
      <c r="DKQ42" s="0"/>
      <c r="DKR42" s="0"/>
      <c r="DKS42" s="0"/>
      <c r="DKT42" s="0"/>
      <c r="DKU42" s="0"/>
      <c r="DKV42" s="0"/>
      <c r="DKW42" s="0"/>
      <c r="DKX42" s="0"/>
      <c r="DKY42" s="0"/>
      <c r="DKZ42" s="0"/>
      <c r="DLA42" s="0"/>
      <c r="DLB42" s="0"/>
      <c r="DLC42" s="0"/>
      <c r="DLD42" s="0"/>
      <c r="DLE42" s="0"/>
      <c r="DLF42" s="0"/>
      <c r="DLG42" s="0"/>
      <c r="DLH42" s="0"/>
      <c r="DLI42" s="0"/>
      <c r="DLJ42" s="0"/>
      <c r="DLK42" s="0"/>
      <c r="DLL42" s="0"/>
      <c r="DLM42" s="0"/>
      <c r="DLN42" s="0"/>
      <c r="DLO42" s="0"/>
      <c r="DLP42" s="0"/>
      <c r="DLQ42" s="0"/>
      <c r="DLR42" s="0"/>
      <c r="DLS42" s="0"/>
      <c r="DLT42" s="0"/>
      <c r="DLU42" s="0"/>
      <c r="DLV42" s="0"/>
      <c r="DLW42" s="0"/>
      <c r="DLX42" s="0"/>
      <c r="DLY42" s="0"/>
      <c r="DLZ42" s="0"/>
      <c r="DMA42" s="0"/>
      <c r="DMB42" s="0"/>
      <c r="DMC42" s="0"/>
      <c r="DMD42" s="0"/>
      <c r="DME42" s="0"/>
      <c r="DMF42" s="0"/>
      <c r="DMG42" s="0"/>
      <c r="DMH42" s="0"/>
      <c r="DMI42" s="0"/>
      <c r="DMJ42" s="0"/>
      <c r="DMK42" s="0"/>
      <c r="DML42" s="0"/>
      <c r="DMM42" s="0"/>
      <c r="DMN42" s="0"/>
      <c r="DMO42" s="0"/>
      <c r="DMP42" s="0"/>
      <c r="DMQ42" s="0"/>
      <c r="DMR42" s="0"/>
      <c r="DMS42" s="0"/>
      <c r="DMT42" s="0"/>
      <c r="DMU42" s="0"/>
      <c r="DMV42" s="0"/>
      <c r="DMW42" s="0"/>
      <c r="DMX42" s="0"/>
      <c r="DMY42" s="0"/>
      <c r="DMZ42" s="0"/>
      <c r="DNA42" s="0"/>
      <c r="DNB42" s="0"/>
      <c r="DNC42" s="0"/>
      <c r="DND42" s="0"/>
      <c r="DNE42" s="0"/>
      <c r="DNF42" s="0"/>
      <c r="DNG42" s="0"/>
      <c r="DNH42" s="0"/>
      <c r="DNI42" s="0"/>
      <c r="DNJ42" s="0"/>
      <c r="DNK42" s="0"/>
      <c r="DNL42" s="0"/>
      <c r="DNM42" s="0"/>
      <c r="DNN42" s="0"/>
      <c r="DNO42" s="0"/>
      <c r="DNP42" s="0"/>
      <c r="DNQ42" s="0"/>
      <c r="DNR42" s="0"/>
      <c r="DNS42" s="0"/>
      <c r="DNT42" s="0"/>
      <c r="DNU42" s="0"/>
      <c r="DNV42" s="0"/>
      <c r="DNW42" s="0"/>
      <c r="DNX42" s="0"/>
      <c r="DNY42" s="0"/>
      <c r="DNZ42" s="0"/>
      <c r="DOA42" s="0"/>
      <c r="DOB42" s="0"/>
      <c r="DOC42" s="0"/>
      <c r="DOD42" s="0"/>
      <c r="DOE42" s="0"/>
      <c r="DOF42" s="0"/>
      <c r="DOG42" s="0"/>
      <c r="DOH42" s="0"/>
      <c r="DOI42" s="0"/>
      <c r="DOJ42" s="0"/>
      <c r="DOK42" s="0"/>
      <c r="DOL42" s="0"/>
      <c r="DOM42" s="0"/>
      <c r="DON42" s="0"/>
      <c r="DOO42" s="0"/>
      <c r="DOP42" s="0"/>
      <c r="DOQ42" s="0"/>
      <c r="DOR42" s="0"/>
      <c r="DOS42" s="0"/>
      <c r="DOT42" s="0"/>
      <c r="DOU42" s="0"/>
      <c r="DOV42" s="0"/>
      <c r="DOW42" s="0"/>
      <c r="DOX42" s="0"/>
      <c r="DOY42" s="0"/>
      <c r="DOZ42" s="0"/>
      <c r="DPA42" s="0"/>
      <c r="DPB42" s="0"/>
      <c r="DPC42" s="0"/>
      <c r="DPD42" s="0"/>
      <c r="DPE42" s="0"/>
      <c r="DPF42" s="0"/>
      <c r="DPG42" s="0"/>
      <c r="DPH42" s="0"/>
      <c r="DPI42" s="0"/>
      <c r="DPJ42" s="0"/>
      <c r="DPK42" s="0"/>
      <c r="DPL42" s="0"/>
      <c r="DPM42" s="0"/>
      <c r="DPN42" s="0"/>
      <c r="DPO42" s="0"/>
      <c r="DPP42" s="0"/>
      <c r="DPQ42" s="0"/>
      <c r="DPR42" s="0"/>
      <c r="DPS42" s="0"/>
      <c r="DPT42" s="0"/>
      <c r="DPU42" s="0"/>
      <c r="DPV42" s="0"/>
      <c r="DPW42" s="0"/>
      <c r="DPX42" s="0"/>
      <c r="DPY42" s="0"/>
      <c r="DPZ42" s="0"/>
      <c r="DQA42" s="0"/>
      <c r="DQB42" s="0"/>
      <c r="DQC42" s="0"/>
      <c r="DQD42" s="0"/>
      <c r="DQE42" s="0"/>
      <c r="DQF42" s="0"/>
      <c r="DQG42" s="0"/>
      <c r="DQH42" s="0"/>
      <c r="DQI42" s="0"/>
      <c r="DQJ42" s="0"/>
      <c r="DQK42" s="0"/>
      <c r="DQL42" s="0"/>
      <c r="DQM42" s="0"/>
      <c r="DQN42" s="0"/>
      <c r="DQO42" s="0"/>
      <c r="DQP42" s="0"/>
      <c r="DQQ42" s="0"/>
      <c r="DQR42" s="0"/>
      <c r="DQS42" s="0"/>
      <c r="DQT42" s="0"/>
      <c r="DQU42" s="0"/>
      <c r="DQV42" s="0"/>
      <c r="DQW42" s="0"/>
      <c r="DQX42" s="0"/>
      <c r="DQY42" s="0"/>
      <c r="DQZ42" s="0"/>
      <c r="DRA42" s="0"/>
      <c r="DRB42" s="0"/>
      <c r="DRC42" s="0"/>
      <c r="DRD42" s="0"/>
      <c r="DRE42" s="0"/>
      <c r="DRF42" s="0"/>
      <c r="DRG42" s="0"/>
      <c r="DRH42" s="0"/>
      <c r="DRI42" s="0"/>
      <c r="DRJ42" s="0"/>
      <c r="DRK42" s="0"/>
      <c r="DRL42" s="0"/>
      <c r="DRM42" s="0"/>
      <c r="DRN42" s="0"/>
      <c r="DRO42" s="0"/>
      <c r="DRP42" s="0"/>
      <c r="DRQ42" s="0"/>
      <c r="DRR42" s="0"/>
      <c r="DRS42" s="0"/>
      <c r="DRT42" s="0"/>
      <c r="DRU42" s="0"/>
      <c r="DRV42" s="0"/>
      <c r="DRW42" s="0"/>
      <c r="DRX42" s="0"/>
      <c r="DRY42" s="0"/>
      <c r="DRZ42" s="0"/>
      <c r="DSA42" s="0"/>
      <c r="DSB42" s="0"/>
      <c r="DSC42" s="0"/>
      <c r="DSD42" s="0"/>
      <c r="DSE42" s="0"/>
      <c r="DSF42" s="0"/>
      <c r="DSG42" s="0"/>
      <c r="DSH42" s="0"/>
      <c r="DSI42" s="0"/>
      <c r="DSJ42" s="0"/>
      <c r="DSK42" s="0"/>
      <c r="DSL42" s="0"/>
      <c r="DSM42" s="0"/>
      <c r="DSN42" s="0"/>
      <c r="DSO42" s="0"/>
      <c r="DSP42" s="0"/>
      <c r="DSQ42" s="0"/>
      <c r="DSR42" s="0"/>
      <c r="DSS42" s="0"/>
      <c r="DST42" s="0"/>
      <c r="DSU42" s="0"/>
      <c r="DSV42" s="0"/>
      <c r="DSW42" s="0"/>
      <c r="DSX42" s="0"/>
      <c r="DSY42" s="0"/>
      <c r="DSZ42" s="0"/>
      <c r="DTA42" s="0"/>
      <c r="DTB42" s="0"/>
      <c r="DTC42" s="0"/>
      <c r="DTD42" s="0"/>
      <c r="DTE42" s="0"/>
      <c r="DTF42" s="0"/>
      <c r="DTG42" s="0"/>
      <c r="DTH42" s="0"/>
      <c r="DTI42" s="0"/>
      <c r="DTJ42" s="0"/>
      <c r="DTK42" s="0"/>
      <c r="DTL42" s="0"/>
      <c r="DTM42" s="0"/>
      <c r="DTN42" s="0"/>
      <c r="DTO42" s="0"/>
      <c r="DTP42" s="0"/>
      <c r="DTQ42" s="0"/>
      <c r="DTR42" s="0"/>
      <c r="DTS42" s="0"/>
      <c r="DTT42" s="0"/>
      <c r="DTU42" s="0"/>
      <c r="DTV42" s="0"/>
      <c r="DTW42" s="0"/>
      <c r="DTX42" s="0"/>
      <c r="DTY42" s="0"/>
      <c r="DTZ42" s="0"/>
      <c r="DUA42" s="0"/>
      <c r="DUB42" s="0"/>
      <c r="DUC42" s="0"/>
      <c r="DUD42" s="0"/>
      <c r="DUE42" s="0"/>
      <c r="DUF42" s="0"/>
      <c r="DUG42" s="0"/>
      <c r="DUH42" s="0"/>
      <c r="DUI42" s="0"/>
      <c r="DUJ42" s="0"/>
      <c r="DUK42" s="0"/>
      <c r="DUL42" s="0"/>
      <c r="DUM42" s="0"/>
      <c r="DUN42" s="0"/>
      <c r="DUO42" s="0"/>
      <c r="DUP42" s="0"/>
      <c r="DUQ42" s="0"/>
      <c r="DUR42" s="0"/>
      <c r="DUS42" s="0"/>
      <c r="DUT42" s="0"/>
      <c r="DUU42" s="0"/>
      <c r="DUV42" s="0"/>
      <c r="DUW42" s="0"/>
      <c r="DUX42" s="0"/>
      <c r="DUY42" s="0"/>
      <c r="DUZ42" s="0"/>
      <c r="DVA42" s="0"/>
      <c r="DVB42" s="0"/>
      <c r="DVC42" s="0"/>
      <c r="DVD42" s="0"/>
      <c r="DVE42" s="0"/>
      <c r="DVF42" s="0"/>
      <c r="DVG42" s="0"/>
      <c r="DVH42" s="0"/>
      <c r="DVI42" s="0"/>
      <c r="DVJ42" s="0"/>
      <c r="DVK42" s="0"/>
      <c r="DVL42" s="0"/>
      <c r="DVM42" s="0"/>
      <c r="DVN42" s="0"/>
      <c r="DVO42" s="0"/>
      <c r="DVP42" s="0"/>
      <c r="DVQ42" s="0"/>
      <c r="DVR42" s="0"/>
      <c r="DVS42" s="0"/>
      <c r="DVT42" s="0"/>
      <c r="DVU42" s="0"/>
      <c r="DVV42" s="0"/>
      <c r="DVW42" s="0"/>
      <c r="DVX42" s="0"/>
      <c r="DVY42" s="0"/>
      <c r="DVZ42" s="0"/>
      <c r="DWA42" s="0"/>
      <c r="DWB42" s="0"/>
      <c r="DWC42" s="0"/>
      <c r="DWD42" s="0"/>
      <c r="DWE42" s="0"/>
      <c r="DWF42" s="0"/>
      <c r="DWG42" s="0"/>
      <c r="DWH42" s="0"/>
      <c r="DWI42" s="0"/>
      <c r="DWJ42" s="0"/>
      <c r="DWK42" s="0"/>
      <c r="DWL42" s="0"/>
      <c r="DWM42" s="0"/>
      <c r="DWN42" s="0"/>
      <c r="DWO42" s="0"/>
      <c r="DWP42" s="0"/>
      <c r="DWQ42" s="0"/>
      <c r="DWR42" s="0"/>
      <c r="DWS42" s="0"/>
      <c r="DWT42" s="0"/>
      <c r="DWU42" s="0"/>
      <c r="DWV42" s="0"/>
      <c r="DWW42" s="0"/>
      <c r="DWX42" s="0"/>
      <c r="DWY42" s="0"/>
      <c r="DWZ42" s="0"/>
      <c r="DXA42" s="0"/>
      <c r="DXB42" s="0"/>
      <c r="DXC42" s="0"/>
      <c r="DXD42" s="0"/>
      <c r="DXE42" s="0"/>
      <c r="DXF42" s="0"/>
      <c r="DXG42" s="0"/>
      <c r="DXH42" s="0"/>
      <c r="DXI42" s="0"/>
      <c r="DXJ42" s="0"/>
      <c r="DXK42" s="0"/>
      <c r="DXL42" s="0"/>
      <c r="DXM42" s="0"/>
      <c r="DXN42" s="0"/>
      <c r="DXO42" s="0"/>
      <c r="DXP42" s="0"/>
      <c r="DXQ42" s="0"/>
      <c r="DXR42" s="0"/>
      <c r="DXS42" s="0"/>
      <c r="DXT42" s="0"/>
      <c r="DXU42" s="0"/>
      <c r="DXV42" s="0"/>
      <c r="DXW42" s="0"/>
      <c r="DXX42" s="0"/>
      <c r="DXY42" s="0"/>
      <c r="DXZ42" s="0"/>
      <c r="DYA42" s="0"/>
      <c r="DYB42" s="0"/>
      <c r="DYC42" s="0"/>
      <c r="DYD42" s="0"/>
      <c r="DYE42" s="0"/>
      <c r="DYF42" s="0"/>
      <c r="DYG42" s="0"/>
      <c r="DYH42" s="0"/>
      <c r="DYI42" s="0"/>
      <c r="DYJ42" s="0"/>
      <c r="DYK42" s="0"/>
      <c r="DYL42" s="0"/>
      <c r="DYM42" s="0"/>
      <c r="DYN42" s="0"/>
      <c r="DYO42" s="0"/>
      <c r="DYP42" s="0"/>
      <c r="DYQ42" s="0"/>
      <c r="DYR42" s="0"/>
      <c r="DYS42" s="0"/>
      <c r="DYT42" s="0"/>
      <c r="DYU42" s="0"/>
      <c r="DYV42" s="0"/>
      <c r="DYW42" s="0"/>
      <c r="DYX42" s="0"/>
      <c r="DYY42" s="0"/>
      <c r="DYZ42" s="0"/>
      <c r="DZA42" s="0"/>
      <c r="DZB42" s="0"/>
      <c r="DZC42" s="0"/>
      <c r="DZD42" s="0"/>
      <c r="DZE42" s="0"/>
      <c r="DZF42" s="0"/>
      <c r="DZG42" s="0"/>
      <c r="DZH42" s="0"/>
      <c r="DZI42" s="0"/>
      <c r="DZJ42" s="0"/>
      <c r="DZK42" s="0"/>
      <c r="DZL42" s="0"/>
      <c r="DZM42" s="0"/>
      <c r="DZN42" s="0"/>
      <c r="DZO42" s="0"/>
      <c r="DZP42" s="0"/>
      <c r="DZQ42" s="0"/>
      <c r="DZR42" s="0"/>
      <c r="DZS42" s="0"/>
      <c r="DZT42" s="0"/>
      <c r="DZU42" s="0"/>
      <c r="DZV42" s="0"/>
      <c r="DZW42" s="0"/>
      <c r="DZX42" s="0"/>
      <c r="DZY42" s="0"/>
      <c r="DZZ42" s="0"/>
      <c r="EAA42" s="0"/>
      <c r="EAB42" s="0"/>
      <c r="EAC42" s="0"/>
      <c r="EAD42" s="0"/>
      <c r="EAE42" s="0"/>
      <c r="EAF42" s="0"/>
      <c r="EAG42" s="0"/>
      <c r="EAH42" s="0"/>
      <c r="EAI42" s="0"/>
      <c r="EAJ42" s="0"/>
      <c r="EAK42" s="0"/>
      <c r="EAL42" s="0"/>
      <c r="EAM42" s="0"/>
      <c r="EAN42" s="0"/>
      <c r="EAO42" s="0"/>
      <c r="EAP42" s="0"/>
      <c r="EAQ42" s="0"/>
      <c r="EAR42" s="0"/>
      <c r="EAS42" s="0"/>
      <c r="EAT42" s="0"/>
      <c r="EAU42" s="0"/>
      <c r="EAV42" s="0"/>
      <c r="EAW42" s="0"/>
      <c r="EAX42" s="0"/>
      <c r="EAY42" s="0"/>
      <c r="EAZ42" s="0"/>
      <c r="EBA42" s="0"/>
      <c r="EBB42" s="0"/>
      <c r="EBC42" s="0"/>
      <c r="EBD42" s="0"/>
      <c r="EBE42" s="0"/>
      <c r="EBF42" s="0"/>
      <c r="EBG42" s="0"/>
      <c r="EBH42" s="0"/>
      <c r="EBI42" s="0"/>
      <c r="EBJ42" s="0"/>
      <c r="EBK42" s="0"/>
      <c r="EBL42" s="0"/>
      <c r="EBM42" s="0"/>
      <c r="EBN42" s="0"/>
      <c r="EBO42" s="0"/>
      <c r="EBP42" s="0"/>
      <c r="EBQ42" s="0"/>
      <c r="EBR42" s="0"/>
      <c r="EBS42" s="0"/>
      <c r="EBT42" s="0"/>
      <c r="EBU42" s="0"/>
      <c r="EBV42" s="0"/>
      <c r="EBW42" s="0"/>
      <c r="EBX42" s="0"/>
      <c r="EBY42" s="0"/>
      <c r="EBZ42" s="0"/>
      <c r="ECA42" s="0"/>
      <c r="ECB42" s="0"/>
      <c r="ECC42" s="0"/>
      <c r="ECD42" s="0"/>
      <c r="ECE42" s="0"/>
      <c r="ECF42" s="0"/>
      <c r="ECG42" s="0"/>
      <c r="ECH42" s="0"/>
      <c r="ECI42" s="0"/>
      <c r="ECJ42" s="0"/>
      <c r="ECK42" s="0"/>
      <c r="ECL42" s="0"/>
      <c r="ECM42" s="0"/>
      <c r="ECN42" s="0"/>
      <c r="ECO42" s="0"/>
      <c r="ECP42" s="0"/>
      <c r="ECQ42" s="0"/>
      <c r="ECR42" s="0"/>
      <c r="ECS42" s="0"/>
      <c r="ECT42" s="0"/>
      <c r="ECU42" s="0"/>
      <c r="ECV42" s="0"/>
      <c r="ECW42" s="0"/>
      <c r="ECX42" s="0"/>
      <c r="ECY42" s="0"/>
      <c r="ECZ42" s="0"/>
      <c r="EDA42" s="0"/>
      <c r="EDB42" s="0"/>
      <c r="EDC42" s="0"/>
      <c r="EDD42" s="0"/>
      <c r="EDE42" s="0"/>
      <c r="EDF42" s="0"/>
      <c r="EDG42" s="0"/>
      <c r="EDH42" s="0"/>
      <c r="EDI42" s="0"/>
      <c r="EDJ42" s="0"/>
      <c r="EDK42" s="0"/>
      <c r="EDL42" s="0"/>
      <c r="EDM42" s="0"/>
      <c r="EDN42" s="0"/>
      <c r="EDO42" s="0"/>
      <c r="EDP42" s="0"/>
      <c r="EDQ42" s="0"/>
      <c r="EDR42" s="0"/>
      <c r="EDS42" s="0"/>
      <c r="EDT42" s="0"/>
      <c r="EDU42" s="0"/>
      <c r="EDV42" s="0"/>
      <c r="EDW42" s="0"/>
      <c r="EDX42" s="0"/>
      <c r="EDY42" s="0"/>
      <c r="EDZ42" s="0"/>
      <c r="EEA42" s="0"/>
      <c r="EEB42" s="0"/>
      <c r="EEC42" s="0"/>
      <c r="EED42" s="0"/>
      <c r="EEE42" s="0"/>
      <c r="EEF42" s="0"/>
      <c r="EEG42" s="0"/>
      <c r="EEH42" s="0"/>
      <c r="EEI42" s="0"/>
      <c r="EEJ42" s="0"/>
      <c r="EEK42" s="0"/>
      <c r="EEL42" s="0"/>
      <c r="EEM42" s="0"/>
      <c r="EEN42" s="0"/>
      <c r="EEO42" s="0"/>
      <c r="EEP42" s="0"/>
      <c r="EEQ42" s="0"/>
      <c r="EER42" s="0"/>
      <c r="EES42" s="0"/>
      <c r="EET42" s="0"/>
      <c r="EEU42" s="0"/>
      <c r="EEV42" s="0"/>
      <c r="EEW42" s="0"/>
      <c r="EEX42" s="0"/>
      <c r="EEY42" s="0"/>
      <c r="EEZ42" s="0"/>
      <c r="EFA42" s="0"/>
      <c r="EFB42" s="0"/>
      <c r="EFC42" s="0"/>
      <c r="EFD42" s="0"/>
      <c r="EFE42" s="0"/>
      <c r="EFF42" s="0"/>
      <c r="EFG42" s="0"/>
      <c r="EFH42" s="0"/>
      <c r="EFI42" s="0"/>
      <c r="EFJ42" s="0"/>
      <c r="EFK42" s="0"/>
      <c r="EFL42" s="0"/>
      <c r="EFM42" s="0"/>
      <c r="EFN42" s="0"/>
      <c r="EFO42" s="0"/>
      <c r="EFP42" s="0"/>
      <c r="EFQ42" s="0"/>
      <c r="EFR42" s="0"/>
      <c r="EFS42" s="0"/>
      <c r="EFT42" s="0"/>
      <c r="EFU42" s="0"/>
      <c r="EFV42" s="0"/>
      <c r="EFW42" s="0"/>
      <c r="EFX42" s="0"/>
      <c r="EFY42" s="0"/>
      <c r="EFZ42" s="0"/>
      <c r="EGA42" s="0"/>
      <c r="EGB42" s="0"/>
      <c r="EGC42" s="0"/>
      <c r="EGD42" s="0"/>
      <c r="EGE42" s="0"/>
      <c r="EGF42" s="0"/>
      <c r="EGG42" s="0"/>
      <c r="EGH42" s="0"/>
      <c r="EGI42" s="0"/>
      <c r="EGJ42" s="0"/>
      <c r="EGK42" s="0"/>
      <c r="EGL42" s="0"/>
      <c r="EGM42" s="0"/>
      <c r="EGN42" s="0"/>
      <c r="EGO42" s="0"/>
      <c r="EGP42" s="0"/>
      <c r="EGQ42" s="0"/>
      <c r="EGR42" s="0"/>
      <c r="EGS42" s="0"/>
      <c r="EGT42" s="0"/>
      <c r="EGU42" s="0"/>
      <c r="EGV42" s="0"/>
      <c r="EGW42" s="0"/>
      <c r="EGX42" s="0"/>
      <c r="EGY42" s="0"/>
      <c r="EGZ42" s="0"/>
      <c r="EHA42" s="0"/>
      <c r="EHB42" s="0"/>
      <c r="EHC42" s="0"/>
      <c r="EHD42" s="0"/>
      <c r="EHE42" s="0"/>
      <c r="EHF42" s="0"/>
      <c r="EHG42" s="0"/>
      <c r="EHH42" s="0"/>
      <c r="EHI42" s="0"/>
      <c r="EHJ42" s="0"/>
      <c r="EHK42" s="0"/>
      <c r="EHL42" s="0"/>
      <c r="EHM42" s="0"/>
      <c r="EHN42" s="0"/>
      <c r="EHO42" s="0"/>
      <c r="EHP42" s="0"/>
      <c r="EHQ42" s="0"/>
      <c r="EHR42" s="0"/>
      <c r="EHS42" s="0"/>
      <c r="EHT42" s="0"/>
      <c r="EHU42" s="0"/>
      <c r="EHV42" s="0"/>
      <c r="EHW42" s="0"/>
      <c r="EHX42" s="0"/>
      <c r="EHY42" s="0"/>
      <c r="EHZ42" s="0"/>
      <c r="EIA42" s="0"/>
      <c r="EIB42" s="0"/>
      <c r="EIC42" s="0"/>
      <c r="EID42" s="0"/>
      <c r="EIE42" s="0"/>
      <c r="EIF42" s="0"/>
      <c r="EIG42" s="0"/>
      <c r="EIH42" s="0"/>
      <c r="EII42" s="0"/>
      <c r="EIJ42" s="0"/>
      <c r="EIK42" s="0"/>
      <c r="EIL42" s="0"/>
      <c r="EIM42" s="0"/>
      <c r="EIN42" s="0"/>
      <c r="EIO42" s="0"/>
      <c r="EIP42" s="0"/>
      <c r="EIQ42" s="0"/>
      <c r="EIR42" s="0"/>
      <c r="EIS42" s="0"/>
      <c r="EIT42" s="0"/>
      <c r="EIU42" s="0"/>
      <c r="EIV42" s="0"/>
      <c r="EIW42" s="0"/>
      <c r="EIX42" s="0"/>
      <c r="EIY42" s="0"/>
      <c r="EIZ42" s="0"/>
      <c r="EJA42" s="0"/>
      <c r="EJB42" s="0"/>
      <c r="EJC42" s="0"/>
      <c r="EJD42" s="0"/>
      <c r="EJE42" s="0"/>
      <c r="EJF42" s="0"/>
      <c r="EJG42" s="0"/>
      <c r="EJH42" s="0"/>
      <c r="EJI42" s="0"/>
      <c r="EJJ42" s="0"/>
      <c r="EJK42" s="0"/>
      <c r="EJL42" s="0"/>
      <c r="EJM42" s="0"/>
      <c r="EJN42" s="0"/>
      <c r="EJO42" s="0"/>
      <c r="EJP42" s="0"/>
      <c r="EJQ42" s="0"/>
      <c r="EJR42" s="0"/>
      <c r="EJS42" s="0"/>
      <c r="EJT42" s="0"/>
      <c r="EJU42" s="0"/>
      <c r="EJV42" s="0"/>
      <c r="EJW42" s="0"/>
      <c r="EJX42" s="0"/>
      <c r="EJY42" s="0"/>
      <c r="EJZ42" s="0"/>
      <c r="EKA42" s="0"/>
      <c r="EKB42" s="0"/>
      <c r="EKC42" s="0"/>
      <c r="EKD42" s="0"/>
      <c r="EKE42" s="0"/>
      <c r="EKF42" s="0"/>
      <c r="EKG42" s="0"/>
      <c r="EKH42" s="0"/>
      <c r="EKI42" s="0"/>
      <c r="EKJ42" s="0"/>
      <c r="EKK42" s="0"/>
      <c r="EKL42" s="0"/>
      <c r="EKM42" s="0"/>
      <c r="EKN42" s="0"/>
      <c r="EKO42" s="0"/>
      <c r="EKP42" s="0"/>
      <c r="EKQ42" s="0"/>
      <c r="EKR42" s="0"/>
      <c r="EKS42" s="0"/>
      <c r="EKT42" s="0"/>
      <c r="EKU42" s="0"/>
      <c r="EKV42" s="0"/>
      <c r="EKW42" s="0"/>
      <c r="EKX42" s="0"/>
      <c r="EKY42" s="0"/>
      <c r="EKZ42" s="0"/>
      <c r="ELA42" s="0"/>
      <c r="ELB42" s="0"/>
      <c r="ELC42" s="0"/>
      <c r="ELD42" s="0"/>
      <c r="ELE42" s="0"/>
      <c r="ELF42" s="0"/>
      <c r="ELG42" s="0"/>
      <c r="ELH42" s="0"/>
      <c r="ELI42" s="0"/>
      <c r="ELJ42" s="0"/>
      <c r="ELK42" s="0"/>
      <c r="ELL42" s="0"/>
      <c r="ELM42" s="0"/>
      <c r="ELN42" s="0"/>
      <c r="ELO42" s="0"/>
      <c r="ELP42" s="0"/>
      <c r="ELQ42" s="0"/>
      <c r="ELR42" s="0"/>
      <c r="ELS42" s="0"/>
      <c r="ELT42" s="0"/>
      <c r="ELU42" s="0"/>
      <c r="ELV42" s="0"/>
      <c r="ELW42" s="0"/>
      <c r="ELX42" s="0"/>
      <c r="ELY42" s="0"/>
      <c r="ELZ42" s="0"/>
      <c r="EMA42" s="0"/>
      <c r="EMB42" s="0"/>
      <c r="EMC42" s="0"/>
      <c r="EMD42" s="0"/>
      <c r="EME42" s="0"/>
      <c r="EMF42" s="0"/>
      <c r="EMG42" s="0"/>
      <c r="EMH42" s="0"/>
      <c r="EMI42" s="0"/>
      <c r="EMJ42" s="0"/>
      <c r="EMK42" s="0"/>
      <c r="EML42" s="0"/>
      <c r="EMM42" s="0"/>
      <c r="EMN42" s="0"/>
      <c r="EMO42" s="0"/>
      <c r="EMP42" s="0"/>
      <c r="EMQ42" s="0"/>
      <c r="EMR42" s="0"/>
      <c r="EMS42" s="0"/>
      <c r="EMT42" s="0"/>
      <c r="EMU42" s="0"/>
      <c r="EMV42" s="0"/>
      <c r="EMW42" s="0"/>
      <c r="EMX42" s="0"/>
      <c r="EMY42" s="0"/>
      <c r="EMZ42" s="0"/>
      <c r="ENA42" s="0"/>
      <c r="ENB42" s="0"/>
      <c r="ENC42" s="0"/>
      <c r="END42" s="0"/>
      <c r="ENE42" s="0"/>
      <c r="ENF42" s="0"/>
      <c r="ENG42" s="0"/>
      <c r="ENH42" s="0"/>
      <c r="ENI42" s="0"/>
      <c r="ENJ42" s="0"/>
      <c r="ENK42" s="0"/>
      <c r="ENL42" s="0"/>
      <c r="ENM42" s="0"/>
      <c r="ENN42" s="0"/>
      <c r="ENO42" s="0"/>
      <c r="ENP42" s="0"/>
      <c r="ENQ42" s="0"/>
      <c r="ENR42" s="0"/>
      <c r="ENS42" s="0"/>
      <c r="ENT42" s="0"/>
      <c r="ENU42" s="0"/>
      <c r="ENV42" s="0"/>
      <c r="ENW42" s="0"/>
      <c r="ENX42" s="0"/>
      <c r="ENY42" s="0"/>
      <c r="ENZ42" s="0"/>
      <c r="EOA42" s="0"/>
      <c r="EOB42" s="0"/>
      <c r="EOC42" s="0"/>
      <c r="EOD42" s="0"/>
      <c r="EOE42" s="0"/>
      <c r="EOF42" s="0"/>
      <c r="EOG42" s="0"/>
      <c r="EOH42" s="0"/>
      <c r="EOI42" s="0"/>
      <c r="EOJ42" s="0"/>
      <c r="EOK42" s="0"/>
      <c r="EOL42" s="0"/>
      <c r="EOM42" s="0"/>
      <c r="EON42" s="0"/>
      <c r="EOO42" s="0"/>
      <c r="EOP42" s="0"/>
      <c r="EOQ42" s="0"/>
      <c r="EOR42" s="0"/>
      <c r="EOS42" s="0"/>
      <c r="EOT42" s="0"/>
      <c r="EOU42" s="0"/>
      <c r="EOV42" s="0"/>
      <c r="EOW42" s="0"/>
      <c r="EOX42" s="0"/>
      <c r="EOY42" s="0"/>
      <c r="EOZ42" s="0"/>
      <c r="EPA42" s="0"/>
      <c r="EPB42" s="0"/>
      <c r="EPC42" s="0"/>
      <c r="EPD42" s="0"/>
      <c r="EPE42" s="0"/>
      <c r="EPF42" s="0"/>
      <c r="EPG42" s="0"/>
      <c r="EPH42" s="0"/>
      <c r="EPI42" s="0"/>
      <c r="EPJ42" s="0"/>
      <c r="EPK42" s="0"/>
      <c r="EPL42" s="0"/>
      <c r="EPM42" s="0"/>
      <c r="EPN42" s="0"/>
      <c r="EPO42" s="0"/>
      <c r="EPP42" s="0"/>
      <c r="EPQ42" s="0"/>
      <c r="EPR42" s="0"/>
      <c r="EPS42" s="0"/>
      <c r="EPT42" s="0"/>
      <c r="EPU42" s="0"/>
      <c r="EPV42" s="0"/>
      <c r="EPW42" s="0"/>
      <c r="EPX42" s="0"/>
      <c r="EPY42" s="0"/>
      <c r="EPZ42" s="0"/>
      <c r="EQA42" s="0"/>
      <c r="EQB42" s="0"/>
      <c r="EQC42" s="0"/>
      <c r="EQD42" s="0"/>
      <c r="EQE42" s="0"/>
      <c r="EQF42" s="0"/>
      <c r="EQG42" s="0"/>
      <c r="EQH42" s="0"/>
      <c r="EQI42" s="0"/>
      <c r="EQJ42" s="0"/>
      <c r="EQK42" s="0"/>
      <c r="EQL42" s="0"/>
      <c r="EQM42" s="0"/>
      <c r="EQN42" s="0"/>
      <c r="EQO42" s="0"/>
      <c r="EQP42" s="0"/>
      <c r="EQQ42" s="0"/>
      <c r="EQR42" s="0"/>
      <c r="EQS42" s="0"/>
      <c r="EQT42" s="0"/>
      <c r="EQU42" s="0"/>
      <c r="EQV42" s="0"/>
      <c r="EQW42" s="0"/>
      <c r="EQX42" s="0"/>
      <c r="EQY42" s="0"/>
      <c r="EQZ42" s="0"/>
      <c r="ERA42" s="0"/>
      <c r="ERB42" s="0"/>
      <c r="ERC42" s="0"/>
      <c r="ERD42" s="0"/>
      <c r="ERE42" s="0"/>
      <c r="ERF42" s="0"/>
      <c r="ERG42" s="0"/>
      <c r="ERH42" s="0"/>
      <c r="ERI42" s="0"/>
      <c r="ERJ42" s="0"/>
      <c r="ERK42" s="0"/>
      <c r="ERL42" s="0"/>
      <c r="ERM42" s="0"/>
      <c r="ERN42" s="0"/>
      <c r="ERO42" s="0"/>
      <c r="ERP42" s="0"/>
      <c r="ERQ42" s="0"/>
      <c r="ERR42" s="0"/>
      <c r="ERS42" s="0"/>
      <c r="ERT42" s="0"/>
      <c r="ERU42" s="0"/>
      <c r="ERV42" s="0"/>
      <c r="ERW42" s="0"/>
      <c r="ERX42" s="0"/>
      <c r="ERY42" s="0"/>
      <c r="ERZ42" s="0"/>
      <c r="ESA42" s="0"/>
      <c r="ESB42" s="0"/>
      <c r="ESC42" s="0"/>
      <c r="ESD42" s="0"/>
      <c r="ESE42" s="0"/>
      <c r="ESF42" s="0"/>
      <c r="ESG42" s="0"/>
      <c r="ESH42" s="0"/>
      <c r="ESI42" s="0"/>
      <c r="ESJ42" s="0"/>
      <c r="ESK42" s="0"/>
      <c r="ESL42" s="0"/>
      <c r="ESM42" s="0"/>
      <c r="ESN42" s="0"/>
      <c r="ESO42" s="0"/>
      <c r="ESP42" s="0"/>
      <c r="ESQ42" s="0"/>
      <c r="ESR42" s="0"/>
      <c r="ESS42" s="0"/>
      <c r="EST42" s="0"/>
      <c r="ESU42" s="0"/>
      <c r="ESV42" s="0"/>
      <c r="ESW42" s="0"/>
      <c r="ESX42" s="0"/>
      <c r="ESY42" s="0"/>
      <c r="ESZ42" s="0"/>
      <c r="ETA42" s="0"/>
      <c r="ETB42" s="0"/>
      <c r="ETC42" s="0"/>
      <c r="ETD42" s="0"/>
      <c r="ETE42" s="0"/>
      <c r="ETF42" s="0"/>
      <c r="ETG42" s="0"/>
      <c r="ETH42" s="0"/>
      <c r="ETI42" s="0"/>
      <c r="ETJ42" s="0"/>
      <c r="ETK42" s="0"/>
      <c r="ETL42" s="0"/>
      <c r="ETM42" s="0"/>
      <c r="ETN42" s="0"/>
      <c r="ETO42" s="0"/>
      <c r="ETP42" s="0"/>
      <c r="ETQ42" s="0"/>
      <c r="ETR42" s="0"/>
      <c r="ETS42" s="0"/>
      <c r="ETT42" s="0"/>
      <c r="ETU42" s="0"/>
      <c r="ETV42" s="0"/>
      <c r="ETW42" s="0"/>
      <c r="ETX42" s="0"/>
      <c r="ETY42" s="0"/>
      <c r="ETZ42" s="0"/>
      <c r="EUA42" s="0"/>
      <c r="EUB42" s="0"/>
      <c r="EUC42" s="0"/>
      <c r="EUD42" s="0"/>
      <c r="EUE42" s="0"/>
      <c r="EUF42" s="0"/>
      <c r="EUG42" s="0"/>
      <c r="EUH42" s="0"/>
      <c r="EUI42" s="0"/>
      <c r="EUJ42" s="0"/>
      <c r="EUK42" s="0"/>
      <c r="EUL42" s="0"/>
      <c r="EUM42" s="0"/>
      <c r="EUN42" s="0"/>
      <c r="EUO42" s="0"/>
      <c r="EUP42" s="0"/>
      <c r="EUQ42" s="0"/>
      <c r="EUR42" s="0"/>
      <c r="EUS42" s="0"/>
      <c r="EUT42" s="0"/>
      <c r="EUU42" s="0"/>
      <c r="EUV42" s="0"/>
      <c r="EUW42" s="0"/>
      <c r="EUX42" s="0"/>
      <c r="EUY42" s="0"/>
      <c r="EUZ42" s="0"/>
      <c r="EVA42" s="0"/>
      <c r="EVB42" s="0"/>
      <c r="EVC42" s="0"/>
      <c r="EVD42" s="0"/>
      <c r="EVE42" s="0"/>
      <c r="EVF42" s="0"/>
      <c r="EVG42" s="0"/>
      <c r="EVH42" s="0"/>
      <c r="EVI42" s="0"/>
      <c r="EVJ42" s="0"/>
      <c r="EVK42" s="0"/>
      <c r="EVL42" s="0"/>
      <c r="EVM42" s="0"/>
      <c r="EVN42" s="0"/>
      <c r="EVO42" s="0"/>
      <c r="EVP42" s="0"/>
      <c r="EVQ42" s="0"/>
      <c r="EVR42" s="0"/>
      <c r="EVS42" s="0"/>
      <c r="EVT42" s="0"/>
      <c r="EVU42" s="0"/>
      <c r="EVV42" s="0"/>
      <c r="EVW42" s="0"/>
      <c r="EVX42" s="0"/>
      <c r="EVY42" s="0"/>
      <c r="EVZ42" s="0"/>
      <c r="EWA42" s="0"/>
      <c r="EWB42" s="0"/>
      <c r="EWC42" s="0"/>
      <c r="EWD42" s="0"/>
      <c r="EWE42" s="0"/>
      <c r="EWF42" s="0"/>
      <c r="EWG42" s="0"/>
      <c r="EWH42" s="0"/>
      <c r="EWI42" s="0"/>
      <c r="EWJ42" s="0"/>
      <c r="EWK42" s="0"/>
      <c r="EWL42" s="0"/>
      <c r="EWM42" s="0"/>
      <c r="EWN42" s="0"/>
      <c r="EWO42" s="0"/>
      <c r="EWP42" s="0"/>
      <c r="EWQ42" s="0"/>
      <c r="EWR42" s="0"/>
      <c r="EWS42" s="0"/>
      <c r="EWT42" s="0"/>
      <c r="EWU42" s="0"/>
      <c r="EWV42" s="0"/>
      <c r="EWW42" s="0"/>
      <c r="EWX42" s="0"/>
      <c r="EWY42" s="0"/>
      <c r="EWZ42" s="0"/>
      <c r="EXA42" s="0"/>
      <c r="EXB42" s="0"/>
      <c r="EXC42" s="0"/>
      <c r="EXD42" s="0"/>
      <c r="EXE42" s="0"/>
      <c r="EXF42" s="0"/>
      <c r="EXG42" s="0"/>
      <c r="EXH42" s="0"/>
      <c r="EXI42" s="0"/>
      <c r="EXJ42" s="0"/>
      <c r="EXK42" s="0"/>
      <c r="EXL42" s="0"/>
      <c r="EXM42" s="0"/>
      <c r="EXN42" s="0"/>
      <c r="EXO42" s="0"/>
      <c r="EXP42" s="0"/>
      <c r="EXQ42" s="0"/>
      <c r="EXR42" s="0"/>
      <c r="EXS42" s="0"/>
      <c r="EXT42" s="0"/>
      <c r="EXU42" s="0"/>
      <c r="EXV42" s="0"/>
      <c r="EXW42" s="0"/>
      <c r="EXX42" s="0"/>
      <c r="EXY42" s="0"/>
      <c r="EXZ42" s="0"/>
      <c r="EYA42" s="0"/>
      <c r="EYB42" s="0"/>
      <c r="EYC42" s="0"/>
      <c r="EYD42" s="0"/>
      <c r="EYE42" s="0"/>
      <c r="EYF42" s="0"/>
      <c r="EYG42" s="0"/>
      <c r="EYH42" s="0"/>
      <c r="EYI42" s="0"/>
      <c r="EYJ42" s="0"/>
      <c r="EYK42" s="0"/>
      <c r="EYL42" s="0"/>
      <c r="EYM42" s="0"/>
      <c r="EYN42" s="0"/>
      <c r="EYO42" s="0"/>
      <c r="EYP42" s="0"/>
      <c r="EYQ42" s="0"/>
      <c r="EYR42" s="0"/>
      <c r="EYS42" s="0"/>
      <c r="EYT42" s="0"/>
      <c r="EYU42" s="0"/>
      <c r="EYV42" s="0"/>
      <c r="EYW42" s="0"/>
      <c r="EYX42" s="0"/>
      <c r="EYY42" s="0"/>
      <c r="EYZ42" s="0"/>
      <c r="EZA42" s="0"/>
      <c r="EZB42" s="0"/>
      <c r="EZC42" s="0"/>
      <c r="EZD42" s="0"/>
      <c r="EZE42" s="0"/>
      <c r="EZF42" s="0"/>
      <c r="EZG42" s="0"/>
      <c r="EZH42" s="0"/>
      <c r="EZI42" s="0"/>
      <c r="EZJ42" s="0"/>
      <c r="EZK42" s="0"/>
      <c r="EZL42" s="0"/>
      <c r="EZM42" s="0"/>
      <c r="EZN42" s="0"/>
      <c r="EZO42" s="0"/>
      <c r="EZP42" s="0"/>
      <c r="EZQ42" s="0"/>
      <c r="EZR42" s="0"/>
      <c r="EZS42" s="0"/>
      <c r="EZT42" s="0"/>
      <c r="EZU42" s="0"/>
      <c r="EZV42" s="0"/>
      <c r="EZW42" s="0"/>
      <c r="EZX42" s="0"/>
      <c r="EZY42" s="0"/>
      <c r="EZZ42" s="0"/>
      <c r="FAA42" s="0"/>
      <c r="FAB42" s="0"/>
      <c r="FAC42" s="0"/>
      <c r="FAD42" s="0"/>
      <c r="FAE42" s="0"/>
      <c r="FAF42" s="0"/>
      <c r="FAG42" s="0"/>
      <c r="FAH42" s="0"/>
      <c r="FAI42" s="0"/>
      <c r="FAJ42" s="0"/>
      <c r="FAK42" s="0"/>
      <c r="FAL42" s="0"/>
      <c r="FAM42" s="0"/>
      <c r="FAN42" s="0"/>
      <c r="FAO42" s="0"/>
      <c r="FAP42" s="0"/>
      <c r="FAQ42" s="0"/>
      <c r="FAR42" s="0"/>
      <c r="FAS42" s="0"/>
      <c r="FAT42" s="0"/>
      <c r="FAU42" s="0"/>
      <c r="FAV42" s="0"/>
      <c r="FAW42" s="0"/>
      <c r="FAX42" s="0"/>
      <c r="FAY42" s="0"/>
      <c r="FAZ42" s="0"/>
      <c r="FBA42" s="0"/>
      <c r="FBB42" s="0"/>
      <c r="FBC42" s="0"/>
      <c r="FBD42" s="0"/>
      <c r="FBE42" s="0"/>
      <c r="FBF42" s="0"/>
      <c r="FBG42" s="0"/>
      <c r="FBH42" s="0"/>
      <c r="FBI42" s="0"/>
      <c r="FBJ42" s="0"/>
      <c r="FBK42" s="0"/>
      <c r="FBL42" s="0"/>
      <c r="FBM42" s="0"/>
      <c r="FBN42" s="0"/>
      <c r="FBO42" s="0"/>
      <c r="FBP42" s="0"/>
      <c r="FBQ42" s="0"/>
      <c r="FBR42" s="0"/>
      <c r="FBS42" s="0"/>
      <c r="FBT42" s="0"/>
      <c r="FBU42" s="0"/>
      <c r="FBV42" s="0"/>
      <c r="FBW42" s="0"/>
      <c r="FBX42" s="0"/>
      <c r="FBY42" s="0"/>
      <c r="FBZ42" s="0"/>
      <c r="FCA42" s="0"/>
      <c r="FCB42" s="0"/>
      <c r="FCC42" s="0"/>
      <c r="FCD42" s="0"/>
      <c r="FCE42" s="0"/>
      <c r="FCF42" s="0"/>
      <c r="FCG42" s="0"/>
      <c r="FCH42" s="0"/>
      <c r="FCI42" s="0"/>
      <c r="FCJ42" s="0"/>
      <c r="FCK42" s="0"/>
      <c r="FCL42" s="0"/>
      <c r="FCM42" s="0"/>
      <c r="FCN42" s="0"/>
      <c r="FCO42" s="0"/>
      <c r="FCP42" s="0"/>
      <c r="FCQ42" s="0"/>
      <c r="FCR42" s="0"/>
      <c r="FCS42" s="0"/>
      <c r="FCT42" s="0"/>
      <c r="FCU42" s="0"/>
      <c r="FCV42" s="0"/>
      <c r="FCW42" s="0"/>
      <c r="FCX42" s="0"/>
      <c r="FCY42" s="0"/>
      <c r="FCZ42" s="0"/>
      <c r="FDA42" s="0"/>
      <c r="FDB42" s="0"/>
      <c r="FDC42" s="0"/>
      <c r="FDD42" s="0"/>
      <c r="FDE42" s="0"/>
      <c r="FDF42" s="0"/>
      <c r="FDG42" s="0"/>
      <c r="FDH42" s="0"/>
      <c r="FDI42" s="0"/>
      <c r="FDJ42" s="0"/>
      <c r="FDK42" s="0"/>
      <c r="FDL42" s="0"/>
      <c r="FDM42" s="0"/>
      <c r="FDN42" s="0"/>
      <c r="FDO42" s="0"/>
      <c r="FDP42" s="0"/>
      <c r="FDQ42" s="0"/>
      <c r="FDR42" s="0"/>
      <c r="FDS42" s="0"/>
      <c r="FDT42" s="0"/>
      <c r="FDU42" s="0"/>
      <c r="FDV42" s="0"/>
      <c r="FDW42" s="0"/>
      <c r="FDX42" s="0"/>
      <c r="FDY42" s="0"/>
      <c r="FDZ42" s="0"/>
      <c r="FEA42" s="0"/>
      <c r="FEB42" s="0"/>
      <c r="FEC42" s="0"/>
      <c r="FED42" s="0"/>
      <c r="FEE42" s="0"/>
      <c r="FEF42" s="0"/>
      <c r="FEG42" s="0"/>
      <c r="FEH42" s="0"/>
      <c r="FEI42" s="0"/>
      <c r="FEJ42" s="0"/>
      <c r="FEK42" s="0"/>
      <c r="FEL42" s="0"/>
      <c r="FEM42" s="0"/>
      <c r="FEN42" s="0"/>
      <c r="FEO42" s="0"/>
      <c r="FEP42" s="0"/>
      <c r="FEQ42" s="0"/>
      <c r="FER42" s="0"/>
      <c r="FES42" s="0"/>
      <c r="FET42" s="0"/>
      <c r="FEU42" s="0"/>
      <c r="FEV42" s="0"/>
      <c r="FEW42" s="0"/>
      <c r="FEX42" s="0"/>
      <c r="FEY42" s="0"/>
      <c r="FEZ42" s="0"/>
      <c r="FFA42" s="0"/>
      <c r="FFB42" s="0"/>
      <c r="FFC42" s="0"/>
      <c r="FFD42" s="0"/>
      <c r="FFE42" s="0"/>
      <c r="FFF42" s="0"/>
      <c r="FFG42" s="0"/>
      <c r="FFH42" s="0"/>
      <c r="FFI42" s="0"/>
      <c r="FFJ42" s="0"/>
      <c r="FFK42" s="0"/>
      <c r="FFL42" s="0"/>
      <c r="FFM42" s="0"/>
      <c r="FFN42" s="0"/>
      <c r="FFO42" s="0"/>
      <c r="FFP42" s="0"/>
      <c r="FFQ42" s="0"/>
      <c r="FFR42" s="0"/>
      <c r="FFS42" s="0"/>
      <c r="FFT42" s="0"/>
      <c r="FFU42" s="0"/>
      <c r="FFV42" s="0"/>
      <c r="FFW42" s="0"/>
      <c r="FFX42" s="0"/>
      <c r="FFY42" s="0"/>
      <c r="FFZ42" s="0"/>
      <c r="FGA42" s="0"/>
      <c r="FGB42" s="0"/>
      <c r="FGC42" s="0"/>
      <c r="FGD42" s="0"/>
      <c r="FGE42" s="0"/>
      <c r="FGF42" s="0"/>
      <c r="FGG42" s="0"/>
      <c r="FGH42" s="0"/>
      <c r="FGI42" s="0"/>
      <c r="FGJ42" s="0"/>
      <c r="FGK42" s="0"/>
      <c r="FGL42" s="0"/>
      <c r="FGM42" s="0"/>
      <c r="FGN42" s="0"/>
      <c r="FGO42" s="0"/>
      <c r="FGP42" s="0"/>
      <c r="FGQ42" s="0"/>
      <c r="FGR42" s="0"/>
      <c r="FGS42" s="0"/>
      <c r="FGT42" s="0"/>
      <c r="FGU42" s="0"/>
      <c r="FGV42" s="0"/>
      <c r="FGW42" s="0"/>
      <c r="FGX42" s="0"/>
      <c r="FGY42" s="0"/>
      <c r="FGZ42" s="0"/>
      <c r="FHA42" s="0"/>
      <c r="FHB42" s="0"/>
      <c r="FHC42" s="0"/>
      <c r="FHD42" s="0"/>
      <c r="FHE42" s="0"/>
      <c r="FHF42" s="0"/>
      <c r="FHG42" s="0"/>
      <c r="FHH42" s="0"/>
      <c r="FHI42" s="0"/>
      <c r="FHJ42" s="0"/>
      <c r="FHK42" s="0"/>
      <c r="FHL42" s="0"/>
      <c r="FHM42" s="0"/>
      <c r="FHN42" s="0"/>
      <c r="FHO42" s="0"/>
      <c r="FHP42" s="0"/>
      <c r="FHQ42" s="0"/>
      <c r="FHR42" s="0"/>
      <c r="FHS42" s="0"/>
      <c r="FHT42" s="0"/>
      <c r="FHU42" s="0"/>
      <c r="FHV42" s="0"/>
      <c r="FHW42" s="0"/>
      <c r="FHX42" s="0"/>
      <c r="FHY42" s="0"/>
      <c r="FHZ42" s="0"/>
      <c r="FIA42" s="0"/>
      <c r="FIB42" s="0"/>
      <c r="FIC42" s="0"/>
      <c r="FID42" s="0"/>
      <c r="FIE42" s="0"/>
      <c r="FIF42" s="0"/>
      <c r="FIG42" s="0"/>
      <c r="FIH42" s="0"/>
      <c r="FII42" s="0"/>
      <c r="FIJ42" s="0"/>
      <c r="FIK42" s="0"/>
      <c r="FIL42" s="0"/>
      <c r="FIM42" s="0"/>
      <c r="FIN42" s="0"/>
      <c r="FIO42" s="0"/>
      <c r="FIP42" s="0"/>
      <c r="FIQ42" s="0"/>
      <c r="FIR42" s="0"/>
      <c r="FIS42" s="0"/>
      <c r="FIT42" s="0"/>
      <c r="FIU42" s="0"/>
      <c r="FIV42" s="0"/>
      <c r="FIW42" s="0"/>
      <c r="FIX42" s="0"/>
      <c r="FIY42" s="0"/>
      <c r="FIZ42" s="0"/>
      <c r="FJA42" s="0"/>
      <c r="FJB42" s="0"/>
      <c r="FJC42" s="0"/>
      <c r="FJD42" s="0"/>
      <c r="FJE42" s="0"/>
      <c r="FJF42" s="0"/>
      <c r="FJG42" s="0"/>
      <c r="FJH42" s="0"/>
      <c r="FJI42" s="0"/>
      <c r="FJJ42" s="0"/>
      <c r="FJK42" s="0"/>
      <c r="FJL42" s="0"/>
      <c r="FJM42" s="0"/>
      <c r="FJN42" s="0"/>
      <c r="FJO42" s="0"/>
      <c r="FJP42" s="0"/>
      <c r="FJQ42" s="0"/>
      <c r="FJR42" s="0"/>
      <c r="FJS42" s="0"/>
      <c r="FJT42" s="0"/>
      <c r="FJU42" s="0"/>
      <c r="FJV42" s="0"/>
      <c r="FJW42" s="0"/>
      <c r="FJX42" s="0"/>
      <c r="FJY42" s="0"/>
      <c r="FJZ42" s="0"/>
      <c r="FKA42" s="0"/>
      <c r="FKB42" s="0"/>
      <c r="FKC42" s="0"/>
      <c r="FKD42" s="0"/>
      <c r="FKE42" s="0"/>
      <c r="FKF42" s="0"/>
      <c r="FKG42" s="0"/>
      <c r="FKH42" s="0"/>
      <c r="FKI42" s="0"/>
      <c r="FKJ42" s="0"/>
      <c r="FKK42" s="0"/>
      <c r="FKL42" s="0"/>
      <c r="FKM42" s="0"/>
      <c r="FKN42" s="0"/>
      <c r="FKO42" s="0"/>
      <c r="FKP42" s="0"/>
      <c r="FKQ42" s="0"/>
      <c r="FKR42" s="0"/>
      <c r="FKS42" s="0"/>
      <c r="FKT42" s="0"/>
      <c r="FKU42" s="0"/>
      <c r="FKV42" s="0"/>
      <c r="FKW42" s="0"/>
      <c r="FKX42" s="0"/>
      <c r="FKY42" s="0"/>
      <c r="FKZ42" s="0"/>
      <c r="FLA42" s="0"/>
      <c r="FLB42" s="0"/>
      <c r="FLC42" s="0"/>
      <c r="FLD42" s="0"/>
      <c r="FLE42" s="0"/>
      <c r="FLF42" s="0"/>
      <c r="FLG42" s="0"/>
      <c r="FLH42" s="0"/>
      <c r="FLI42" s="0"/>
      <c r="FLJ42" s="0"/>
      <c r="FLK42" s="0"/>
      <c r="FLL42" s="0"/>
      <c r="FLM42" s="0"/>
      <c r="FLN42" s="0"/>
      <c r="FLO42" s="0"/>
      <c r="FLP42" s="0"/>
      <c r="FLQ42" s="0"/>
      <c r="FLR42" s="0"/>
      <c r="FLS42" s="0"/>
      <c r="FLT42" s="0"/>
      <c r="FLU42" s="0"/>
      <c r="FLV42" s="0"/>
      <c r="FLW42" s="0"/>
      <c r="FLX42" s="0"/>
      <c r="FLY42" s="0"/>
      <c r="FLZ42" s="0"/>
      <c r="FMA42" s="0"/>
      <c r="FMB42" s="0"/>
      <c r="FMC42" s="0"/>
      <c r="FMD42" s="0"/>
      <c r="FME42" s="0"/>
      <c r="FMF42" s="0"/>
      <c r="FMG42" s="0"/>
      <c r="FMH42" s="0"/>
      <c r="FMI42" s="0"/>
      <c r="FMJ42" s="0"/>
      <c r="FMK42" s="0"/>
      <c r="FML42" s="0"/>
      <c r="FMM42" s="0"/>
      <c r="FMN42" s="0"/>
      <c r="FMO42" s="0"/>
      <c r="FMP42" s="0"/>
      <c r="FMQ42" s="0"/>
      <c r="FMR42" s="0"/>
      <c r="FMS42" s="0"/>
      <c r="FMT42" s="0"/>
      <c r="FMU42" s="0"/>
      <c r="FMV42" s="0"/>
      <c r="FMW42" s="0"/>
      <c r="FMX42" s="0"/>
      <c r="FMY42" s="0"/>
      <c r="FMZ42" s="0"/>
      <c r="FNA42" s="0"/>
      <c r="FNB42" s="0"/>
      <c r="FNC42" s="0"/>
      <c r="FND42" s="0"/>
      <c r="FNE42" s="0"/>
      <c r="FNF42" s="0"/>
      <c r="FNG42" s="0"/>
      <c r="FNH42" s="0"/>
      <c r="FNI42" s="0"/>
      <c r="FNJ42" s="0"/>
      <c r="FNK42" s="0"/>
      <c r="FNL42" s="0"/>
      <c r="FNM42" s="0"/>
      <c r="FNN42" s="0"/>
      <c r="FNO42" s="0"/>
      <c r="FNP42" s="0"/>
      <c r="FNQ42" s="0"/>
      <c r="FNR42" s="0"/>
      <c r="FNS42" s="0"/>
      <c r="FNT42" s="0"/>
      <c r="FNU42" s="0"/>
      <c r="FNV42" s="0"/>
      <c r="FNW42" s="0"/>
      <c r="FNX42" s="0"/>
      <c r="FNY42" s="0"/>
      <c r="FNZ42" s="0"/>
      <c r="FOA42" s="0"/>
      <c r="FOB42" s="0"/>
      <c r="FOC42" s="0"/>
      <c r="FOD42" s="0"/>
      <c r="FOE42" s="0"/>
      <c r="FOF42" s="0"/>
      <c r="FOG42" s="0"/>
      <c r="FOH42" s="0"/>
      <c r="FOI42" s="0"/>
      <c r="FOJ42" s="0"/>
      <c r="FOK42" s="0"/>
      <c r="FOL42" s="0"/>
      <c r="FOM42" s="0"/>
      <c r="FON42" s="0"/>
      <c r="FOO42" s="0"/>
      <c r="FOP42" s="0"/>
      <c r="FOQ42" s="0"/>
      <c r="FOR42" s="0"/>
      <c r="FOS42" s="0"/>
      <c r="FOT42" s="0"/>
      <c r="FOU42" s="0"/>
      <c r="FOV42" s="0"/>
      <c r="FOW42" s="0"/>
      <c r="FOX42" s="0"/>
      <c r="FOY42" s="0"/>
      <c r="FOZ42" s="0"/>
      <c r="FPA42" s="0"/>
      <c r="FPB42" s="0"/>
      <c r="FPC42" s="0"/>
      <c r="FPD42" s="0"/>
      <c r="FPE42" s="0"/>
      <c r="FPF42" s="0"/>
      <c r="FPG42" s="0"/>
      <c r="FPH42" s="0"/>
      <c r="FPI42" s="0"/>
      <c r="FPJ42" s="0"/>
      <c r="FPK42" s="0"/>
      <c r="FPL42" s="0"/>
      <c r="FPM42" s="0"/>
      <c r="FPN42" s="0"/>
      <c r="FPO42" s="0"/>
      <c r="FPP42" s="0"/>
      <c r="FPQ42" s="0"/>
      <c r="FPR42" s="0"/>
      <c r="FPS42" s="0"/>
      <c r="FPT42" s="0"/>
      <c r="FPU42" s="0"/>
      <c r="FPV42" s="0"/>
      <c r="FPW42" s="0"/>
      <c r="FPX42" s="0"/>
      <c r="FPY42" s="0"/>
      <c r="FPZ42" s="0"/>
      <c r="FQA42" s="0"/>
      <c r="FQB42" s="0"/>
      <c r="FQC42" s="0"/>
      <c r="FQD42" s="0"/>
      <c r="FQE42" s="0"/>
      <c r="FQF42" s="0"/>
      <c r="FQG42" s="0"/>
      <c r="FQH42" s="0"/>
      <c r="FQI42" s="0"/>
      <c r="FQJ42" s="0"/>
      <c r="FQK42" s="0"/>
      <c r="FQL42" s="0"/>
      <c r="FQM42" s="0"/>
      <c r="FQN42" s="0"/>
      <c r="FQO42" s="0"/>
      <c r="FQP42" s="0"/>
      <c r="FQQ42" s="0"/>
      <c r="FQR42" s="0"/>
      <c r="FQS42" s="0"/>
      <c r="FQT42" s="0"/>
      <c r="FQU42" s="0"/>
      <c r="FQV42" s="0"/>
      <c r="FQW42" s="0"/>
      <c r="FQX42" s="0"/>
      <c r="FQY42" s="0"/>
      <c r="FQZ42" s="0"/>
      <c r="FRA42" s="0"/>
      <c r="FRB42" s="0"/>
      <c r="FRC42" s="0"/>
      <c r="FRD42" s="0"/>
      <c r="FRE42" s="0"/>
      <c r="FRF42" s="0"/>
      <c r="FRG42" s="0"/>
      <c r="FRH42" s="0"/>
      <c r="FRI42" s="0"/>
      <c r="FRJ42" s="0"/>
      <c r="FRK42" s="0"/>
      <c r="FRL42" s="0"/>
      <c r="FRM42" s="0"/>
      <c r="FRN42" s="0"/>
      <c r="FRO42" s="0"/>
      <c r="FRP42" s="0"/>
      <c r="FRQ42" s="0"/>
      <c r="FRR42" s="0"/>
      <c r="FRS42" s="0"/>
      <c r="FRT42" s="0"/>
      <c r="FRU42" s="0"/>
      <c r="FRV42" s="0"/>
      <c r="FRW42" s="0"/>
      <c r="FRX42" s="0"/>
      <c r="FRY42" s="0"/>
      <c r="FRZ42" s="0"/>
      <c r="FSA42" s="0"/>
      <c r="FSB42" s="0"/>
      <c r="FSC42" s="0"/>
      <c r="FSD42" s="0"/>
      <c r="FSE42" s="0"/>
      <c r="FSF42" s="0"/>
      <c r="FSG42" s="0"/>
      <c r="FSH42" s="0"/>
      <c r="FSI42" s="0"/>
      <c r="FSJ42" s="0"/>
      <c r="FSK42" s="0"/>
      <c r="FSL42" s="0"/>
      <c r="FSM42" s="0"/>
      <c r="FSN42" s="0"/>
      <c r="FSO42" s="0"/>
      <c r="FSP42" s="0"/>
      <c r="FSQ42" s="0"/>
      <c r="FSR42" s="0"/>
      <c r="FSS42" s="0"/>
      <c r="FST42" s="0"/>
      <c r="FSU42" s="0"/>
      <c r="FSV42" s="0"/>
      <c r="FSW42" s="0"/>
      <c r="FSX42" s="0"/>
      <c r="FSY42" s="0"/>
      <c r="FSZ42" s="0"/>
      <c r="FTA42" s="0"/>
      <c r="FTB42" s="0"/>
      <c r="FTC42" s="0"/>
      <c r="FTD42" s="0"/>
      <c r="FTE42" s="0"/>
      <c r="FTF42" s="0"/>
      <c r="FTG42" s="0"/>
      <c r="FTH42" s="0"/>
      <c r="FTI42" s="0"/>
      <c r="FTJ42" s="0"/>
      <c r="FTK42" s="0"/>
      <c r="FTL42" s="0"/>
      <c r="FTM42" s="0"/>
      <c r="FTN42" s="0"/>
      <c r="FTO42" s="0"/>
      <c r="FTP42" s="0"/>
      <c r="FTQ42" s="0"/>
      <c r="FTR42" s="0"/>
      <c r="FTS42" s="0"/>
      <c r="FTT42" s="0"/>
      <c r="FTU42" s="0"/>
      <c r="FTV42" s="0"/>
      <c r="FTW42" s="0"/>
      <c r="FTX42" s="0"/>
      <c r="FTY42" s="0"/>
      <c r="FTZ42" s="0"/>
      <c r="FUA42" s="0"/>
      <c r="FUB42" s="0"/>
      <c r="FUC42" s="0"/>
      <c r="FUD42" s="0"/>
      <c r="FUE42" s="0"/>
      <c r="FUF42" s="0"/>
      <c r="FUG42" s="0"/>
      <c r="FUH42" s="0"/>
      <c r="FUI42" s="0"/>
      <c r="FUJ42" s="0"/>
      <c r="FUK42" s="0"/>
      <c r="FUL42" s="0"/>
      <c r="FUM42" s="0"/>
      <c r="FUN42" s="0"/>
      <c r="FUO42" s="0"/>
      <c r="FUP42" s="0"/>
      <c r="FUQ42" s="0"/>
      <c r="FUR42" s="0"/>
      <c r="FUS42" s="0"/>
      <c r="FUT42" s="0"/>
      <c r="FUU42" s="0"/>
      <c r="FUV42" s="0"/>
      <c r="FUW42" s="0"/>
      <c r="FUX42" s="0"/>
      <c r="FUY42" s="0"/>
      <c r="FUZ42" s="0"/>
      <c r="FVA42" s="0"/>
      <c r="FVB42" s="0"/>
      <c r="FVC42" s="0"/>
      <c r="FVD42" s="0"/>
      <c r="FVE42" s="0"/>
      <c r="FVF42" s="0"/>
      <c r="FVG42" s="0"/>
      <c r="FVH42" s="0"/>
      <c r="FVI42" s="0"/>
      <c r="FVJ42" s="0"/>
      <c r="FVK42" s="0"/>
      <c r="FVL42" s="0"/>
      <c r="FVM42" s="0"/>
      <c r="FVN42" s="0"/>
      <c r="FVO42" s="0"/>
      <c r="FVP42" s="0"/>
      <c r="FVQ42" s="0"/>
      <c r="FVR42" s="0"/>
      <c r="FVS42" s="0"/>
      <c r="FVT42" s="0"/>
      <c r="FVU42" s="0"/>
      <c r="FVV42" s="0"/>
      <c r="FVW42" s="0"/>
      <c r="FVX42" s="0"/>
      <c r="FVY42" s="0"/>
      <c r="FVZ42" s="0"/>
      <c r="FWA42" s="0"/>
      <c r="FWB42" s="0"/>
      <c r="FWC42" s="0"/>
      <c r="FWD42" s="0"/>
      <c r="FWE42" s="0"/>
      <c r="FWF42" s="0"/>
      <c r="FWG42" s="0"/>
      <c r="FWH42" s="0"/>
      <c r="FWI42" s="0"/>
      <c r="FWJ42" s="0"/>
      <c r="FWK42" s="0"/>
      <c r="FWL42" s="0"/>
      <c r="FWM42" s="0"/>
      <c r="FWN42" s="0"/>
      <c r="FWO42" s="0"/>
      <c r="FWP42" s="0"/>
      <c r="FWQ42" s="0"/>
      <c r="FWR42" s="0"/>
      <c r="FWS42" s="0"/>
      <c r="FWT42" s="0"/>
      <c r="FWU42" s="0"/>
      <c r="FWV42" s="0"/>
      <c r="FWW42" s="0"/>
      <c r="FWX42" s="0"/>
      <c r="FWY42" s="0"/>
      <c r="FWZ42" s="0"/>
      <c r="FXA42" s="0"/>
      <c r="FXB42" s="0"/>
      <c r="FXC42" s="0"/>
      <c r="FXD42" s="0"/>
      <c r="FXE42" s="0"/>
      <c r="FXF42" s="0"/>
      <c r="FXG42" s="0"/>
      <c r="FXH42" s="0"/>
      <c r="FXI42" s="0"/>
      <c r="FXJ42" s="0"/>
      <c r="FXK42" s="0"/>
      <c r="FXL42" s="0"/>
      <c r="FXM42" s="0"/>
      <c r="FXN42" s="0"/>
      <c r="FXO42" s="0"/>
      <c r="FXP42" s="0"/>
      <c r="FXQ42" s="0"/>
      <c r="FXR42" s="0"/>
      <c r="FXS42" s="0"/>
      <c r="FXT42" s="0"/>
      <c r="FXU42" s="0"/>
      <c r="FXV42" s="0"/>
      <c r="FXW42" s="0"/>
      <c r="FXX42" s="0"/>
      <c r="FXY42" s="0"/>
      <c r="FXZ42" s="0"/>
      <c r="FYA42" s="0"/>
      <c r="FYB42" s="0"/>
      <c r="FYC42" s="0"/>
      <c r="FYD42" s="0"/>
      <c r="FYE42" s="0"/>
      <c r="FYF42" s="0"/>
      <c r="FYG42" s="0"/>
      <c r="FYH42" s="0"/>
      <c r="FYI42" s="0"/>
      <c r="FYJ42" s="0"/>
      <c r="FYK42" s="0"/>
      <c r="FYL42" s="0"/>
      <c r="FYM42" s="0"/>
      <c r="FYN42" s="0"/>
      <c r="FYO42" s="0"/>
      <c r="FYP42" s="0"/>
      <c r="FYQ42" s="0"/>
      <c r="FYR42" s="0"/>
      <c r="FYS42" s="0"/>
      <c r="FYT42" s="0"/>
      <c r="FYU42" s="0"/>
      <c r="FYV42" s="0"/>
      <c r="FYW42" s="0"/>
      <c r="FYX42" s="0"/>
      <c r="FYY42" s="0"/>
      <c r="FYZ42" s="0"/>
      <c r="FZA42" s="0"/>
      <c r="FZB42" s="0"/>
      <c r="FZC42" s="0"/>
      <c r="FZD42" s="0"/>
      <c r="FZE42" s="0"/>
      <c r="FZF42" s="0"/>
      <c r="FZG42" s="0"/>
      <c r="FZH42" s="0"/>
      <c r="FZI42" s="0"/>
      <c r="FZJ42" s="0"/>
      <c r="FZK42" s="0"/>
      <c r="FZL42" s="0"/>
      <c r="FZM42" s="0"/>
      <c r="FZN42" s="0"/>
      <c r="FZO42" s="0"/>
      <c r="FZP42" s="0"/>
      <c r="FZQ42" s="0"/>
      <c r="FZR42" s="0"/>
      <c r="FZS42" s="0"/>
      <c r="FZT42" s="0"/>
      <c r="FZU42" s="0"/>
      <c r="FZV42" s="0"/>
      <c r="FZW42" s="0"/>
      <c r="FZX42" s="0"/>
      <c r="FZY42" s="0"/>
      <c r="FZZ42" s="0"/>
      <c r="GAA42" s="0"/>
      <c r="GAB42" s="0"/>
      <c r="GAC42" s="0"/>
      <c r="GAD42" s="0"/>
      <c r="GAE42" s="0"/>
      <c r="GAF42" s="0"/>
      <c r="GAG42" s="0"/>
      <c r="GAH42" s="0"/>
      <c r="GAI42" s="0"/>
      <c r="GAJ42" s="0"/>
      <c r="GAK42" s="0"/>
      <c r="GAL42" s="0"/>
      <c r="GAM42" s="0"/>
      <c r="GAN42" s="0"/>
      <c r="GAO42" s="0"/>
      <c r="GAP42" s="0"/>
      <c r="GAQ42" s="0"/>
      <c r="GAR42" s="0"/>
      <c r="GAS42" s="0"/>
      <c r="GAT42" s="0"/>
      <c r="GAU42" s="0"/>
      <c r="GAV42" s="0"/>
      <c r="GAW42" s="0"/>
      <c r="GAX42" s="0"/>
      <c r="GAY42" s="0"/>
      <c r="GAZ42" s="0"/>
      <c r="GBA42" s="0"/>
      <c r="GBB42" s="0"/>
      <c r="GBC42" s="0"/>
      <c r="GBD42" s="0"/>
      <c r="GBE42" s="0"/>
      <c r="GBF42" s="0"/>
      <c r="GBG42" s="0"/>
      <c r="GBH42" s="0"/>
      <c r="GBI42" s="0"/>
      <c r="GBJ42" s="0"/>
      <c r="GBK42" s="0"/>
      <c r="GBL42" s="0"/>
      <c r="GBM42" s="0"/>
      <c r="GBN42" s="0"/>
      <c r="GBO42" s="0"/>
      <c r="GBP42" s="0"/>
      <c r="GBQ42" s="0"/>
      <c r="GBR42" s="0"/>
      <c r="GBS42" s="0"/>
      <c r="GBT42" s="0"/>
      <c r="GBU42" s="0"/>
      <c r="GBV42" s="0"/>
      <c r="GBW42" s="0"/>
      <c r="GBX42" s="0"/>
      <c r="GBY42" s="0"/>
      <c r="GBZ42" s="0"/>
      <c r="GCA42" s="0"/>
      <c r="GCB42" s="0"/>
      <c r="GCC42" s="0"/>
      <c r="GCD42" s="0"/>
      <c r="GCE42" s="0"/>
      <c r="GCF42" s="0"/>
      <c r="GCG42" s="0"/>
      <c r="GCH42" s="0"/>
      <c r="GCI42" s="0"/>
      <c r="GCJ42" s="0"/>
      <c r="GCK42" s="0"/>
      <c r="GCL42" s="0"/>
      <c r="GCM42" s="0"/>
      <c r="GCN42" s="0"/>
      <c r="GCO42" s="0"/>
      <c r="GCP42" s="0"/>
      <c r="GCQ42" s="0"/>
      <c r="GCR42" s="0"/>
      <c r="GCS42" s="0"/>
      <c r="GCT42" s="0"/>
      <c r="GCU42" s="0"/>
      <c r="GCV42" s="0"/>
      <c r="GCW42" s="0"/>
      <c r="GCX42" s="0"/>
      <c r="GCY42" s="0"/>
      <c r="GCZ42" s="0"/>
      <c r="GDA42" s="0"/>
      <c r="GDB42" s="0"/>
      <c r="GDC42" s="0"/>
      <c r="GDD42" s="0"/>
      <c r="GDE42" s="0"/>
      <c r="GDF42" s="0"/>
      <c r="GDG42" s="0"/>
      <c r="GDH42" s="0"/>
      <c r="GDI42" s="0"/>
      <c r="GDJ42" s="0"/>
      <c r="GDK42" s="0"/>
      <c r="GDL42" s="0"/>
      <c r="GDM42" s="0"/>
      <c r="GDN42" s="0"/>
      <c r="GDO42" s="0"/>
      <c r="GDP42" s="0"/>
      <c r="GDQ42" s="0"/>
      <c r="GDR42" s="0"/>
      <c r="GDS42" s="0"/>
      <c r="GDT42" s="0"/>
      <c r="GDU42" s="0"/>
      <c r="GDV42" s="0"/>
      <c r="GDW42" s="0"/>
      <c r="GDX42" s="0"/>
      <c r="GDY42" s="0"/>
      <c r="GDZ42" s="0"/>
      <c r="GEA42" s="0"/>
      <c r="GEB42" s="0"/>
      <c r="GEC42" s="0"/>
      <c r="GED42" s="0"/>
      <c r="GEE42" s="0"/>
      <c r="GEF42" s="0"/>
      <c r="GEG42" s="0"/>
      <c r="GEH42" s="0"/>
      <c r="GEI42" s="0"/>
      <c r="GEJ42" s="0"/>
      <c r="GEK42" s="0"/>
      <c r="GEL42" s="0"/>
      <c r="GEM42" s="0"/>
      <c r="GEN42" s="0"/>
      <c r="GEO42" s="0"/>
      <c r="GEP42" s="0"/>
      <c r="GEQ42" s="0"/>
      <c r="GER42" s="0"/>
      <c r="GES42" s="0"/>
      <c r="GET42" s="0"/>
      <c r="GEU42" s="0"/>
      <c r="GEV42" s="0"/>
      <c r="GEW42" s="0"/>
      <c r="GEX42" s="0"/>
      <c r="GEY42" s="0"/>
      <c r="GEZ42" s="0"/>
      <c r="GFA42" s="0"/>
      <c r="GFB42" s="0"/>
      <c r="GFC42" s="0"/>
      <c r="GFD42" s="0"/>
      <c r="GFE42" s="0"/>
      <c r="GFF42" s="0"/>
      <c r="GFG42" s="0"/>
      <c r="GFH42" s="0"/>
      <c r="GFI42" s="0"/>
      <c r="GFJ42" s="0"/>
      <c r="GFK42" s="0"/>
      <c r="GFL42" s="0"/>
      <c r="GFM42" s="0"/>
      <c r="GFN42" s="0"/>
      <c r="GFO42" s="0"/>
      <c r="GFP42" s="0"/>
      <c r="GFQ42" s="0"/>
      <c r="GFR42" s="0"/>
      <c r="GFS42" s="0"/>
      <c r="GFT42" s="0"/>
      <c r="GFU42" s="0"/>
      <c r="GFV42" s="0"/>
      <c r="GFW42" s="0"/>
      <c r="GFX42" s="0"/>
      <c r="GFY42" s="0"/>
      <c r="GFZ42" s="0"/>
      <c r="GGA42" s="0"/>
      <c r="GGB42" s="0"/>
      <c r="GGC42" s="0"/>
      <c r="GGD42" s="0"/>
      <c r="GGE42" s="0"/>
      <c r="GGF42" s="0"/>
      <c r="GGG42" s="0"/>
      <c r="GGH42" s="0"/>
      <c r="GGI42" s="0"/>
      <c r="GGJ42" s="0"/>
      <c r="GGK42" s="0"/>
      <c r="GGL42" s="0"/>
      <c r="GGM42" s="0"/>
      <c r="GGN42" s="0"/>
      <c r="GGO42" s="0"/>
      <c r="GGP42" s="0"/>
      <c r="GGQ42" s="0"/>
      <c r="GGR42" s="0"/>
      <c r="GGS42" s="0"/>
      <c r="GGT42" s="0"/>
      <c r="GGU42" s="0"/>
      <c r="GGV42" s="0"/>
      <c r="GGW42" s="0"/>
      <c r="GGX42" s="0"/>
      <c r="GGY42" s="0"/>
      <c r="GGZ42" s="0"/>
      <c r="GHA42" s="0"/>
      <c r="GHB42" s="0"/>
      <c r="GHC42" s="0"/>
      <c r="GHD42" s="0"/>
      <c r="GHE42" s="0"/>
      <c r="GHF42" s="0"/>
      <c r="GHG42" s="0"/>
      <c r="GHH42" s="0"/>
      <c r="GHI42" s="0"/>
      <c r="GHJ42" s="0"/>
      <c r="GHK42" s="0"/>
      <c r="GHL42" s="0"/>
      <c r="GHM42" s="0"/>
      <c r="GHN42" s="0"/>
      <c r="GHO42" s="0"/>
      <c r="GHP42" s="0"/>
      <c r="GHQ42" s="0"/>
      <c r="GHR42" s="0"/>
      <c r="GHS42" s="0"/>
      <c r="GHT42" s="0"/>
      <c r="GHU42" s="0"/>
      <c r="GHV42" s="0"/>
      <c r="GHW42" s="0"/>
      <c r="GHX42" s="0"/>
      <c r="GHY42" s="0"/>
      <c r="GHZ42" s="0"/>
      <c r="GIA42" s="0"/>
      <c r="GIB42" s="0"/>
      <c r="GIC42" s="0"/>
      <c r="GID42" s="0"/>
      <c r="GIE42" s="0"/>
      <c r="GIF42" s="0"/>
      <c r="GIG42" s="0"/>
      <c r="GIH42" s="0"/>
      <c r="GII42" s="0"/>
      <c r="GIJ42" s="0"/>
      <c r="GIK42" s="0"/>
      <c r="GIL42" s="0"/>
      <c r="GIM42" s="0"/>
      <c r="GIN42" s="0"/>
      <c r="GIO42" s="0"/>
      <c r="GIP42" s="0"/>
      <c r="GIQ42" s="0"/>
      <c r="GIR42" s="0"/>
      <c r="GIS42" s="0"/>
      <c r="GIT42" s="0"/>
      <c r="GIU42" s="0"/>
      <c r="GIV42" s="0"/>
      <c r="GIW42" s="0"/>
      <c r="GIX42" s="0"/>
      <c r="GIY42" s="0"/>
      <c r="GIZ42" s="0"/>
      <c r="GJA42" s="0"/>
      <c r="GJB42" s="0"/>
      <c r="GJC42" s="0"/>
      <c r="GJD42" s="0"/>
      <c r="GJE42" s="0"/>
      <c r="GJF42" s="0"/>
      <c r="GJG42" s="0"/>
      <c r="GJH42" s="0"/>
      <c r="GJI42" s="0"/>
      <c r="GJJ42" s="0"/>
      <c r="GJK42" s="0"/>
      <c r="GJL42" s="0"/>
      <c r="GJM42" s="0"/>
      <c r="GJN42" s="0"/>
      <c r="GJO42" s="0"/>
      <c r="GJP42" s="0"/>
      <c r="GJQ42" s="0"/>
      <c r="GJR42" s="0"/>
      <c r="GJS42" s="0"/>
      <c r="GJT42" s="0"/>
      <c r="GJU42" s="0"/>
      <c r="GJV42" s="0"/>
      <c r="GJW42" s="0"/>
      <c r="GJX42" s="0"/>
      <c r="GJY42" s="0"/>
      <c r="GJZ42" s="0"/>
      <c r="GKA42" s="0"/>
      <c r="GKB42" s="0"/>
      <c r="GKC42" s="0"/>
      <c r="GKD42" s="0"/>
      <c r="GKE42" s="0"/>
      <c r="GKF42" s="0"/>
      <c r="GKG42" s="0"/>
      <c r="GKH42" s="0"/>
      <c r="GKI42" s="0"/>
      <c r="GKJ42" s="0"/>
      <c r="GKK42" s="0"/>
      <c r="GKL42" s="0"/>
      <c r="GKM42" s="0"/>
      <c r="GKN42" s="0"/>
      <c r="GKO42" s="0"/>
      <c r="GKP42" s="0"/>
      <c r="GKQ42" s="0"/>
      <c r="GKR42" s="0"/>
      <c r="GKS42" s="0"/>
      <c r="GKT42" s="0"/>
      <c r="GKU42" s="0"/>
      <c r="GKV42" s="0"/>
      <c r="GKW42" s="0"/>
      <c r="GKX42" s="0"/>
      <c r="GKY42" s="0"/>
      <c r="GKZ42" s="0"/>
      <c r="GLA42" s="0"/>
      <c r="GLB42" s="0"/>
      <c r="GLC42" s="0"/>
      <c r="GLD42" s="0"/>
      <c r="GLE42" s="0"/>
      <c r="GLF42" s="0"/>
      <c r="GLG42" s="0"/>
      <c r="GLH42" s="0"/>
      <c r="GLI42" s="0"/>
      <c r="GLJ42" s="0"/>
      <c r="GLK42" s="0"/>
      <c r="GLL42" s="0"/>
      <c r="GLM42" s="0"/>
      <c r="GLN42" s="0"/>
      <c r="GLO42" s="0"/>
      <c r="GLP42" s="0"/>
      <c r="GLQ42" s="0"/>
      <c r="GLR42" s="0"/>
      <c r="GLS42" s="0"/>
      <c r="GLT42" s="0"/>
      <c r="GLU42" s="0"/>
      <c r="GLV42" s="0"/>
      <c r="GLW42" s="0"/>
      <c r="GLX42" s="0"/>
      <c r="GLY42" s="0"/>
      <c r="GLZ42" s="0"/>
      <c r="GMA42" s="0"/>
      <c r="GMB42" s="0"/>
      <c r="GMC42" s="0"/>
      <c r="GMD42" s="0"/>
      <c r="GME42" s="0"/>
      <c r="GMF42" s="0"/>
      <c r="GMG42" s="0"/>
      <c r="GMH42" s="0"/>
      <c r="GMI42" s="0"/>
      <c r="GMJ42" s="0"/>
      <c r="GMK42" s="0"/>
      <c r="GML42" s="0"/>
      <c r="GMM42" s="0"/>
      <c r="GMN42" s="0"/>
      <c r="GMO42" s="0"/>
      <c r="GMP42" s="0"/>
      <c r="GMQ42" s="0"/>
      <c r="GMR42" s="0"/>
      <c r="GMS42" s="0"/>
      <c r="GMT42" s="0"/>
      <c r="GMU42" s="0"/>
      <c r="GMV42" s="0"/>
      <c r="GMW42" s="0"/>
      <c r="GMX42" s="0"/>
      <c r="GMY42" s="0"/>
      <c r="GMZ42" s="0"/>
      <c r="GNA42" s="0"/>
      <c r="GNB42" s="0"/>
      <c r="GNC42" s="0"/>
      <c r="GND42" s="0"/>
      <c r="GNE42" s="0"/>
      <c r="GNF42" s="0"/>
      <c r="GNG42" s="0"/>
      <c r="GNH42" s="0"/>
      <c r="GNI42" s="0"/>
      <c r="GNJ42" s="0"/>
      <c r="GNK42" s="0"/>
      <c r="GNL42" s="0"/>
      <c r="GNM42" s="0"/>
      <c r="GNN42" s="0"/>
      <c r="GNO42" s="0"/>
      <c r="GNP42" s="0"/>
      <c r="GNQ42" s="0"/>
      <c r="GNR42" s="0"/>
      <c r="GNS42" s="0"/>
      <c r="GNT42" s="0"/>
      <c r="GNU42" s="0"/>
      <c r="GNV42" s="0"/>
      <c r="GNW42" s="0"/>
      <c r="GNX42" s="0"/>
      <c r="GNY42" s="0"/>
      <c r="GNZ42" s="0"/>
      <c r="GOA42" s="0"/>
      <c r="GOB42" s="0"/>
      <c r="GOC42" s="0"/>
      <c r="GOD42" s="0"/>
      <c r="GOE42" s="0"/>
      <c r="GOF42" s="0"/>
      <c r="GOG42" s="0"/>
      <c r="GOH42" s="0"/>
      <c r="GOI42" s="0"/>
      <c r="GOJ42" s="0"/>
      <c r="GOK42" s="0"/>
      <c r="GOL42" s="0"/>
      <c r="GOM42" s="0"/>
      <c r="GON42" s="0"/>
      <c r="GOO42" s="0"/>
      <c r="GOP42" s="0"/>
      <c r="GOQ42" s="0"/>
      <c r="GOR42" s="0"/>
      <c r="GOS42" s="0"/>
      <c r="GOT42" s="0"/>
      <c r="GOU42" s="0"/>
      <c r="GOV42" s="0"/>
      <c r="GOW42" s="0"/>
      <c r="GOX42" s="0"/>
      <c r="GOY42" s="0"/>
      <c r="GOZ42" s="0"/>
      <c r="GPA42" s="0"/>
      <c r="GPB42" s="0"/>
      <c r="GPC42" s="0"/>
      <c r="GPD42" s="0"/>
      <c r="GPE42" s="0"/>
      <c r="GPF42" s="0"/>
      <c r="GPG42" s="0"/>
      <c r="GPH42" s="0"/>
      <c r="GPI42" s="0"/>
      <c r="GPJ42" s="0"/>
      <c r="GPK42" s="0"/>
      <c r="GPL42" s="0"/>
      <c r="GPM42" s="0"/>
      <c r="GPN42" s="0"/>
      <c r="GPO42" s="0"/>
      <c r="GPP42" s="0"/>
      <c r="GPQ42" s="0"/>
      <c r="GPR42" s="0"/>
      <c r="GPS42" s="0"/>
      <c r="GPT42" s="0"/>
      <c r="GPU42" s="0"/>
      <c r="GPV42" s="0"/>
      <c r="GPW42" s="0"/>
      <c r="GPX42" s="0"/>
      <c r="GPY42" s="0"/>
      <c r="GPZ42" s="0"/>
      <c r="GQA42" s="0"/>
      <c r="GQB42" s="0"/>
      <c r="GQC42" s="0"/>
      <c r="GQD42" s="0"/>
      <c r="GQE42" s="0"/>
      <c r="GQF42" s="0"/>
      <c r="GQG42" s="0"/>
      <c r="GQH42" s="0"/>
      <c r="GQI42" s="0"/>
      <c r="GQJ42" s="0"/>
      <c r="GQK42" s="0"/>
      <c r="GQL42" s="0"/>
      <c r="GQM42" s="0"/>
      <c r="GQN42" s="0"/>
      <c r="GQO42" s="0"/>
      <c r="GQP42" s="0"/>
      <c r="GQQ42" s="0"/>
      <c r="GQR42" s="0"/>
      <c r="GQS42" s="0"/>
      <c r="GQT42" s="0"/>
      <c r="GQU42" s="0"/>
      <c r="GQV42" s="0"/>
      <c r="GQW42" s="0"/>
      <c r="GQX42" s="0"/>
      <c r="GQY42" s="0"/>
      <c r="GQZ42" s="0"/>
      <c r="GRA42" s="0"/>
      <c r="GRB42" s="0"/>
      <c r="GRC42" s="0"/>
      <c r="GRD42" s="0"/>
      <c r="GRE42" s="0"/>
      <c r="GRF42" s="0"/>
      <c r="GRG42" s="0"/>
      <c r="GRH42" s="0"/>
      <c r="GRI42" s="0"/>
      <c r="GRJ42" s="0"/>
      <c r="GRK42" s="0"/>
      <c r="GRL42" s="0"/>
      <c r="GRM42" s="0"/>
      <c r="GRN42" s="0"/>
      <c r="GRO42" s="0"/>
      <c r="GRP42" s="0"/>
      <c r="GRQ42" s="0"/>
      <c r="GRR42" s="0"/>
      <c r="GRS42" s="0"/>
      <c r="GRT42" s="0"/>
      <c r="GRU42" s="0"/>
      <c r="GRV42" s="0"/>
      <c r="GRW42" s="0"/>
      <c r="GRX42" s="0"/>
      <c r="GRY42" s="0"/>
      <c r="GRZ42" s="0"/>
      <c r="GSA42" s="0"/>
      <c r="GSB42" s="0"/>
      <c r="GSC42" s="0"/>
      <c r="GSD42" s="0"/>
      <c r="GSE42" s="0"/>
      <c r="GSF42" s="0"/>
      <c r="GSG42" s="0"/>
      <c r="GSH42" s="0"/>
      <c r="GSI42" s="0"/>
      <c r="GSJ42" s="0"/>
      <c r="GSK42" s="0"/>
      <c r="GSL42" s="0"/>
      <c r="GSM42" s="0"/>
      <c r="GSN42" s="0"/>
      <c r="GSO42" s="0"/>
      <c r="GSP42" s="0"/>
      <c r="GSQ42" s="0"/>
      <c r="GSR42" s="0"/>
      <c r="GSS42" s="0"/>
      <c r="GST42" s="0"/>
      <c r="GSU42" s="0"/>
      <c r="GSV42" s="0"/>
      <c r="GSW42" s="0"/>
      <c r="GSX42" s="0"/>
      <c r="GSY42" s="0"/>
      <c r="GSZ42" s="0"/>
      <c r="GTA42" s="0"/>
      <c r="GTB42" s="0"/>
      <c r="GTC42" s="0"/>
      <c r="GTD42" s="0"/>
      <c r="GTE42" s="0"/>
      <c r="GTF42" s="0"/>
      <c r="GTG42" s="0"/>
      <c r="GTH42" s="0"/>
      <c r="GTI42" s="0"/>
      <c r="GTJ42" s="0"/>
      <c r="GTK42" s="0"/>
      <c r="GTL42" s="0"/>
      <c r="GTM42" s="0"/>
      <c r="GTN42" s="0"/>
      <c r="GTO42" s="0"/>
      <c r="GTP42" s="0"/>
      <c r="GTQ42" s="0"/>
      <c r="GTR42" s="0"/>
      <c r="GTS42" s="0"/>
      <c r="GTT42" s="0"/>
      <c r="GTU42" s="0"/>
      <c r="GTV42" s="0"/>
      <c r="GTW42" s="0"/>
      <c r="GTX42" s="0"/>
      <c r="GTY42" s="0"/>
      <c r="GTZ42" s="0"/>
      <c r="GUA42" s="0"/>
      <c r="GUB42" s="0"/>
      <c r="GUC42" s="0"/>
      <c r="GUD42" s="0"/>
      <c r="GUE42" s="0"/>
      <c r="GUF42" s="0"/>
      <c r="GUG42" s="0"/>
      <c r="GUH42" s="0"/>
      <c r="GUI42" s="0"/>
      <c r="GUJ42" s="0"/>
      <c r="GUK42" s="0"/>
      <c r="GUL42" s="0"/>
      <c r="GUM42" s="0"/>
      <c r="GUN42" s="0"/>
      <c r="GUO42" s="0"/>
      <c r="GUP42" s="0"/>
      <c r="GUQ42" s="0"/>
      <c r="GUR42" s="0"/>
      <c r="GUS42" s="0"/>
      <c r="GUT42" s="0"/>
      <c r="GUU42" s="0"/>
      <c r="GUV42" s="0"/>
      <c r="GUW42" s="0"/>
      <c r="GUX42" s="0"/>
      <c r="GUY42" s="0"/>
      <c r="GUZ42" s="0"/>
      <c r="GVA42" s="0"/>
      <c r="GVB42" s="0"/>
      <c r="GVC42" s="0"/>
      <c r="GVD42" s="0"/>
      <c r="GVE42" s="0"/>
      <c r="GVF42" s="0"/>
      <c r="GVG42" s="0"/>
      <c r="GVH42" s="0"/>
      <c r="GVI42" s="0"/>
      <c r="GVJ42" s="0"/>
      <c r="GVK42" s="0"/>
      <c r="GVL42" s="0"/>
      <c r="GVM42" s="0"/>
      <c r="GVN42" s="0"/>
      <c r="GVO42" s="0"/>
      <c r="GVP42" s="0"/>
      <c r="GVQ42" s="0"/>
      <c r="GVR42" s="0"/>
      <c r="GVS42" s="0"/>
      <c r="GVT42" s="0"/>
      <c r="GVU42" s="0"/>
      <c r="GVV42" s="0"/>
      <c r="GVW42" s="0"/>
      <c r="GVX42" s="0"/>
      <c r="GVY42" s="0"/>
      <c r="GVZ42" s="0"/>
      <c r="GWA42" s="0"/>
      <c r="GWB42" s="0"/>
      <c r="GWC42" s="0"/>
      <c r="GWD42" s="0"/>
      <c r="GWE42" s="0"/>
      <c r="GWF42" s="0"/>
      <c r="GWG42" s="0"/>
      <c r="GWH42" s="0"/>
      <c r="GWI42" s="0"/>
      <c r="GWJ42" s="0"/>
      <c r="GWK42" s="0"/>
      <c r="GWL42" s="0"/>
      <c r="GWM42" s="0"/>
      <c r="GWN42" s="0"/>
      <c r="GWO42" s="0"/>
      <c r="GWP42" s="0"/>
      <c r="GWQ42" s="0"/>
      <c r="GWR42" s="0"/>
      <c r="GWS42" s="0"/>
      <c r="GWT42" s="0"/>
      <c r="GWU42" s="0"/>
      <c r="GWV42" s="0"/>
      <c r="GWW42" s="0"/>
      <c r="GWX42" s="0"/>
      <c r="GWY42" s="0"/>
      <c r="GWZ42" s="0"/>
      <c r="GXA42" s="0"/>
      <c r="GXB42" s="0"/>
      <c r="GXC42" s="0"/>
      <c r="GXD42" s="0"/>
      <c r="GXE42" s="0"/>
      <c r="GXF42" s="0"/>
      <c r="GXG42" s="0"/>
      <c r="GXH42" s="0"/>
      <c r="GXI42" s="0"/>
      <c r="GXJ42" s="0"/>
      <c r="GXK42" s="0"/>
      <c r="GXL42" s="0"/>
      <c r="GXM42" s="0"/>
      <c r="GXN42" s="0"/>
      <c r="GXO42" s="0"/>
      <c r="GXP42" s="0"/>
      <c r="GXQ42" s="0"/>
      <c r="GXR42" s="0"/>
      <c r="GXS42" s="0"/>
      <c r="GXT42" s="0"/>
      <c r="GXU42" s="0"/>
      <c r="GXV42" s="0"/>
      <c r="GXW42" s="0"/>
      <c r="GXX42" s="0"/>
      <c r="GXY42" s="0"/>
      <c r="GXZ42" s="0"/>
      <c r="GYA42" s="0"/>
      <c r="GYB42" s="0"/>
      <c r="GYC42" s="0"/>
      <c r="GYD42" s="0"/>
      <c r="GYE42" s="0"/>
      <c r="GYF42" s="0"/>
      <c r="GYG42" s="0"/>
      <c r="GYH42" s="0"/>
      <c r="GYI42" s="0"/>
      <c r="GYJ42" s="0"/>
      <c r="GYK42" s="0"/>
      <c r="GYL42" s="0"/>
      <c r="GYM42" s="0"/>
      <c r="GYN42" s="0"/>
      <c r="GYO42" s="0"/>
      <c r="GYP42" s="0"/>
      <c r="GYQ42" s="0"/>
      <c r="GYR42" s="0"/>
      <c r="GYS42" s="0"/>
      <c r="GYT42" s="0"/>
      <c r="GYU42" s="0"/>
      <c r="GYV42" s="0"/>
      <c r="GYW42" s="0"/>
      <c r="GYX42" s="0"/>
      <c r="GYY42" s="0"/>
      <c r="GYZ42" s="0"/>
      <c r="GZA42" s="0"/>
      <c r="GZB42" s="0"/>
      <c r="GZC42" s="0"/>
      <c r="GZD42" s="0"/>
      <c r="GZE42" s="0"/>
      <c r="GZF42" s="0"/>
      <c r="GZG42" s="0"/>
      <c r="GZH42" s="0"/>
      <c r="GZI42" s="0"/>
      <c r="GZJ42" s="0"/>
      <c r="GZK42" s="0"/>
      <c r="GZL42" s="0"/>
      <c r="GZM42" s="0"/>
      <c r="GZN42" s="0"/>
      <c r="GZO42" s="0"/>
      <c r="GZP42" s="0"/>
      <c r="GZQ42" s="0"/>
      <c r="GZR42" s="0"/>
      <c r="GZS42" s="0"/>
      <c r="GZT42" s="0"/>
      <c r="GZU42" s="0"/>
      <c r="GZV42" s="0"/>
      <c r="GZW42" s="0"/>
      <c r="GZX42" s="0"/>
      <c r="GZY42" s="0"/>
      <c r="GZZ42" s="0"/>
      <c r="HAA42" s="0"/>
      <c r="HAB42" s="0"/>
      <c r="HAC42" s="0"/>
      <c r="HAD42" s="0"/>
      <c r="HAE42" s="0"/>
      <c r="HAF42" s="0"/>
      <c r="HAG42" s="0"/>
      <c r="HAH42" s="0"/>
      <c r="HAI42" s="0"/>
      <c r="HAJ42" s="0"/>
      <c r="HAK42" s="0"/>
      <c r="HAL42" s="0"/>
      <c r="HAM42" s="0"/>
      <c r="HAN42" s="0"/>
      <c r="HAO42" s="0"/>
      <c r="HAP42" s="0"/>
      <c r="HAQ42" s="0"/>
      <c r="HAR42" s="0"/>
      <c r="HAS42" s="0"/>
      <c r="HAT42" s="0"/>
      <c r="HAU42" s="0"/>
      <c r="HAV42" s="0"/>
      <c r="HAW42" s="0"/>
      <c r="HAX42" s="0"/>
      <c r="HAY42" s="0"/>
      <c r="HAZ42" s="0"/>
      <c r="HBA42" s="0"/>
      <c r="HBB42" s="0"/>
      <c r="HBC42" s="0"/>
      <c r="HBD42" s="0"/>
      <c r="HBE42" s="0"/>
      <c r="HBF42" s="0"/>
      <c r="HBG42" s="0"/>
      <c r="HBH42" s="0"/>
      <c r="HBI42" s="0"/>
      <c r="HBJ42" s="0"/>
      <c r="HBK42" s="0"/>
      <c r="HBL42" s="0"/>
      <c r="HBM42" s="0"/>
      <c r="HBN42" s="0"/>
      <c r="HBO42" s="0"/>
      <c r="HBP42" s="0"/>
      <c r="HBQ42" s="0"/>
      <c r="HBR42" s="0"/>
      <c r="HBS42" s="0"/>
      <c r="HBT42" s="0"/>
      <c r="HBU42" s="0"/>
      <c r="HBV42" s="0"/>
      <c r="HBW42" s="0"/>
      <c r="HBX42" s="0"/>
      <c r="HBY42" s="0"/>
      <c r="HBZ42" s="0"/>
      <c r="HCA42" s="0"/>
      <c r="HCB42" s="0"/>
      <c r="HCC42" s="0"/>
      <c r="HCD42" s="0"/>
      <c r="HCE42" s="0"/>
      <c r="HCF42" s="0"/>
      <c r="HCG42" s="0"/>
      <c r="HCH42" s="0"/>
      <c r="HCI42" s="0"/>
      <c r="HCJ42" s="0"/>
      <c r="HCK42" s="0"/>
      <c r="HCL42" s="0"/>
      <c r="HCM42" s="0"/>
      <c r="HCN42" s="0"/>
      <c r="HCO42" s="0"/>
      <c r="HCP42" s="0"/>
      <c r="HCQ42" s="0"/>
      <c r="HCR42" s="0"/>
      <c r="HCS42" s="0"/>
      <c r="HCT42" s="0"/>
      <c r="HCU42" s="0"/>
      <c r="HCV42" s="0"/>
      <c r="HCW42" s="0"/>
      <c r="HCX42" s="0"/>
      <c r="HCY42" s="0"/>
      <c r="HCZ42" s="0"/>
      <c r="HDA42" s="0"/>
      <c r="HDB42" s="0"/>
      <c r="HDC42" s="0"/>
      <c r="HDD42" s="0"/>
      <c r="HDE42" s="0"/>
      <c r="HDF42" s="0"/>
      <c r="HDG42" s="0"/>
      <c r="HDH42" s="0"/>
      <c r="HDI42" s="0"/>
      <c r="HDJ42" s="0"/>
      <c r="HDK42" s="0"/>
      <c r="HDL42" s="0"/>
      <c r="HDM42" s="0"/>
      <c r="HDN42" s="0"/>
      <c r="HDO42" s="0"/>
      <c r="HDP42" s="0"/>
      <c r="HDQ42" s="0"/>
      <c r="HDR42" s="0"/>
      <c r="HDS42" s="0"/>
      <c r="HDT42" s="0"/>
      <c r="HDU42" s="0"/>
      <c r="HDV42" s="0"/>
      <c r="HDW42" s="0"/>
      <c r="HDX42" s="0"/>
      <c r="HDY42" s="0"/>
      <c r="HDZ42" s="0"/>
      <c r="HEA42" s="0"/>
      <c r="HEB42" s="0"/>
      <c r="HEC42" s="0"/>
      <c r="HED42" s="0"/>
      <c r="HEE42" s="0"/>
      <c r="HEF42" s="0"/>
      <c r="HEG42" s="0"/>
      <c r="HEH42" s="0"/>
      <c r="HEI42" s="0"/>
      <c r="HEJ42" s="0"/>
      <c r="HEK42" s="0"/>
      <c r="HEL42" s="0"/>
      <c r="HEM42" s="0"/>
      <c r="HEN42" s="0"/>
      <c r="HEO42" s="0"/>
      <c r="HEP42" s="0"/>
      <c r="HEQ42" s="0"/>
      <c r="HER42" s="0"/>
      <c r="HES42" s="0"/>
      <c r="HET42" s="0"/>
      <c r="HEU42" s="0"/>
      <c r="HEV42" s="0"/>
      <c r="HEW42" s="0"/>
      <c r="HEX42" s="0"/>
      <c r="HEY42" s="0"/>
      <c r="HEZ42" s="0"/>
      <c r="HFA42" s="0"/>
      <c r="HFB42" s="0"/>
      <c r="HFC42" s="0"/>
      <c r="HFD42" s="0"/>
      <c r="HFE42" s="0"/>
      <c r="HFF42" s="0"/>
      <c r="HFG42" s="0"/>
      <c r="HFH42" s="0"/>
      <c r="HFI42" s="0"/>
      <c r="HFJ42" s="0"/>
      <c r="HFK42" s="0"/>
      <c r="HFL42" s="0"/>
      <c r="HFM42" s="0"/>
      <c r="HFN42" s="0"/>
      <c r="HFO42" s="0"/>
      <c r="HFP42" s="0"/>
      <c r="HFQ42" s="0"/>
      <c r="HFR42" s="0"/>
      <c r="HFS42" s="0"/>
      <c r="HFT42" s="0"/>
      <c r="HFU42" s="0"/>
      <c r="HFV42" s="0"/>
      <c r="HFW42" s="0"/>
      <c r="HFX42" s="0"/>
      <c r="HFY42" s="0"/>
      <c r="HFZ42" s="0"/>
      <c r="HGA42" s="0"/>
      <c r="HGB42" s="0"/>
      <c r="HGC42" s="0"/>
      <c r="HGD42" s="0"/>
      <c r="HGE42" s="0"/>
      <c r="HGF42" s="0"/>
      <c r="HGG42" s="0"/>
      <c r="HGH42" s="0"/>
      <c r="HGI42" s="0"/>
      <c r="HGJ42" s="0"/>
      <c r="HGK42" s="0"/>
      <c r="HGL42" s="0"/>
      <c r="HGM42" s="0"/>
      <c r="HGN42" s="0"/>
      <c r="HGO42" s="0"/>
      <c r="HGP42" s="0"/>
      <c r="HGQ42" s="0"/>
      <c r="HGR42" s="0"/>
      <c r="HGS42" s="0"/>
      <c r="HGT42" s="0"/>
      <c r="HGU42" s="0"/>
      <c r="HGV42" s="0"/>
      <c r="HGW42" s="0"/>
      <c r="HGX42" s="0"/>
      <c r="HGY42" s="0"/>
      <c r="HGZ42" s="0"/>
      <c r="HHA42" s="0"/>
      <c r="HHB42" s="0"/>
      <c r="HHC42" s="0"/>
      <c r="HHD42" s="0"/>
      <c r="HHE42" s="0"/>
      <c r="HHF42" s="0"/>
      <c r="HHG42" s="0"/>
      <c r="HHH42" s="0"/>
      <c r="HHI42" s="0"/>
      <c r="HHJ42" s="0"/>
      <c r="HHK42" s="0"/>
      <c r="HHL42" s="0"/>
      <c r="HHM42" s="0"/>
      <c r="HHN42" s="0"/>
      <c r="HHO42" s="0"/>
      <c r="HHP42" s="0"/>
      <c r="HHQ42" s="0"/>
      <c r="HHR42" s="0"/>
      <c r="HHS42" s="0"/>
      <c r="HHT42" s="0"/>
      <c r="HHU42" s="0"/>
      <c r="HHV42" s="0"/>
      <c r="HHW42" s="0"/>
      <c r="HHX42" s="0"/>
      <c r="HHY42" s="0"/>
      <c r="HHZ42" s="0"/>
      <c r="HIA42" s="0"/>
      <c r="HIB42" s="0"/>
      <c r="HIC42" s="0"/>
      <c r="HID42" s="0"/>
      <c r="HIE42" s="0"/>
      <c r="HIF42" s="0"/>
      <c r="HIG42" s="0"/>
      <c r="HIH42" s="0"/>
      <c r="HII42" s="0"/>
      <c r="HIJ42" s="0"/>
      <c r="HIK42" s="0"/>
      <c r="HIL42" s="0"/>
      <c r="HIM42" s="0"/>
      <c r="HIN42" s="0"/>
      <c r="HIO42" s="0"/>
      <c r="HIP42" s="0"/>
      <c r="HIQ42" s="0"/>
      <c r="HIR42" s="0"/>
      <c r="HIS42" s="0"/>
      <c r="HIT42" s="0"/>
      <c r="HIU42" s="0"/>
      <c r="HIV42" s="0"/>
      <c r="HIW42" s="0"/>
      <c r="HIX42" s="0"/>
      <c r="HIY42" s="0"/>
      <c r="HIZ42" s="0"/>
      <c r="HJA42" s="0"/>
      <c r="HJB42" s="0"/>
      <c r="HJC42" s="0"/>
      <c r="HJD42" s="0"/>
      <c r="HJE42" s="0"/>
      <c r="HJF42" s="0"/>
      <c r="HJG42" s="0"/>
      <c r="HJH42" s="0"/>
      <c r="HJI42" s="0"/>
      <c r="HJJ42" s="0"/>
      <c r="HJK42" s="0"/>
      <c r="HJL42" s="0"/>
      <c r="HJM42" s="0"/>
      <c r="HJN42" s="0"/>
      <c r="HJO42" s="0"/>
      <c r="HJP42" s="0"/>
      <c r="HJQ42" s="0"/>
      <c r="HJR42" s="0"/>
      <c r="HJS42" s="0"/>
      <c r="HJT42" s="0"/>
      <c r="HJU42" s="0"/>
      <c r="HJV42" s="0"/>
      <c r="HJW42" s="0"/>
      <c r="HJX42" s="0"/>
      <c r="HJY42" s="0"/>
      <c r="HJZ42" s="0"/>
      <c r="HKA42" s="0"/>
      <c r="HKB42" s="0"/>
      <c r="HKC42" s="0"/>
      <c r="HKD42" s="0"/>
      <c r="HKE42" s="0"/>
      <c r="HKF42" s="0"/>
      <c r="HKG42" s="0"/>
      <c r="HKH42" s="0"/>
      <c r="HKI42" s="0"/>
      <c r="HKJ42" s="0"/>
      <c r="HKK42" s="0"/>
      <c r="HKL42" s="0"/>
      <c r="HKM42" s="0"/>
      <c r="HKN42" s="0"/>
      <c r="HKO42" s="0"/>
      <c r="HKP42" s="0"/>
      <c r="HKQ42" s="0"/>
      <c r="HKR42" s="0"/>
      <c r="HKS42" s="0"/>
      <c r="HKT42" s="0"/>
      <c r="HKU42" s="0"/>
      <c r="HKV42" s="0"/>
      <c r="HKW42" s="0"/>
      <c r="HKX42" s="0"/>
      <c r="HKY42" s="0"/>
      <c r="HKZ42" s="0"/>
      <c r="HLA42" s="0"/>
      <c r="HLB42" s="0"/>
      <c r="HLC42" s="0"/>
      <c r="HLD42" s="0"/>
      <c r="HLE42" s="0"/>
      <c r="HLF42" s="0"/>
      <c r="HLG42" s="0"/>
      <c r="HLH42" s="0"/>
      <c r="HLI42" s="0"/>
      <c r="HLJ42" s="0"/>
      <c r="HLK42" s="0"/>
      <c r="HLL42" s="0"/>
      <c r="HLM42" s="0"/>
      <c r="HLN42" s="0"/>
      <c r="HLO42" s="0"/>
      <c r="HLP42" s="0"/>
      <c r="HLQ42" s="0"/>
      <c r="HLR42" s="0"/>
      <c r="HLS42" s="0"/>
      <c r="HLT42" s="0"/>
      <c r="HLU42" s="0"/>
      <c r="HLV42" s="0"/>
      <c r="HLW42" s="0"/>
      <c r="HLX42" s="0"/>
      <c r="HLY42" s="0"/>
      <c r="HLZ42" s="0"/>
      <c r="HMA42" s="0"/>
      <c r="HMB42" s="0"/>
      <c r="HMC42" s="0"/>
      <c r="HMD42" s="0"/>
      <c r="HME42" s="0"/>
      <c r="HMF42" s="0"/>
      <c r="HMG42" s="0"/>
      <c r="HMH42" s="0"/>
      <c r="HMI42" s="0"/>
      <c r="HMJ42" s="0"/>
      <c r="HMK42" s="0"/>
      <c r="HML42" s="0"/>
      <c r="HMM42" s="0"/>
      <c r="HMN42" s="0"/>
      <c r="HMO42" s="0"/>
      <c r="HMP42" s="0"/>
      <c r="HMQ42" s="0"/>
      <c r="HMR42" s="0"/>
      <c r="HMS42" s="0"/>
      <c r="HMT42" s="0"/>
      <c r="HMU42" s="0"/>
      <c r="HMV42" s="0"/>
      <c r="HMW42" s="0"/>
      <c r="HMX42" s="0"/>
      <c r="HMY42" s="0"/>
      <c r="HMZ42" s="0"/>
      <c r="HNA42" s="0"/>
      <c r="HNB42" s="0"/>
      <c r="HNC42" s="0"/>
      <c r="HND42" s="0"/>
      <c r="HNE42" s="0"/>
      <c r="HNF42" s="0"/>
      <c r="HNG42" s="0"/>
      <c r="HNH42" s="0"/>
      <c r="HNI42" s="0"/>
      <c r="HNJ42" s="0"/>
      <c r="HNK42" s="0"/>
      <c r="HNL42" s="0"/>
      <c r="HNM42" s="0"/>
      <c r="HNN42" s="0"/>
      <c r="HNO42" s="0"/>
      <c r="HNP42" s="0"/>
      <c r="HNQ42" s="0"/>
      <c r="HNR42" s="0"/>
      <c r="HNS42" s="0"/>
      <c r="HNT42" s="0"/>
      <c r="HNU42" s="0"/>
      <c r="HNV42" s="0"/>
      <c r="HNW42" s="0"/>
      <c r="HNX42" s="0"/>
      <c r="HNY42" s="0"/>
      <c r="HNZ42" s="0"/>
      <c r="HOA42" s="0"/>
      <c r="HOB42" s="0"/>
      <c r="HOC42" s="0"/>
      <c r="HOD42" s="0"/>
      <c r="HOE42" s="0"/>
      <c r="HOF42" s="0"/>
      <c r="HOG42" s="0"/>
      <c r="HOH42" s="0"/>
      <c r="HOI42" s="0"/>
      <c r="HOJ42" s="0"/>
      <c r="HOK42" s="0"/>
      <c r="HOL42" s="0"/>
      <c r="HOM42" s="0"/>
      <c r="HON42" s="0"/>
      <c r="HOO42" s="0"/>
      <c r="HOP42" s="0"/>
      <c r="HOQ42" s="0"/>
      <c r="HOR42" s="0"/>
      <c r="HOS42" s="0"/>
      <c r="HOT42" s="0"/>
      <c r="HOU42" s="0"/>
      <c r="HOV42" s="0"/>
      <c r="HOW42" s="0"/>
      <c r="HOX42" s="0"/>
      <c r="HOY42" s="0"/>
      <c r="HOZ42" s="0"/>
      <c r="HPA42" s="0"/>
      <c r="HPB42" s="0"/>
      <c r="HPC42" s="0"/>
      <c r="HPD42" s="0"/>
      <c r="HPE42" s="0"/>
      <c r="HPF42" s="0"/>
      <c r="HPG42" s="0"/>
      <c r="HPH42" s="0"/>
      <c r="HPI42" s="0"/>
      <c r="HPJ42" s="0"/>
      <c r="HPK42" s="0"/>
      <c r="HPL42" s="0"/>
      <c r="HPM42" s="0"/>
      <c r="HPN42" s="0"/>
      <c r="HPO42" s="0"/>
      <c r="HPP42" s="0"/>
      <c r="HPQ42" s="0"/>
      <c r="HPR42" s="0"/>
      <c r="HPS42" s="0"/>
      <c r="HPT42" s="0"/>
      <c r="HPU42" s="0"/>
      <c r="HPV42" s="0"/>
      <c r="HPW42" s="0"/>
      <c r="HPX42" s="0"/>
      <c r="HPY42" s="0"/>
      <c r="HPZ42" s="0"/>
      <c r="HQA42" s="0"/>
      <c r="HQB42" s="0"/>
      <c r="HQC42" s="0"/>
      <c r="HQD42" s="0"/>
      <c r="HQE42" s="0"/>
      <c r="HQF42" s="0"/>
      <c r="HQG42" s="0"/>
      <c r="HQH42" s="0"/>
      <c r="HQI42" s="0"/>
      <c r="HQJ42" s="0"/>
      <c r="HQK42" s="0"/>
      <c r="HQL42" s="0"/>
      <c r="HQM42" s="0"/>
      <c r="HQN42" s="0"/>
      <c r="HQO42" s="0"/>
      <c r="HQP42" s="0"/>
      <c r="HQQ42" s="0"/>
      <c r="HQR42" s="0"/>
      <c r="HQS42" s="0"/>
      <c r="HQT42" s="0"/>
      <c r="HQU42" s="0"/>
      <c r="HQV42" s="0"/>
      <c r="HQW42" s="0"/>
      <c r="HQX42" s="0"/>
      <c r="HQY42" s="0"/>
      <c r="HQZ42" s="0"/>
      <c r="HRA42" s="0"/>
      <c r="HRB42" s="0"/>
      <c r="HRC42" s="0"/>
      <c r="HRD42" s="0"/>
      <c r="HRE42" s="0"/>
      <c r="HRF42" s="0"/>
      <c r="HRG42" s="0"/>
      <c r="HRH42" s="0"/>
      <c r="HRI42" s="0"/>
      <c r="HRJ42" s="0"/>
      <c r="HRK42" s="0"/>
      <c r="HRL42" s="0"/>
      <c r="HRM42" s="0"/>
      <c r="HRN42" s="0"/>
      <c r="HRO42" s="0"/>
      <c r="HRP42" s="0"/>
      <c r="HRQ42" s="0"/>
      <c r="HRR42" s="0"/>
      <c r="HRS42" s="0"/>
      <c r="HRT42" s="0"/>
      <c r="HRU42" s="0"/>
      <c r="HRV42" s="0"/>
      <c r="HRW42" s="0"/>
      <c r="HRX42" s="0"/>
      <c r="HRY42" s="0"/>
      <c r="HRZ42" s="0"/>
      <c r="HSA42" s="0"/>
      <c r="HSB42" s="0"/>
      <c r="HSC42" s="0"/>
      <c r="HSD42" s="0"/>
      <c r="HSE42" s="0"/>
      <c r="HSF42" s="0"/>
      <c r="HSG42" s="0"/>
      <c r="HSH42" s="0"/>
      <c r="HSI42" s="0"/>
      <c r="HSJ42" s="0"/>
      <c r="HSK42" s="0"/>
      <c r="HSL42" s="0"/>
      <c r="HSM42" s="0"/>
      <c r="HSN42" s="0"/>
      <c r="HSO42" s="0"/>
      <c r="HSP42" s="0"/>
      <c r="HSQ42" s="0"/>
      <c r="HSR42" s="0"/>
      <c r="HSS42" s="0"/>
      <c r="HST42" s="0"/>
      <c r="HSU42" s="0"/>
      <c r="HSV42" s="0"/>
      <c r="HSW42" s="0"/>
      <c r="HSX42" s="0"/>
      <c r="HSY42" s="0"/>
      <c r="HSZ42" s="0"/>
      <c r="HTA42" s="0"/>
      <c r="HTB42" s="0"/>
      <c r="HTC42" s="0"/>
      <c r="HTD42" s="0"/>
      <c r="HTE42" s="0"/>
      <c r="HTF42" s="0"/>
      <c r="HTG42" s="0"/>
      <c r="HTH42" s="0"/>
      <c r="HTI42" s="0"/>
      <c r="HTJ42" s="0"/>
      <c r="HTK42" s="0"/>
      <c r="HTL42" s="0"/>
      <c r="HTM42" s="0"/>
      <c r="HTN42" s="0"/>
      <c r="HTO42" s="0"/>
      <c r="HTP42" s="0"/>
      <c r="HTQ42" s="0"/>
      <c r="HTR42" s="0"/>
      <c r="HTS42" s="0"/>
      <c r="HTT42" s="0"/>
      <c r="HTU42" s="0"/>
      <c r="HTV42" s="0"/>
      <c r="HTW42" s="0"/>
      <c r="HTX42" s="0"/>
      <c r="HTY42" s="0"/>
      <c r="HTZ42" s="0"/>
      <c r="HUA42" s="0"/>
      <c r="HUB42" s="0"/>
      <c r="HUC42" s="0"/>
      <c r="HUD42" s="0"/>
      <c r="HUE42" s="0"/>
      <c r="HUF42" s="0"/>
      <c r="HUG42" s="0"/>
      <c r="HUH42" s="0"/>
      <c r="HUI42" s="0"/>
      <c r="HUJ42" s="0"/>
      <c r="HUK42" s="0"/>
      <c r="HUL42" s="0"/>
      <c r="HUM42" s="0"/>
      <c r="HUN42" s="0"/>
      <c r="HUO42" s="0"/>
      <c r="HUP42" s="0"/>
      <c r="HUQ42" s="0"/>
      <c r="HUR42" s="0"/>
      <c r="HUS42" s="0"/>
      <c r="HUT42" s="0"/>
      <c r="HUU42" s="0"/>
      <c r="HUV42" s="0"/>
      <c r="HUW42" s="0"/>
      <c r="HUX42" s="0"/>
      <c r="HUY42" s="0"/>
      <c r="HUZ42" s="0"/>
      <c r="HVA42" s="0"/>
      <c r="HVB42" s="0"/>
      <c r="HVC42" s="0"/>
      <c r="HVD42" s="0"/>
      <c r="HVE42" s="0"/>
      <c r="HVF42" s="0"/>
      <c r="HVG42" s="0"/>
      <c r="HVH42" s="0"/>
      <c r="HVI42" s="0"/>
      <c r="HVJ42" s="0"/>
      <c r="HVK42" s="0"/>
      <c r="HVL42" s="0"/>
      <c r="HVM42" s="0"/>
      <c r="HVN42" s="0"/>
      <c r="HVO42" s="0"/>
      <c r="HVP42" s="0"/>
      <c r="HVQ42" s="0"/>
      <c r="HVR42" s="0"/>
      <c r="HVS42" s="0"/>
      <c r="HVT42" s="0"/>
      <c r="HVU42" s="0"/>
      <c r="HVV42" s="0"/>
      <c r="HVW42" s="0"/>
      <c r="HVX42" s="0"/>
      <c r="HVY42" s="0"/>
      <c r="HVZ42" s="0"/>
      <c r="HWA42" s="0"/>
      <c r="HWB42" s="0"/>
      <c r="HWC42" s="0"/>
      <c r="HWD42" s="0"/>
      <c r="HWE42" s="0"/>
      <c r="HWF42" s="0"/>
      <c r="HWG42" s="0"/>
      <c r="HWH42" s="0"/>
      <c r="HWI42" s="0"/>
      <c r="HWJ42" s="0"/>
      <c r="HWK42" s="0"/>
      <c r="HWL42" s="0"/>
      <c r="HWM42" s="0"/>
      <c r="HWN42" s="0"/>
      <c r="HWO42" s="0"/>
      <c r="HWP42" s="0"/>
      <c r="HWQ42" s="0"/>
      <c r="HWR42" s="0"/>
      <c r="HWS42" s="0"/>
      <c r="HWT42" s="0"/>
      <c r="HWU42" s="0"/>
      <c r="HWV42" s="0"/>
      <c r="HWW42" s="0"/>
      <c r="HWX42" s="0"/>
      <c r="HWY42" s="0"/>
      <c r="HWZ42" s="0"/>
      <c r="HXA42" s="0"/>
      <c r="HXB42" s="0"/>
      <c r="HXC42" s="0"/>
      <c r="HXD42" s="0"/>
      <c r="HXE42" s="0"/>
      <c r="HXF42" s="0"/>
      <c r="HXG42" s="0"/>
      <c r="HXH42" s="0"/>
      <c r="HXI42" s="0"/>
      <c r="HXJ42" s="0"/>
      <c r="HXK42" s="0"/>
      <c r="HXL42" s="0"/>
      <c r="HXM42" s="0"/>
      <c r="HXN42" s="0"/>
      <c r="HXO42" s="0"/>
      <c r="HXP42" s="0"/>
      <c r="HXQ42" s="0"/>
      <c r="HXR42" s="0"/>
      <c r="HXS42" s="0"/>
      <c r="HXT42" s="0"/>
      <c r="HXU42" s="0"/>
      <c r="HXV42" s="0"/>
      <c r="HXW42" s="0"/>
      <c r="HXX42" s="0"/>
      <c r="HXY42" s="0"/>
      <c r="HXZ42" s="0"/>
      <c r="HYA42" s="0"/>
      <c r="HYB42" s="0"/>
      <c r="HYC42" s="0"/>
      <c r="HYD42" s="0"/>
      <c r="HYE42" s="0"/>
      <c r="HYF42" s="0"/>
      <c r="HYG42" s="0"/>
      <c r="HYH42" s="0"/>
      <c r="HYI42" s="0"/>
      <c r="HYJ42" s="0"/>
      <c r="HYK42" s="0"/>
      <c r="HYL42" s="0"/>
      <c r="HYM42" s="0"/>
      <c r="HYN42" s="0"/>
      <c r="HYO42" s="0"/>
      <c r="HYP42" s="0"/>
      <c r="HYQ42" s="0"/>
      <c r="HYR42" s="0"/>
      <c r="HYS42" s="0"/>
      <c r="HYT42" s="0"/>
      <c r="HYU42" s="0"/>
      <c r="HYV42" s="0"/>
      <c r="HYW42" s="0"/>
      <c r="HYX42" s="0"/>
      <c r="HYY42" s="0"/>
      <c r="HYZ42" s="0"/>
      <c r="HZA42" s="0"/>
      <c r="HZB42" s="0"/>
      <c r="HZC42" s="0"/>
      <c r="HZD42" s="0"/>
      <c r="HZE42" s="0"/>
      <c r="HZF42" s="0"/>
      <c r="HZG42" s="0"/>
      <c r="HZH42" s="0"/>
      <c r="HZI42" s="0"/>
      <c r="HZJ42" s="0"/>
      <c r="HZK42" s="0"/>
      <c r="HZL42" s="0"/>
      <c r="HZM42" s="0"/>
      <c r="HZN42" s="0"/>
      <c r="HZO42" s="0"/>
      <c r="HZP42" s="0"/>
      <c r="HZQ42" s="0"/>
      <c r="HZR42" s="0"/>
      <c r="HZS42" s="0"/>
      <c r="HZT42" s="0"/>
      <c r="HZU42" s="0"/>
      <c r="HZV42" s="0"/>
      <c r="HZW42" s="0"/>
      <c r="HZX42" s="0"/>
      <c r="HZY42" s="0"/>
      <c r="HZZ42" s="0"/>
      <c r="IAA42" s="0"/>
      <c r="IAB42" s="0"/>
      <c r="IAC42" s="0"/>
      <c r="IAD42" s="0"/>
      <c r="IAE42" s="0"/>
      <c r="IAF42" s="0"/>
      <c r="IAG42" s="0"/>
      <c r="IAH42" s="0"/>
      <c r="IAI42" s="0"/>
      <c r="IAJ42" s="0"/>
      <c r="IAK42" s="0"/>
      <c r="IAL42" s="0"/>
      <c r="IAM42" s="0"/>
      <c r="IAN42" s="0"/>
      <c r="IAO42" s="0"/>
      <c r="IAP42" s="0"/>
      <c r="IAQ42" s="0"/>
      <c r="IAR42" s="0"/>
      <c r="IAS42" s="0"/>
      <c r="IAT42" s="0"/>
      <c r="IAU42" s="0"/>
      <c r="IAV42" s="0"/>
      <c r="IAW42" s="0"/>
      <c r="IAX42" s="0"/>
      <c r="IAY42" s="0"/>
      <c r="IAZ42" s="0"/>
      <c r="IBA42" s="0"/>
      <c r="IBB42" s="0"/>
      <c r="IBC42" s="0"/>
      <c r="IBD42" s="0"/>
      <c r="IBE42" s="0"/>
      <c r="IBF42" s="0"/>
      <c r="IBG42" s="0"/>
      <c r="IBH42" s="0"/>
      <c r="IBI42" s="0"/>
      <c r="IBJ42" s="0"/>
      <c r="IBK42" s="0"/>
      <c r="IBL42" s="0"/>
      <c r="IBM42" s="0"/>
      <c r="IBN42" s="0"/>
      <c r="IBO42" s="0"/>
      <c r="IBP42" s="0"/>
      <c r="IBQ42" s="0"/>
      <c r="IBR42" s="0"/>
      <c r="IBS42" s="0"/>
      <c r="IBT42" s="0"/>
      <c r="IBU42" s="0"/>
      <c r="IBV42" s="0"/>
      <c r="IBW42" s="0"/>
      <c r="IBX42" s="0"/>
      <c r="IBY42" s="0"/>
      <c r="IBZ42" s="0"/>
      <c r="ICA42" s="0"/>
      <c r="ICB42" s="0"/>
      <c r="ICC42" s="0"/>
      <c r="ICD42" s="0"/>
      <c r="ICE42" s="0"/>
      <c r="ICF42" s="0"/>
      <c r="ICG42" s="0"/>
      <c r="ICH42" s="0"/>
      <c r="ICI42" s="0"/>
      <c r="ICJ42" s="0"/>
      <c r="ICK42" s="0"/>
      <c r="ICL42" s="0"/>
      <c r="ICM42" s="0"/>
      <c r="ICN42" s="0"/>
      <c r="ICO42" s="0"/>
      <c r="ICP42" s="0"/>
      <c r="ICQ42" s="0"/>
      <c r="ICR42" s="0"/>
      <c r="ICS42" s="0"/>
      <c r="ICT42" s="0"/>
      <c r="ICU42" s="0"/>
      <c r="ICV42" s="0"/>
      <c r="ICW42" s="0"/>
      <c r="ICX42" s="0"/>
      <c r="ICY42" s="0"/>
      <c r="ICZ42" s="0"/>
      <c r="IDA42" s="0"/>
      <c r="IDB42" s="0"/>
      <c r="IDC42" s="0"/>
      <c r="IDD42" s="0"/>
      <c r="IDE42" s="0"/>
      <c r="IDF42" s="0"/>
      <c r="IDG42" s="0"/>
      <c r="IDH42" s="0"/>
      <c r="IDI42" s="0"/>
      <c r="IDJ42" s="0"/>
      <c r="IDK42" s="0"/>
      <c r="IDL42" s="0"/>
      <c r="IDM42" s="0"/>
      <c r="IDN42" s="0"/>
      <c r="IDO42" s="0"/>
      <c r="IDP42" s="0"/>
      <c r="IDQ42" s="0"/>
      <c r="IDR42" s="0"/>
      <c r="IDS42" s="0"/>
      <c r="IDT42" s="0"/>
      <c r="IDU42" s="0"/>
      <c r="IDV42" s="0"/>
      <c r="IDW42" s="0"/>
      <c r="IDX42" s="0"/>
      <c r="IDY42" s="0"/>
      <c r="IDZ42" s="0"/>
      <c r="IEA42" s="0"/>
      <c r="IEB42" s="0"/>
      <c r="IEC42" s="0"/>
      <c r="IED42" s="0"/>
      <c r="IEE42" s="0"/>
      <c r="IEF42" s="0"/>
      <c r="IEG42" s="0"/>
      <c r="IEH42" s="0"/>
      <c r="IEI42" s="0"/>
      <c r="IEJ42" s="0"/>
      <c r="IEK42" s="0"/>
      <c r="IEL42" s="0"/>
      <c r="IEM42" s="0"/>
      <c r="IEN42" s="0"/>
      <c r="IEO42" s="0"/>
      <c r="IEP42" s="0"/>
      <c r="IEQ42" s="0"/>
      <c r="IER42" s="0"/>
      <c r="IES42" s="0"/>
      <c r="IET42" s="0"/>
      <c r="IEU42" s="0"/>
      <c r="IEV42" s="0"/>
      <c r="IEW42" s="0"/>
      <c r="IEX42" s="0"/>
      <c r="IEY42" s="0"/>
      <c r="IEZ42" s="0"/>
      <c r="IFA42" s="0"/>
      <c r="IFB42" s="0"/>
      <c r="IFC42" s="0"/>
      <c r="IFD42" s="0"/>
      <c r="IFE42" s="0"/>
      <c r="IFF42" s="0"/>
      <c r="IFG42" s="0"/>
      <c r="IFH42" s="0"/>
      <c r="IFI42" s="0"/>
      <c r="IFJ42" s="0"/>
      <c r="IFK42" s="0"/>
      <c r="IFL42" s="0"/>
      <c r="IFM42" s="0"/>
      <c r="IFN42" s="0"/>
      <c r="IFO42" s="0"/>
      <c r="IFP42" s="0"/>
      <c r="IFQ42" s="0"/>
      <c r="IFR42" s="0"/>
      <c r="IFS42" s="0"/>
      <c r="IFT42" s="0"/>
      <c r="IFU42" s="0"/>
      <c r="IFV42" s="0"/>
      <c r="IFW42" s="0"/>
      <c r="IFX42" s="0"/>
      <c r="IFY42" s="0"/>
      <c r="IFZ42" s="0"/>
      <c r="IGA42" s="0"/>
      <c r="IGB42" s="0"/>
      <c r="IGC42" s="0"/>
      <c r="IGD42" s="0"/>
      <c r="IGE42" s="0"/>
      <c r="IGF42" s="0"/>
      <c r="IGG42" s="0"/>
      <c r="IGH42" s="0"/>
      <c r="IGI42" s="0"/>
      <c r="IGJ42" s="0"/>
      <c r="IGK42" s="0"/>
      <c r="IGL42" s="0"/>
      <c r="IGM42" s="0"/>
      <c r="IGN42" s="0"/>
      <c r="IGO42" s="0"/>
      <c r="IGP42" s="0"/>
      <c r="IGQ42" s="0"/>
      <c r="IGR42" s="0"/>
      <c r="IGS42" s="0"/>
      <c r="IGT42" s="0"/>
      <c r="IGU42" s="0"/>
      <c r="IGV42" s="0"/>
      <c r="IGW42" s="0"/>
      <c r="IGX42" s="0"/>
      <c r="IGY42" s="0"/>
      <c r="IGZ42" s="0"/>
      <c r="IHA42" s="0"/>
      <c r="IHB42" s="0"/>
      <c r="IHC42" s="0"/>
      <c r="IHD42" s="0"/>
      <c r="IHE42" s="0"/>
      <c r="IHF42" s="0"/>
      <c r="IHG42" s="0"/>
      <c r="IHH42" s="0"/>
      <c r="IHI42" s="0"/>
      <c r="IHJ42" s="0"/>
      <c r="IHK42" s="0"/>
      <c r="IHL42" s="0"/>
      <c r="IHM42" s="0"/>
      <c r="IHN42" s="0"/>
      <c r="IHO42" s="0"/>
      <c r="IHP42" s="0"/>
      <c r="IHQ42" s="0"/>
      <c r="IHR42" s="0"/>
      <c r="IHS42" s="0"/>
      <c r="IHT42" s="0"/>
      <c r="IHU42" s="0"/>
      <c r="IHV42" s="0"/>
      <c r="IHW42" s="0"/>
      <c r="IHX42" s="0"/>
      <c r="IHY42" s="0"/>
      <c r="IHZ42" s="0"/>
      <c r="IIA42" s="0"/>
      <c r="IIB42" s="0"/>
      <c r="IIC42" s="0"/>
      <c r="IID42" s="0"/>
      <c r="IIE42" s="0"/>
      <c r="IIF42" s="0"/>
      <c r="IIG42" s="0"/>
      <c r="IIH42" s="0"/>
      <c r="III42" s="0"/>
      <c r="IIJ42" s="0"/>
      <c r="IIK42" s="0"/>
      <c r="IIL42" s="0"/>
      <c r="IIM42" s="0"/>
      <c r="IIN42" s="0"/>
      <c r="IIO42" s="0"/>
      <c r="IIP42" s="0"/>
      <c r="IIQ42" s="0"/>
      <c r="IIR42" s="0"/>
      <c r="IIS42" s="0"/>
      <c r="IIT42" s="0"/>
      <c r="IIU42" s="0"/>
      <c r="IIV42" s="0"/>
      <c r="IIW42" s="0"/>
      <c r="IIX42" s="0"/>
      <c r="IIY42" s="0"/>
      <c r="IIZ42" s="0"/>
      <c r="IJA42" s="0"/>
      <c r="IJB42" s="0"/>
      <c r="IJC42" s="0"/>
      <c r="IJD42" s="0"/>
      <c r="IJE42" s="0"/>
      <c r="IJF42" s="0"/>
      <c r="IJG42" s="0"/>
      <c r="IJH42" s="0"/>
      <c r="IJI42" s="0"/>
      <c r="IJJ42" s="0"/>
      <c r="IJK42" s="0"/>
      <c r="IJL42" s="0"/>
      <c r="IJM42" s="0"/>
      <c r="IJN42" s="0"/>
      <c r="IJO42" s="0"/>
      <c r="IJP42" s="0"/>
      <c r="IJQ42" s="0"/>
      <c r="IJR42" s="0"/>
      <c r="IJS42" s="0"/>
      <c r="IJT42" s="0"/>
      <c r="IJU42" s="0"/>
      <c r="IJV42" s="0"/>
      <c r="IJW42" s="0"/>
      <c r="IJX42" s="0"/>
      <c r="IJY42" s="0"/>
      <c r="IJZ42" s="0"/>
      <c r="IKA42" s="0"/>
      <c r="IKB42" s="0"/>
      <c r="IKC42" s="0"/>
      <c r="IKD42" s="0"/>
      <c r="IKE42" s="0"/>
      <c r="IKF42" s="0"/>
      <c r="IKG42" s="0"/>
      <c r="IKH42" s="0"/>
      <c r="IKI42" s="0"/>
      <c r="IKJ42" s="0"/>
      <c r="IKK42" s="0"/>
      <c r="IKL42" s="0"/>
      <c r="IKM42" s="0"/>
      <c r="IKN42" s="0"/>
      <c r="IKO42" s="0"/>
      <c r="IKP42" s="0"/>
      <c r="IKQ42" s="0"/>
      <c r="IKR42" s="0"/>
      <c r="IKS42" s="0"/>
      <c r="IKT42" s="0"/>
      <c r="IKU42" s="0"/>
      <c r="IKV42" s="0"/>
      <c r="IKW42" s="0"/>
      <c r="IKX42" s="0"/>
      <c r="IKY42" s="0"/>
      <c r="IKZ42" s="0"/>
      <c r="ILA42" s="0"/>
      <c r="ILB42" s="0"/>
      <c r="ILC42" s="0"/>
      <c r="ILD42" s="0"/>
      <c r="ILE42" s="0"/>
      <c r="ILF42" s="0"/>
      <c r="ILG42" s="0"/>
      <c r="ILH42" s="0"/>
      <c r="ILI42" s="0"/>
      <c r="ILJ42" s="0"/>
      <c r="ILK42" s="0"/>
      <c r="ILL42" s="0"/>
      <c r="ILM42" s="0"/>
      <c r="ILN42" s="0"/>
      <c r="ILO42" s="0"/>
      <c r="ILP42" s="0"/>
      <c r="ILQ42" s="0"/>
      <c r="ILR42" s="0"/>
      <c r="ILS42" s="0"/>
      <c r="ILT42" s="0"/>
      <c r="ILU42" s="0"/>
      <c r="ILV42" s="0"/>
      <c r="ILW42" s="0"/>
      <c r="ILX42" s="0"/>
      <c r="ILY42" s="0"/>
      <c r="ILZ42" s="0"/>
      <c r="IMA42" s="0"/>
      <c r="IMB42" s="0"/>
      <c r="IMC42" s="0"/>
      <c r="IMD42" s="0"/>
      <c r="IME42" s="0"/>
      <c r="IMF42" s="0"/>
      <c r="IMG42" s="0"/>
      <c r="IMH42" s="0"/>
      <c r="IMI42" s="0"/>
      <c r="IMJ42" s="0"/>
      <c r="IMK42" s="0"/>
      <c r="IML42" s="0"/>
      <c r="IMM42" s="0"/>
      <c r="IMN42" s="0"/>
      <c r="IMO42" s="0"/>
      <c r="IMP42" s="0"/>
      <c r="IMQ42" s="0"/>
      <c r="IMR42" s="0"/>
      <c r="IMS42" s="0"/>
      <c r="IMT42" s="0"/>
      <c r="IMU42" s="0"/>
      <c r="IMV42" s="0"/>
      <c r="IMW42" s="0"/>
      <c r="IMX42" s="0"/>
      <c r="IMY42" s="0"/>
      <c r="IMZ42" s="0"/>
      <c r="INA42" s="0"/>
      <c r="INB42" s="0"/>
      <c r="INC42" s="0"/>
      <c r="IND42" s="0"/>
      <c r="INE42" s="0"/>
      <c r="INF42" s="0"/>
      <c r="ING42" s="0"/>
      <c r="INH42" s="0"/>
      <c r="INI42" s="0"/>
      <c r="INJ42" s="0"/>
      <c r="INK42" s="0"/>
      <c r="INL42" s="0"/>
      <c r="INM42" s="0"/>
      <c r="INN42" s="0"/>
      <c r="INO42" s="0"/>
      <c r="INP42" s="0"/>
      <c r="INQ42" s="0"/>
      <c r="INR42" s="0"/>
      <c r="INS42" s="0"/>
      <c r="INT42" s="0"/>
      <c r="INU42" s="0"/>
      <c r="INV42" s="0"/>
      <c r="INW42" s="0"/>
      <c r="INX42" s="0"/>
      <c r="INY42" s="0"/>
      <c r="INZ42" s="0"/>
      <c r="IOA42" s="0"/>
      <c r="IOB42" s="0"/>
      <c r="IOC42" s="0"/>
      <c r="IOD42" s="0"/>
      <c r="IOE42" s="0"/>
      <c r="IOF42" s="0"/>
      <c r="IOG42" s="0"/>
      <c r="IOH42" s="0"/>
      <c r="IOI42" s="0"/>
      <c r="IOJ42" s="0"/>
      <c r="IOK42" s="0"/>
      <c r="IOL42" s="0"/>
      <c r="IOM42" s="0"/>
      <c r="ION42" s="0"/>
      <c r="IOO42" s="0"/>
      <c r="IOP42" s="0"/>
      <c r="IOQ42" s="0"/>
      <c r="IOR42" s="0"/>
      <c r="IOS42" s="0"/>
      <c r="IOT42" s="0"/>
      <c r="IOU42" s="0"/>
      <c r="IOV42" s="0"/>
      <c r="IOW42" s="0"/>
      <c r="IOX42" s="0"/>
      <c r="IOY42" s="0"/>
      <c r="IOZ42" s="0"/>
      <c r="IPA42" s="0"/>
      <c r="IPB42" s="0"/>
      <c r="IPC42" s="0"/>
      <c r="IPD42" s="0"/>
      <c r="IPE42" s="0"/>
      <c r="IPF42" s="0"/>
      <c r="IPG42" s="0"/>
      <c r="IPH42" s="0"/>
      <c r="IPI42" s="0"/>
      <c r="IPJ42" s="0"/>
      <c r="IPK42" s="0"/>
      <c r="IPL42" s="0"/>
      <c r="IPM42" s="0"/>
      <c r="IPN42" s="0"/>
      <c r="IPO42" s="0"/>
      <c r="IPP42" s="0"/>
      <c r="IPQ42" s="0"/>
      <c r="IPR42" s="0"/>
      <c r="IPS42" s="0"/>
      <c r="IPT42" s="0"/>
      <c r="IPU42" s="0"/>
      <c r="IPV42" s="0"/>
      <c r="IPW42" s="0"/>
      <c r="IPX42" s="0"/>
      <c r="IPY42" s="0"/>
      <c r="IPZ42" s="0"/>
      <c r="IQA42" s="0"/>
      <c r="IQB42" s="0"/>
      <c r="IQC42" s="0"/>
      <c r="IQD42" s="0"/>
      <c r="IQE42" s="0"/>
      <c r="IQF42" s="0"/>
      <c r="IQG42" s="0"/>
      <c r="IQH42" s="0"/>
      <c r="IQI42" s="0"/>
      <c r="IQJ42" s="0"/>
      <c r="IQK42" s="0"/>
      <c r="IQL42" s="0"/>
      <c r="IQM42" s="0"/>
      <c r="IQN42" s="0"/>
      <c r="IQO42" s="0"/>
      <c r="IQP42" s="0"/>
      <c r="IQQ42" s="0"/>
      <c r="IQR42" s="0"/>
      <c r="IQS42" s="0"/>
      <c r="IQT42" s="0"/>
      <c r="IQU42" s="0"/>
      <c r="IQV42" s="0"/>
      <c r="IQW42" s="0"/>
      <c r="IQX42" s="0"/>
      <c r="IQY42" s="0"/>
      <c r="IQZ42" s="0"/>
      <c r="IRA42" s="0"/>
      <c r="IRB42" s="0"/>
      <c r="IRC42" s="0"/>
      <c r="IRD42" s="0"/>
      <c r="IRE42" s="0"/>
      <c r="IRF42" s="0"/>
      <c r="IRG42" s="0"/>
      <c r="IRH42" s="0"/>
      <c r="IRI42" s="0"/>
      <c r="IRJ42" s="0"/>
      <c r="IRK42" s="0"/>
      <c r="IRL42" s="0"/>
      <c r="IRM42" s="0"/>
      <c r="IRN42" s="0"/>
      <c r="IRO42" s="0"/>
      <c r="IRP42" s="0"/>
      <c r="IRQ42" s="0"/>
      <c r="IRR42" s="0"/>
      <c r="IRS42" s="0"/>
      <c r="IRT42" s="0"/>
      <c r="IRU42" s="0"/>
      <c r="IRV42" s="0"/>
      <c r="IRW42" s="0"/>
      <c r="IRX42" s="0"/>
      <c r="IRY42" s="0"/>
      <c r="IRZ42" s="0"/>
      <c r="ISA42" s="0"/>
      <c r="ISB42" s="0"/>
      <c r="ISC42" s="0"/>
      <c r="ISD42" s="0"/>
      <c r="ISE42" s="0"/>
      <c r="ISF42" s="0"/>
      <c r="ISG42" s="0"/>
      <c r="ISH42" s="0"/>
      <c r="ISI42" s="0"/>
      <c r="ISJ42" s="0"/>
      <c r="ISK42" s="0"/>
      <c r="ISL42" s="0"/>
      <c r="ISM42" s="0"/>
      <c r="ISN42" s="0"/>
      <c r="ISO42" s="0"/>
      <c r="ISP42" s="0"/>
      <c r="ISQ42" s="0"/>
      <c r="ISR42" s="0"/>
      <c r="ISS42" s="0"/>
      <c r="IST42" s="0"/>
      <c r="ISU42" s="0"/>
      <c r="ISV42" s="0"/>
      <c r="ISW42" s="0"/>
      <c r="ISX42" s="0"/>
      <c r="ISY42" s="0"/>
      <c r="ISZ42" s="0"/>
      <c r="ITA42" s="0"/>
      <c r="ITB42" s="0"/>
      <c r="ITC42" s="0"/>
      <c r="ITD42" s="0"/>
      <c r="ITE42" s="0"/>
      <c r="ITF42" s="0"/>
      <c r="ITG42" s="0"/>
      <c r="ITH42" s="0"/>
      <c r="ITI42" s="0"/>
      <c r="ITJ42" s="0"/>
      <c r="ITK42" s="0"/>
      <c r="ITL42" s="0"/>
      <c r="ITM42" s="0"/>
      <c r="ITN42" s="0"/>
      <c r="ITO42" s="0"/>
      <c r="ITP42" s="0"/>
      <c r="ITQ42" s="0"/>
      <c r="ITR42" s="0"/>
      <c r="ITS42" s="0"/>
      <c r="ITT42" s="0"/>
      <c r="ITU42" s="0"/>
      <c r="ITV42" s="0"/>
      <c r="ITW42" s="0"/>
      <c r="ITX42" s="0"/>
      <c r="ITY42" s="0"/>
      <c r="ITZ42" s="0"/>
      <c r="IUA42" s="0"/>
      <c r="IUB42" s="0"/>
      <c r="IUC42" s="0"/>
      <c r="IUD42" s="0"/>
      <c r="IUE42" s="0"/>
      <c r="IUF42" s="0"/>
      <c r="IUG42" s="0"/>
      <c r="IUH42" s="0"/>
      <c r="IUI42" s="0"/>
      <c r="IUJ42" s="0"/>
      <c r="IUK42" s="0"/>
      <c r="IUL42" s="0"/>
      <c r="IUM42" s="0"/>
      <c r="IUN42" s="0"/>
      <c r="IUO42" s="0"/>
      <c r="IUP42" s="0"/>
      <c r="IUQ42" s="0"/>
      <c r="IUR42" s="0"/>
      <c r="IUS42" s="0"/>
      <c r="IUT42" s="0"/>
      <c r="IUU42" s="0"/>
      <c r="IUV42" s="0"/>
      <c r="IUW42" s="0"/>
      <c r="IUX42" s="0"/>
      <c r="IUY42" s="0"/>
      <c r="IUZ42" s="0"/>
      <c r="IVA42" s="0"/>
      <c r="IVB42" s="0"/>
      <c r="IVC42" s="0"/>
      <c r="IVD42" s="0"/>
      <c r="IVE42" s="0"/>
      <c r="IVF42" s="0"/>
      <c r="IVG42" s="0"/>
      <c r="IVH42" s="0"/>
      <c r="IVI42" s="0"/>
      <c r="IVJ42" s="0"/>
      <c r="IVK42" s="0"/>
      <c r="IVL42" s="0"/>
      <c r="IVM42" s="0"/>
      <c r="IVN42" s="0"/>
      <c r="IVO42" s="0"/>
      <c r="IVP42" s="0"/>
      <c r="IVQ42" s="0"/>
      <c r="IVR42" s="0"/>
      <c r="IVS42" s="0"/>
      <c r="IVT42" s="0"/>
      <c r="IVU42" s="0"/>
      <c r="IVV42" s="0"/>
      <c r="IVW42" s="0"/>
      <c r="IVX42" s="0"/>
      <c r="IVY42" s="0"/>
      <c r="IVZ42" s="0"/>
      <c r="IWA42" s="0"/>
      <c r="IWB42" s="0"/>
      <c r="IWC42" s="0"/>
      <c r="IWD42" s="0"/>
      <c r="IWE42" s="0"/>
      <c r="IWF42" s="0"/>
      <c r="IWG42" s="0"/>
      <c r="IWH42" s="0"/>
      <c r="IWI42" s="0"/>
      <c r="IWJ42" s="0"/>
      <c r="IWK42" s="0"/>
      <c r="IWL42" s="0"/>
      <c r="IWM42" s="0"/>
      <c r="IWN42" s="0"/>
      <c r="IWO42" s="0"/>
      <c r="IWP42" s="0"/>
      <c r="IWQ42" s="0"/>
      <c r="IWR42" s="0"/>
      <c r="IWS42" s="0"/>
      <c r="IWT42" s="0"/>
      <c r="IWU42" s="0"/>
      <c r="IWV42" s="0"/>
      <c r="IWW42" s="0"/>
      <c r="IWX42" s="0"/>
      <c r="IWY42" s="0"/>
      <c r="IWZ42" s="0"/>
      <c r="IXA42" s="0"/>
      <c r="IXB42" s="0"/>
      <c r="IXC42" s="0"/>
      <c r="IXD42" s="0"/>
      <c r="IXE42" s="0"/>
      <c r="IXF42" s="0"/>
      <c r="IXG42" s="0"/>
      <c r="IXH42" s="0"/>
      <c r="IXI42" s="0"/>
      <c r="IXJ42" s="0"/>
      <c r="IXK42" s="0"/>
      <c r="IXL42" s="0"/>
      <c r="IXM42" s="0"/>
      <c r="IXN42" s="0"/>
      <c r="IXO42" s="0"/>
      <c r="IXP42" s="0"/>
      <c r="IXQ42" s="0"/>
      <c r="IXR42" s="0"/>
      <c r="IXS42" s="0"/>
      <c r="IXT42" s="0"/>
      <c r="IXU42" s="0"/>
      <c r="IXV42" s="0"/>
      <c r="IXW42" s="0"/>
      <c r="IXX42" s="0"/>
      <c r="IXY42" s="0"/>
      <c r="IXZ42" s="0"/>
      <c r="IYA42" s="0"/>
      <c r="IYB42" s="0"/>
      <c r="IYC42" s="0"/>
      <c r="IYD42" s="0"/>
      <c r="IYE42" s="0"/>
      <c r="IYF42" s="0"/>
      <c r="IYG42" s="0"/>
      <c r="IYH42" s="0"/>
      <c r="IYI42" s="0"/>
      <c r="IYJ42" s="0"/>
      <c r="IYK42" s="0"/>
      <c r="IYL42" s="0"/>
      <c r="IYM42" s="0"/>
      <c r="IYN42" s="0"/>
      <c r="IYO42" s="0"/>
      <c r="IYP42" s="0"/>
      <c r="IYQ42" s="0"/>
      <c r="IYR42" s="0"/>
      <c r="IYS42" s="0"/>
      <c r="IYT42" s="0"/>
      <c r="IYU42" s="0"/>
      <c r="IYV42" s="0"/>
      <c r="IYW42" s="0"/>
      <c r="IYX42" s="0"/>
      <c r="IYY42" s="0"/>
      <c r="IYZ42" s="0"/>
      <c r="IZA42" s="0"/>
      <c r="IZB42" s="0"/>
      <c r="IZC42" s="0"/>
      <c r="IZD42" s="0"/>
      <c r="IZE42" s="0"/>
      <c r="IZF42" s="0"/>
      <c r="IZG42" s="0"/>
      <c r="IZH42" s="0"/>
      <c r="IZI42" s="0"/>
      <c r="IZJ42" s="0"/>
      <c r="IZK42" s="0"/>
      <c r="IZL42" s="0"/>
      <c r="IZM42" s="0"/>
      <c r="IZN42" s="0"/>
      <c r="IZO42" s="0"/>
      <c r="IZP42" s="0"/>
      <c r="IZQ42" s="0"/>
      <c r="IZR42" s="0"/>
      <c r="IZS42" s="0"/>
      <c r="IZT42" s="0"/>
      <c r="IZU42" s="0"/>
      <c r="IZV42" s="0"/>
      <c r="IZW42" s="0"/>
      <c r="IZX42" s="0"/>
      <c r="IZY42" s="0"/>
      <c r="IZZ42" s="0"/>
      <c r="JAA42" s="0"/>
      <c r="JAB42" s="0"/>
      <c r="JAC42" s="0"/>
      <c r="JAD42" s="0"/>
      <c r="JAE42" s="0"/>
      <c r="JAF42" s="0"/>
      <c r="JAG42" s="0"/>
      <c r="JAH42" s="0"/>
      <c r="JAI42" s="0"/>
      <c r="JAJ42" s="0"/>
      <c r="JAK42" s="0"/>
      <c r="JAL42" s="0"/>
      <c r="JAM42" s="0"/>
      <c r="JAN42" s="0"/>
      <c r="JAO42" s="0"/>
      <c r="JAP42" s="0"/>
      <c r="JAQ42" s="0"/>
      <c r="JAR42" s="0"/>
      <c r="JAS42" s="0"/>
      <c r="JAT42" s="0"/>
      <c r="JAU42" s="0"/>
      <c r="JAV42" s="0"/>
      <c r="JAW42" s="0"/>
      <c r="JAX42" s="0"/>
      <c r="JAY42" s="0"/>
      <c r="JAZ42" s="0"/>
      <c r="JBA42" s="0"/>
      <c r="JBB42" s="0"/>
      <c r="JBC42" s="0"/>
      <c r="JBD42" s="0"/>
      <c r="JBE42" s="0"/>
      <c r="JBF42" s="0"/>
      <c r="JBG42" s="0"/>
      <c r="JBH42" s="0"/>
      <c r="JBI42" s="0"/>
      <c r="JBJ42" s="0"/>
      <c r="JBK42" s="0"/>
      <c r="JBL42" s="0"/>
      <c r="JBM42" s="0"/>
      <c r="JBN42" s="0"/>
      <c r="JBO42" s="0"/>
      <c r="JBP42" s="0"/>
      <c r="JBQ42" s="0"/>
      <c r="JBR42" s="0"/>
      <c r="JBS42" s="0"/>
      <c r="JBT42" s="0"/>
      <c r="JBU42" s="0"/>
      <c r="JBV42" s="0"/>
      <c r="JBW42" s="0"/>
      <c r="JBX42" s="0"/>
      <c r="JBY42" s="0"/>
      <c r="JBZ42" s="0"/>
      <c r="JCA42" s="0"/>
      <c r="JCB42" s="0"/>
      <c r="JCC42" s="0"/>
      <c r="JCD42" s="0"/>
      <c r="JCE42" s="0"/>
      <c r="JCF42" s="0"/>
      <c r="JCG42" s="0"/>
      <c r="JCH42" s="0"/>
      <c r="JCI42" s="0"/>
      <c r="JCJ42" s="0"/>
      <c r="JCK42" s="0"/>
      <c r="JCL42" s="0"/>
      <c r="JCM42" s="0"/>
      <c r="JCN42" s="0"/>
      <c r="JCO42" s="0"/>
      <c r="JCP42" s="0"/>
      <c r="JCQ42" s="0"/>
      <c r="JCR42" s="0"/>
      <c r="JCS42" s="0"/>
      <c r="JCT42" s="0"/>
      <c r="JCU42" s="0"/>
      <c r="JCV42" s="0"/>
      <c r="JCW42" s="0"/>
      <c r="JCX42" s="0"/>
      <c r="JCY42" s="0"/>
      <c r="JCZ42" s="0"/>
      <c r="JDA42" s="0"/>
      <c r="JDB42" s="0"/>
      <c r="JDC42" s="0"/>
      <c r="JDD42" s="0"/>
      <c r="JDE42" s="0"/>
      <c r="JDF42" s="0"/>
      <c r="JDG42" s="0"/>
      <c r="JDH42" s="0"/>
      <c r="JDI42" s="0"/>
      <c r="JDJ42" s="0"/>
      <c r="JDK42" s="0"/>
      <c r="JDL42" s="0"/>
      <c r="JDM42" s="0"/>
      <c r="JDN42" s="0"/>
      <c r="JDO42" s="0"/>
      <c r="JDP42" s="0"/>
      <c r="JDQ42" s="0"/>
      <c r="JDR42" s="0"/>
      <c r="JDS42" s="0"/>
      <c r="JDT42" s="0"/>
      <c r="JDU42" s="0"/>
      <c r="JDV42" s="0"/>
      <c r="JDW42" s="0"/>
      <c r="JDX42" s="0"/>
      <c r="JDY42" s="0"/>
      <c r="JDZ42" s="0"/>
      <c r="JEA42" s="0"/>
      <c r="JEB42" s="0"/>
      <c r="JEC42" s="0"/>
      <c r="JED42" s="0"/>
      <c r="JEE42" s="0"/>
      <c r="JEF42" s="0"/>
      <c r="JEG42" s="0"/>
      <c r="JEH42" s="0"/>
      <c r="JEI42" s="0"/>
      <c r="JEJ42" s="0"/>
      <c r="JEK42" s="0"/>
      <c r="JEL42" s="0"/>
      <c r="JEM42" s="0"/>
      <c r="JEN42" s="0"/>
      <c r="JEO42" s="0"/>
      <c r="JEP42" s="0"/>
      <c r="JEQ42" s="0"/>
      <c r="JER42" s="0"/>
      <c r="JES42" s="0"/>
      <c r="JET42" s="0"/>
      <c r="JEU42" s="0"/>
      <c r="JEV42" s="0"/>
      <c r="JEW42" s="0"/>
      <c r="JEX42" s="0"/>
      <c r="JEY42" s="0"/>
      <c r="JEZ42" s="0"/>
      <c r="JFA42" s="0"/>
      <c r="JFB42" s="0"/>
      <c r="JFC42" s="0"/>
      <c r="JFD42" s="0"/>
      <c r="JFE42" s="0"/>
      <c r="JFF42" s="0"/>
      <c r="JFG42" s="0"/>
      <c r="JFH42" s="0"/>
      <c r="JFI42" s="0"/>
      <c r="JFJ42" s="0"/>
      <c r="JFK42" s="0"/>
      <c r="JFL42" s="0"/>
      <c r="JFM42" s="0"/>
      <c r="JFN42" s="0"/>
      <c r="JFO42" s="0"/>
      <c r="JFP42" s="0"/>
      <c r="JFQ42" s="0"/>
      <c r="JFR42" s="0"/>
      <c r="JFS42" s="0"/>
      <c r="JFT42" s="0"/>
      <c r="JFU42" s="0"/>
      <c r="JFV42" s="0"/>
      <c r="JFW42" s="0"/>
      <c r="JFX42" s="0"/>
      <c r="JFY42" s="0"/>
      <c r="JFZ42" s="0"/>
      <c r="JGA42" s="0"/>
      <c r="JGB42" s="0"/>
      <c r="JGC42" s="0"/>
      <c r="JGD42" s="0"/>
      <c r="JGE42" s="0"/>
      <c r="JGF42" s="0"/>
      <c r="JGG42" s="0"/>
      <c r="JGH42" s="0"/>
      <c r="JGI42" s="0"/>
      <c r="JGJ42" s="0"/>
      <c r="JGK42" s="0"/>
      <c r="JGL42" s="0"/>
      <c r="JGM42" s="0"/>
      <c r="JGN42" s="0"/>
      <c r="JGO42" s="0"/>
      <c r="JGP42" s="0"/>
      <c r="JGQ42" s="0"/>
      <c r="JGR42" s="0"/>
      <c r="JGS42" s="0"/>
      <c r="JGT42" s="0"/>
      <c r="JGU42" s="0"/>
      <c r="JGV42" s="0"/>
      <c r="JGW42" s="0"/>
      <c r="JGX42" s="0"/>
      <c r="JGY42" s="0"/>
      <c r="JGZ42" s="0"/>
      <c r="JHA42" s="0"/>
      <c r="JHB42" s="0"/>
      <c r="JHC42" s="0"/>
      <c r="JHD42" s="0"/>
      <c r="JHE42" s="0"/>
      <c r="JHF42" s="0"/>
      <c r="JHG42" s="0"/>
      <c r="JHH42" s="0"/>
      <c r="JHI42" s="0"/>
      <c r="JHJ42" s="0"/>
      <c r="JHK42" s="0"/>
      <c r="JHL42" s="0"/>
      <c r="JHM42" s="0"/>
      <c r="JHN42" s="0"/>
      <c r="JHO42" s="0"/>
      <c r="JHP42" s="0"/>
      <c r="JHQ42" s="0"/>
      <c r="JHR42" s="0"/>
      <c r="JHS42" s="0"/>
      <c r="JHT42" s="0"/>
      <c r="JHU42" s="0"/>
      <c r="JHV42" s="0"/>
      <c r="JHW42" s="0"/>
      <c r="JHX42" s="0"/>
      <c r="JHY42" s="0"/>
      <c r="JHZ42" s="0"/>
      <c r="JIA42" s="0"/>
      <c r="JIB42" s="0"/>
      <c r="JIC42" s="0"/>
      <c r="JID42" s="0"/>
      <c r="JIE42" s="0"/>
      <c r="JIF42" s="0"/>
      <c r="JIG42" s="0"/>
      <c r="JIH42" s="0"/>
      <c r="JII42" s="0"/>
      <c r="JIJ42" s="0"/>
      <c r="JIK42" s="0"/>
      <c r="JIL42" s="0"/>
      <c r="JIM42" s="0"/>
      <c r="JIN42" s="0"/>
      <c r="JIO42" s="0"/>
      <c r="JIP42" s="0"/>
      <c r="JIQ42" s="0"/>
      <c r="JIR42" s="0"/>
      <c r="JIS42" s="0"/>
      <c r="JIT42" s="0"/>
      <c r="JIU42" s="0"/>
      <c r="JIV42" s="0"/>
      <c r="JIW42" s="0"/>
      <c r="JIX42" s="0"/>
      <c r="JIY42" s="0"/>
      <c r="JIZ42" s="0"/>
      <c r="JJA42" s="0"/>
      <c r="JJB42" s="0"/>
      <c r="JJC42" s="0"/>
      <c r="JJD42" s="0"/>
      <c r="JJE42" s="0"/>
      <c r="JJF42" s="0"/>
      <c r="JJG42" s="0"/>
      <c r="JJH42" s="0"/>
      <c r="JJI42" s="0"/>
      <c r="JJJ42" s="0"/>
      <c r="JJK42" s="0"/>
      <c r="JJL42" s="0"/>
      <c r="JJM42" s="0"/>
      <c r="JJN42" s="0"/>
      <c r="JJO42" s="0"/>
      <c r="JJP42" s="0"/>
      <c r="JJQ42" s="0"/>
      <c r="JJR42" s="0"/>
      <c r="JJS42" s="0"/>
      <c r="JJT42" s="0"/>
      <c r="JJU42" s="0"/>
      <c r="JJV42" s="0"/>
      <c r="JJW42" s="0"/>
      <c r="JJX42" s="0"/>
      <c r="JJY42" s="0"/>
      <c r="JJZ42" s="0"/>
      <c r="JKA42" s="0"/>
      <c r="JKB42" s="0"/>
      <c r="JKC42" s="0"/>
      <c r="JKD42" s="0"/>
      <c r="JKE42" s="0"/>
      <c r="JKF42" s="0"/>
      <c r="JKG42" s="0"/>
      <c r="JKH42" s="0"/>
      <c r="JKI42" s="0"/>
      <c r="JKJ42" s="0"/>
      <c r="JKK42" s="0"/>
      <c r="JKL42" s="0"/>
      <c r="JKM42" s="0"/>
      <c r="JKN42" s="0"/>
      <c r="JKO42" s="0"/>
      <c r="JKP42" s="0"/>
      <c r="JKQ42" s="0"/>
      <c r="JKR42" s="0"/>
      <c r="JKS42" s="0"/>
      <c r="JKT42" s="0"/>
      <c r="JKU42" s="0"/>
      <c r="JKV42" s="0"/>
      <c r="JKW42" s="0"/>
      <c r="JKX42" s="0"/>
      <c r="JKY42" s="0"/>
      <c r="JKZ42" s="0"/>
      <c r="JLA42" s="0"/>
      <c r="JLB42" s="0"/>
      <c r="JLC42" s="0"/>
      <c r="JLD42" s="0"/>
      <c r="JLE42" s="0"/>
      <c r="JLF42" s="0"/>
      <c r="JLG42" s="0"/>
      <c r="JLH42" s="0"/>
      <c r="JLI42" s="0"/>
      <c r="JLJ42" s="0"/>
      <c r="JLK42" s="0"/>
      <c r="JLL42" s="0"/>
      <c r="JLM42" s="0"/>
      <c r="JLN42" s="0"/>
      <c r="JLO42" s="0"/>
      <c r="JLP42" s="0"/>
      <c r="JLQ42" s="0"/>
      <c r="JLR42" s="0"/>
      <c r="JLS42" s="0"/>
      <c r="JLT42" s="0"/>
      <c r="JLU42" s="0"/>
      <c r="JLV42" s="0"/>
      <c r="JLW42" s="0"/>
      <c r="JLX42" s="0"/>
      <c r="JLY42" s="0"/>
      <c r="JLZ42" s="0"/>
      <c r="JMA42" s="0"/>
      <c r="JMB42" s="0"/>
      <c r="JMC42" s="0"/>
      <c r="JMD42" s="0"/>
      <c r="JME42" s="0"/>
      <c r="JMF42" s="0"/>
      <c r="JMG42" s="0"/>
      <c r="JMH42" s="0"/>
      <c r="JMI42" s="0"/>
      <c r="JMJ42" s="0"/>
      <c r="JMK42" s="0"/>
      <c r="JML42" s="0"/>
      <c r="JMM42" s="0"/>
      <c r="JMN42" s="0"/>
      <c r="JMO42" s="0"/>
      <c r="JMP42" s="0"/>
      <c r="JMQ42" s="0"/>
      <c r="JMR42" s="0"/>
      <c r="JMS42" s="0"/>
      <c r="JMT42" s="0"/>
      <c r="JMU42" s="0"/>
      <c r="JMV42" s="0"/>
      <c r="JMW42" s="0"/>
      <c r="JMX42" s="0"/>
      <c r="JMY42" s="0"/>
      <c r="JMZ42" s="0"/>
      <c r="JNA42" s="0"/>
      <c r="JNB42" s="0"/>
      <c r="JNC42" s="0"/>
      <c r="JND42" s="0"/>
      <c r="JNE42" s="0"/>
      <c r="JNF42" s="0"/>
      <c r="JNG42" s="0"/>
      <c r="JNH42" s="0"/>
      <c r="JNI42" s="0"/>
      <c r="JNJ42" s="0"/>
      <c r="JNK42" s="0"/>
      <c r="JNL42" s="0"/>
      <c r="JNM42" s="0"/>
      <c r="JNN42" s="0"/>
      <c r="JNO42" s="0"/>
      <c r="JNP42" s="0"/>
      <c r="JNQ42" s="0"/>
      <c r="JNR42" s="0"/>
      <c r="JNS42" s="0"/>
      <c r="JNT42" s="0"/>
      <c r="JNU42" s="0"/>
      <c r="JNV42" s="0"/>
      <c r="JNW42" s="0"/>
      <c r="JNX42" s="0"/>
      <c r="JNY42" s="0"/>
      <c r="JNZ42" s="0"/>
      <c r="JOA42" s="0"/>
      <c r="JOB42" s="0"/>
      <c r="JOC42" s="0"/>
      <c r="JOD42" s="0"/>
      <c r="JOE42" s="0"/>
      <c r="JOF42" s="0"/>
      <c r="JOG42" s="0"/>
      <c r="JOH42" s="0"/>
      <c r="JOI42" s="0"/>
      <c r="JOJ42" s="0"/>
      <c r="JOK42" s="0"/>
      <c r="JOL42" s="0"/>
      <c r="JOM42" s="0"/>
      <c r="JON42" s="0"/>
      <c r="JOO42" s="0"/>
      <c r="JOP42" s="0"/>
      <c r="JOQ42" s="0"/>
      <c r="JOR42" s="0"/>
      <c r="JOS42" s="0"/>
      <c r="JOT42" s="0"/>
      <c r="JOU42" s="0"/>
      <c r="JOV42" s="0"/>
      <c r="JOW42" s="0"/>
      <c r="JOX42" s="0"/>
      <c r="JOY42" s="0"/>
      <c r="JOZ42" s="0"/>
      <c r="JPA42" s="0"/>
      <c r="JPB42" s="0"/>
      <c r="JPC42" s="0"/>
      <c r="JPD42" s="0"/>
      <c r="JPE42" s="0"/>
      <c r="JPF42" s="0"/>
      <c r="JPG42" s="0"/>
      <c r="JPH42" s="0"/>
      <c r="JPI42" s="0"/>
      <c r="JPJ42" s="0"/>
      <c r="JPK42" s="0"/>
      <c r="JPL42" s="0"/>
      <c r="JPM42" s="0"/>
      <c r="JPN42" s="0"/>
      <c r="JPO42" s="0"/>
      <c r="JPP42" s="0"/>
      <c r="JPQ42" s="0"/>
      <c r="JPR42" s="0"/>
      <c r="JPS42" s="0"/>
      <c r="JPT42" s="0"/>
      <c r="JPU42" s="0"/>
      <c r="JPV42" s="0"/>
      <c r="JPW42" s="0"/>
      <c r="JPX42" s="0"/>
      <c r="JPY42" s="0"/>
      <c r="JPZ42" s="0"/>
      <c r="JQA42" s="0"/>
      <c r="JQB42" s="0"/>
      <c r="JQC42" s="0"/>
      <c r="JQD42" s="0"/>
      <c r="JQE42" s="0"/>
      <c r="JQF42" s="0"/>
      <c r="JQG42" s="0"/>
      <c r="JQH42" s="0"/>
      <c r="JQI42" s="0"/>
      <c r="JQJ42" s="0"/>
      <c r="JQK42" s="0"/>
      <c r="JQL42" s="0"/>
      <c r="JQM42" s="0"/>
      <c r="JQN42" s="0"/>
      <c r="JQO42" s="0"/>
      <c r="JQP42" s="0"/>
      <c r="JQQ42" s="0"/>
      <c r="JQR42" s="0"/>
      <c r="JQS42" s="0"/>
      <c r="JQT42" s="0"/>
      <c r="JQU42" s="0"/>
      <c r="JQV42" s="0"/>
      <c r="JQW42" s="0"/>
      <c r="JQX42" s="0"/>
      <c r="JQY42" s="0"/>
      <c r="JQZ42" s="0"/>
      <c r="JRA42" s="0"/>
      <c r="JRB42" s="0"/>
      <c r="JRC42" s="0"/>
      <c r="JRD42" s="0"/>
      <c r="JRE42" s="0"/>
      <c r="JRF42" s="0"/>
      <c r="JRG42" s="0"/>
      <c r="JRH42" s="0"/>
      <c r="JRI42" s="0"/>
      <c r="JRJ42" s="0"/>
      <c r="JRK42" s="0"/>
      <c r="JRL42" s="0"/>
      <c r="JRM42" s="0"/>
      <c r="JRN42" s="0"/>
      <c r="JRO42" s="0"/>
      <c r="JRP42" s="0"/>
      <c r="JRQ42" s="0"/>
      <c r="JRR42" s="0"/>
      <c r="JRS42" s="0"/>
      <c r="JRT42" s="0"/>
      <c r="JRU42" s="0"/>
      <c r="JRV42" s="0"/>
      <c r="JRW42" s="0"/>
      <c r="JRX42" s="0"/>
      <c r="JRY42" s="0"/>
      <c r="JRZ42" s="0"/>
      <c r="JSA42" s="0"/>
      <c r="JSB42" s="0"/>
      <c r="JSC42" s="0"/>
      <c r="JSD42" s="0"/>
      <c r="JSE42" s="0"/>
      <c r="JSF42" s="0"/>
      <c r="JSG42" s="0"/>
      <c r="JSH42" s="0"/>
      <c r="JSI42" s="0"/>
      <c r="JSJ42" s="0"/>
      <c r="JSK42" s="0"/>
      <c r="JSL42" s="0"/>
      <c r="JSM42" s="0"/>
      <c r="JSN42" s="0"/>
      <c r="JSO42" s="0"/>
      <c r="JSP42" s="0"/>
      <c r="JSQ42" s="0"/>
      <c r="JSR42" s="0"/>
      <c r="JSS42" s="0"/>
      <c r="JST42" s="0"/>
      <c r="JSU42" s="0"/>
      <c r="JSV42" s="0"/>
      <c r="JSW42" s="0"/>
      <c r="JSX42" s="0"/>
      <c r="JSY42" s="0"/>
      <c r="JSZ42" s="0"/>
      <c r="JTA42" s="0"/>
      <c r="JTB42" s="0"/>
      <c r="JTC42" s="0"/>
      <c r="JTD42" s="0"/>
      <c r="JTE42" s="0"/>
      <c r="JTF42" s="0"/>
      <c r="JTG42" s="0"/>
      <c r="JTH42" s="0"/>
      <c r="JTI42" s="0"/>
      <c r="JTJ42" s="0"/>
      <c r="JTK42" s="0"/>
      <c r="JTL42" s="0"/>
      <c r="JTM42" s="0"/>
      <c r="JTN42" s="0"/>
      <c r="JTO42" s="0"/>
      <c r="JTP42" s="0"/>
      <c r="JTQ42" s="0"/>
      <c r="JTR42" s="0"/>
      <c r="JTS42" s="0"/>
      <c r="JTT42" s="0"/>
      <c r="JTU42" s="0"/>
      <c r="JTV42" s="0"/>
      <c r="JTW42" s="0"/>
      <c r="JTX42" s="0"/>
      <c r="JTY42" s="0"/>
      <c r="JTZ42" s="0"/>
      <c r="JUA42" s="0"/>
      <c r="JUB42" s="0"/>
      <c r="JUC42" s="0"/>
      <c r="JUD42" s="0"/>
      <c r="JUE42" s="0"/>
      <c r="JUF42" s="0"/>
      <c r="JUG42" s="0"/>
      <c r="JUH42" s="0"/>
      <c r="JUI42" s="0"/>
      <c r="JUJ42" s="0"/>
      <c r="JUK42" s="0"/>
      <c r="JUL42" s="0"/>
      <c r="JUM42" s="0"/>
      <c r="JUN42" s="0"/>
      <c r="JUO42" s="0"/>
      <c r="JUP42" s="0"/>
      <c r="JUQ42" s="0"/>
      <c r="JUR42" s="0"/>
      <c r="JUS42" s="0"/>
      <c r="JUT42" s="0"/>
      <c r="JUU42" s="0"/>
      <c r="JUV42" s="0"/>
      <c r="JUW42" s="0"/>
      <c r="JUX42" s="0"/>
      <c r="JUY42" s="0"/>
      <c r="JUZ42" s="0"/>
      <c r="JVA42" s="0"/>
      <c r="JVB42" s="0"/>
      <c r="JVC42" s="0"/>
      <c r="JVD42" s="0"/>
      <c r="JVE42" s="0"/>
      <c r="JVF42" s="0"/>
      <c r="JVG42" s="0"/>
      <c r="JVH42" s="0"/>
      <c r="JVI42" s="0"/>
      <c r="JVJ42" s="0"/>
      <c r="JVK42" s="0"/>
      <c r="JVL42" s="0"/>
      <c r="JVM42" s="0"/>
      <c r="JVN42" s="0"/>
      <c r="JVO42" s="0"/>
      <c r="JVP42" s="0"/>
      <c r="JVQ42" s="0"/>
      <c r="JVR42" s="0"/>
      <c r="JVS42" s="0"/>
      <c r="JVT42" s="0"/>
      <c r="JVU42" s="0"/>
      <c r="JVV42" s="0"/>
      <c r="JVW42" s="0"/>
      <c r="JVX42" s="0"/>
      <c r="JVY42" s="0"/>
      <c r="JVZ42" s="0"/>
      <c r="JWA42" s="0"/>
      <c r="JWB42" s="0"/>
      <c r="JWC42" s="0"/>
      <c r="JWD42" s="0"/>
      <c r="JWE42" s="0"/>
      <c r="JWF42" s="0"/>
      <c r="JWG42" s="0"/>
      <c r="JWH42" s="0"/>
      <c r="JWI42" s="0"/>
      <c r="JWJ42" s="0"/>
      <c r="JWK42" s="0"/>
      <c r="JWL42" s="0"/>
      <c r="JWM42" s="0"/>
      <c r="JWN42" s="0"/>
      <c r="JWO42" s="0"/>
      <c r="JWP42" s="0"/>
      <c r="JWQ42" s="0"/>
      <c r="JWR42" s="0"/>
      <c r="JWS42" s="0"/>
      <c r="JWT42" s="0"/>
      <c r="JWU42" s="0"/>
      <c r="JWV42" s="0"/>
      <c r="JWW42" s="0"/>
      <c r="JWX42" s="0"/>
      <c r="JWY42" s="0"/>
      <c r="JWZ42" s="0"/>
      <c r="JXA42" s="0"/>
      <c r="JXB42" s="0"/>
      <c r="JXC42" s="0"/>
      <c r="JXD42" s="0"/>
      <c r="JXE42" s="0"/>
      <c r="JXF42" s="0"/>
      <c r="JXG42" s="0"/>
      <c r="JXH42" s="0"/>
      <c r="JXI42" s="0"/>
      <c r="JXJ42" s="0"/>
      <c r="JXK42" s="0"/>
      <c r="JXL42" s="0"/>
      <c r="JXM42" s="0"/>
      <c r="JXN42" s="0"/>
      <c r="JXO42" s="0"/>
      <c r="JXP42" s="0"/>
      <c r="JXQ42" s="0"/>
      <c r="JXR42" s="0"/>
      <c r="JXS42" s="0"/>
      <c r="JXT42" s="0"/>
      <c r="JXU42" s="0"/>
      <c r="JXV42" s="0"/>
      <c r="JXW42" s="0"/>
      <c r="JXX42" s="0"/>
      <c r="JXY42" s="0"/>
      <c r="JXZ42" s="0"/>
      <c r="JYA42" s="0"/>
      <c r="JYB42" s="0"/>
      <c r="JYC42" s="0"/>
      <c r="JYD42" s="0"/>
      <c r="JYE42" s="0"/>
      <c r="JYF42" s="0"/>
      <c r="JYG42" s="0"/>
      <c r="JYH42" s="0"/>
      <c r="JYI42" s="0"/>
      <c r="JYJ42" s="0"/>
      <c r="JYK42" s="0"/>
      <c r="JYL42" s="0"/>
      <c r="JYM42" s="0"/>
      <c r="JYN42" s="0"/>
      <c r="JYO42" s="0"/>
      <c r="JYP42" s="0"/>
      <c r="JYQ42" s="0"/>
      <c r="JYR42" s="0"/>
      <c r="JYS42" s="0"/>
      <c r="JYT42" s="0"/>
      <c r="JYU42" s="0"/>
      <c r="JYV42" s="0"/>
      <c r="JYW42" s="0"/>
      <c r="JYX42" s="0"/>
      <c r="JYY42" s="0"/>
      <c r="JYZ42" s="0"/>
      <c r="JZA42" s="0"/>
      <c r="JZB42" s="0"/>
      <c r="JZC42" s="0"/>
      <c r="JZD42" s="0"/>
      <c r="JZE42" s="0"/>
      <c r="JZF42" s="0"/>
      <c r="JZG42" s="0"/>
      <c r="JZH42" s="0"/>
      <c r="JZI42" s="0"/>
      <c r="JZJ42" s="0"/>
      <c r="JZK42" s="0"/>
      <c r="JZL42" s="0"/>
      <c r="JZM42" s="0"/>
      <c r="JZN42" s="0"/>
      <c r="JZO42" s="0"/>
      <c r="JZP42" s="0"/>
      <c r="JZQ42" s="0"/>
      <c r="JZR42" s="0"/>
      <c r="JZS42" s="0"/>
      <c r="JZT42" s="0"/>
      <c r="JZU42" s="0"/>
      <c r="JZV42" s="0"/>
      <c r="JZW42" s="0"/>
      <c r="JZX42" s="0"/>
      <c r="JZY42" s="0"/>
      <c r="JZZ42" s="0"/>
      <c r="KAA42" s="0"/>
      <c r="KAB42" s="0"/>
      <c r="KAC42" s="0"/>
      <c r="KAD42" s="0"/>
      <c r="KAE42" s="0"/>
      <c r="KAF42" s="0"/>
      <c r="KAG42" s="0"/>
      <c r="KAH42" s="0"/>
      <c r="KAI42" s="0"/>
      <c r="KAJ42" s="0"/>
      <c r="KAK42" s="0"/>
      <c r="KAL42" s="0"/>
      <c r="KAM42" s="0"/>
      <c r="KAN42" s="0"/>
      <c r="KAO42" s="0"/>
      <c r="KAP42" s="0"/>
      <c r="KAQ42" s="0"/>
      <c r="KAR42" s="0"/>
      <c r="KAS42" s="0"/>
      <c r="KAT42" s="0"/>
      <c r="KAU42" s="0"/>
      <c r="KAV42" s="0"/>
      <c r="KAW42" s="0"/>
      <c r="KAX42" s="0"/>
      <c r="KAY42" s="0"/>
      <c r="KAZ42" s="0"/>
      <c r="KBA42" s="0"/>
      <c r="KBB42" s="0"/>
      <c r="KBC42" s="0"/>
      <c r="KBD42" s="0"/>
      <c r="KBE42" s="0"/>
      <c r="KBF42" s="0"/>
      <c r="KBG42" s="0"/>
      <c r="KBH42" s="0"/>
      <c r="KBI42" s="0"/>
      <c r="KBJ42" s="0"/>
      <c r="KBK42" s="0"/>
      <c r="KBL42" s="0"/>
      <c r="KBM42" s="0"/>
      <c r="KBN42" s="0"/>
      <c r="KBO42" s="0"/>
      <c r="KBP42" s="0"/>
      <c r="KBQ42" s="0"/>
      <c r="KBR42" s="0"/>
      <c r="KBS42" s="0"/>
      <c r="KBT42" s="0"/>
      <c r="KBU42" s="0"/>
      <c r="KBV42" s="0"/>
      <c r="KBW42" s="0"/>
      <c r="KBX42" s="0"/>
      <c r="KBY42" s="0"/>
      <c r="KBZ42" s="0"/>
      <c r="KCA42" s="0"/>
      <c r="KCB42" s="0"/>
      <c r="KCC42" s="0"/>
      <c r="KCD42" s="0"/>
      <c r="KCE42" s="0"/>
      <c r="KCF42" s="0"/>
      <c r="KCG42" s="0"/>
      <c r="KCH42" s="0"/>
      <c r="KCI42" s="0"/>
      <c r="KCJ42" s="0"/>
      <c r="KCK42" s="0"/>
      <c r="KCL42" s="0"/>
      <c r="KCM42" s="0"/>
      <c r="KCN42" s="0"/>
      <c r="KCO42" s="0"/>
      <c r="KCP42" s="0"/>
      <c r="KCQ42" s="0"/>
      <c r="KCR42" s="0"/>
      <c r="KCS42" s="0"/>
      <c r="KCT42" s="0"/>
      <c r="KCU42" s="0"/>
      <c r="KCV42" s="0"/>
      <c r="KCW42" s="0"/>
      <c r="KCX42" s="0"/>
      <c r="KCY42" s="0"/>
      <c r="KCZ42" s="0"/>
      <c r="KDA42" s="0"/>
      <c r="KDB42" s="0"/>
      <c r="KDC42" s="0"/>
      <c r="KDD42" s="0"/>
      <c r="KDE42" s="0"/>
      <c r="KDF42" s="0"/>
      <c r="KDG42" s="0"/>
      <c r="KDH42" s="0"/>
      <c r="KDI42" s="0"/>
      <c r="KDJ42" s="0"/>
      <c r="KDK42" s="0"/>
      <c r="KDL42" s="0"/>
      <c r="KDM42" s="0"/>
      <c r="KDN42" s="0"/>
      <c r="KDO42" s="0"/>
      <c r="KDP42" s="0"/>
      <c r="KDQ42" s="0"/>
      <c r="KDR42" s="0"/>
      <c r="KDS42" s="0"/>
      <c r="KDT42" s="0"/>
      <c r="KDU42" s="0"/>
      <c r="KDV42" s="0"/>
      <c r="KDW42" s="0"/>
      <c r="KDX42" s="0"/>
      <c r="KDY42" s="0"/>
      <c r="KDZ42" s="0"/>
      <c r="KEA42" s="0"/>
      <c r="KEB42" s="0"/>
      <c r="KEC42" s="0"/>
      <c r="KED42" s="0"/>
      <c r="KEE42" s="0"/>
      <c r="KEF42" s="0"/>
      <c r="KEG42" s="0"/>
      <c r="KEH42" s="0"/>
      <c r="KEI42" s="0"/>
      <c r="KEJ42" s="0"/>
      <c r="KEK42" s="0"/>
      <c r="KEL42" s="0"/>
      <c r="KEM42" s="0"/>
      <c r="KEN42" s="0"/>
      <c r="KEO42" s="0"/>
      <c r="KEP42" s="0"/>
      <c r="KEQ42" s="0"/>
      <c r="KER42" s="0"/>
      <c r="KES42" s="0"/>
      <c r="KET42" s="0"/>
      <c r="KEU42" s="0"/>
      <c r="KEV42" s="0"/>
      <c r="KEW42" s="0"/>
      <c r="KEX42" s="0"/>
      <c r="KEY42" s="0"/>
      <c r="KEZ42" s="0"/>
      <c r="KFA42" s="0"/>
      <c r="KFB42" s="0"/>
      <c r="KFC42" s="0"/>
      <c r="KFD42" s="0"/>
      <c r="KFE42" s="0"/>
      <c r="KFF42" s="0"/>
      <c r="KFG42" s="0"/>
      <c r="KFH42" s="0"/>
      <c r="KFI42" s="0"/>
      <c r="KFJ42" s="0"/>
      <c r="KFK42" s="0"/>
      <c r="KFL42" s="0"/>
      <c r="KFM42" s="0"/>
      <c r="KFN42" s="0"/>
      <c r="KFO42" s="0"/>
      <c r="KFP42" s="0"/>
      <c r="KFQ42" s="0"/>
      <c r="KFR42" s="0"/>
      <c r="KFS42" s="0"/>
      <c r="KFT42" s="0"/>
      <c r="KFU42" s="0"/>
      <c r="KFV42" s="0"/>
      <c r="KFW42" s="0"/>
      <c r="KFX42" s="0"/>
      <c r="KFY42" s="0"/>
      <c r="KFZ42" s="0"/>
      <c r="KGA42" s="0"/>
      <c r="KGB42" s="0"/>
      <c r="KGC42" s="0"/>
      <c r="KGD42" s="0"/>
      <c r="KGE42" s="0"/>
      <c r="KGF42" s="0"/>
      <c r="KGG42" s="0"/>
      <c r="KGH42" s="0"/>
      <c r="KGI42" s="0"/>
      <c r="KGJ42" s="0"/>
      <c r="KGK42" s="0"/>
      <c r="KGL42" s="0"/>
      <c r="KGM42" s="0"/>
      <c r="KGN42" s="0"/>
      <c r="KGO42" s="0"/>
      <c r="KGP42" s="0"/>
      <c r="KGQ42" s="0"/>
      <c r="KGR42" s="0"/>
      <c r="KGS42" s="0"/>
      <c r="KGT42" s="0"/>
      <c r="KGU42" s="0"/>
      <c r="KGV42" s="0"/>
      <c r="KGW42" s="0"/>
      <c r="KGX42" s="0"/>
      <c r="KGY42" s="0"/>
      <c r="KGZ42" s="0"/>
      <c r="KHA42" s="0"/>
      <c r="KHB42" s="0"/>
      <c r="KHC42" s="0"/>
      <c r="KHD42" s="0"/>
      <c r="KHE42" s="0"/>
      <c r="KHF42" s="0"/>
      <c r="KHG42" s="0"/>
      <c r="KHH42" s="0"/>
      <c r="KHI42" s="0"/>
      <c r="KHJ42" s="0"/>
      <c r="KHK42" s="0"/>
      <c r="KHL42" s="0"/>
      <c r="KHM42" s="0"/>
      <c r="KHN42" s="0"/>
      <c r="KHO42" s="0"/>
      <c r="KHP42" s="0"/>
      <c r="KHQ42" s="0"/>
      <c r="KHR42" s="0"/>
      <c r="KHS42" s="0"/>
      <c r="KHT42" s="0"/>
      <c r="KHU42" s="0"/>
      <c r="KHV42" s="0"/>
      <c r="KHW42" s="0"/>
      <c r="KHX42" s="0"/>
      <c r="KHY42" s="0"/>
      <c r="KHZ42" s="0"/>
      <c r="KIA42" s="0"/>
      <c r="KIB42" s="0"/>
      <c r="KIC42" s="0"/>
      <c r="KID42" s="0"/>
      <c r="KIE42" s="0"/>
      <c r="KIF42" s="0"/>
      <c r="KIG42" s="0"/>
      <c r="KIH42" s="0"/>
      <c r="KII42" s="0"/>
      <c r="KIJ42" s="0"/>
      <c r="KIK42" s="0"/>
      <c r="KIL42" s="0"/>
      <c r="KIM42" s="0"/>
      <c r="KIN42" s="0"/>
      <c r="KIO42" s="0"/>
      <c r="KIP42" s="0"/>
      <c r="KIQ42" s="0"/>
      <c r="KIR42" s="0"/>
      <c r="KIS42" s="0"/>
      <c r="KIT42" s="0"/>
      <c r="KIU42" s="0"/>
      <c r="KIV42" s="0"/>
      <c r="KIW42" s="0"/>
      <c r="KIX42" s="0"/>
      <c r="KIY42" s="0"/>
      <c r="KIZ42" s="0"/>
      <c r="KJA42" s="0"/>
      <c r="KJB42" s="0"/>
      <c r="KJC42" s="0"/>
      <c r="KJD42" s="0"/>
      <c r="KJE42" s="0"/>
      <c r="KJF42" s="0"/>
      <c r="KJG42" s="0"/>
      <c r="KJH42" s="0"/>
      <c r="KJI42" s="0"/>
      <c r="KJJ42" s="0"/>
      <c r="KJK42" s="0"/>
      <c r="KJL42" s="0"/>
      <c r="KJM42" s="0"/>
      <c r="KJN42" s="0"/>
      <c r="KJO42" s="0"/>
      <c r="KJP42" s="0"/>
      <c r="KJQ42" s="0"/>
      <c r="KJR42" s="0"/>
      <c r="KJS42" s="0"/>
      <c r="KJT42" s="0"/>
      <c r="KJU42" s="0"/>
      <c r="KJV42" s="0"/>
      <c r="KJW42" s="0"/>
      <c r="KJX42" s="0"/>
      <c r="KJY42" s="0"/>
      <c r="KJZ42" s="0"/>
      <c r="KKA42" s="0"/>
      <c r="KKB42" s="0"/>
      <c r="KKC42" s="0"/>
      <c r="KKD42" s="0"/>
      <c r="KKE42" s="0"/>
      <c r="KKF42" s="0"/>
      <c r="KKG42" s="0"/>
      <c r="KKH42" s="0"/>
      <c r="KKI42" s="0"/>
      <c r="KKJ42" s="0"/>
      <c r="KKK42" s="0"/>
      <c r="KKL42" s="0"/>
      <c r="KKM42" s="0"/>
      <c r="KKN42" s="0"/>
      <c r="KKO42" s="0"/>
      <c r="KKP42" s="0"/>
      <c r="KKQ42" s="0"/>
      <c r="KKR42" s="0"/>
      <c r="KKS42" s="0"/>
      <c r="KKT42" s="0"/>
      <c r="KKU42" s="0"/>
      <c r="KKV42" s="0"/>
      <c r="KKW42" s="0"/>
      <c r="KKX42" s="0"/>
      <c r="KKY42" s="0"/>
      <c r="KKZ42" s="0"/>
      <c r="KLA42" s="0"/>
      <c r="KLB42" s="0"/>
      <c r="KLC42" s="0"/>
      <c r="KLD42" s="0"/>
      <c r="KLE42" s="0"/>
      <c r="KLF42" s="0"/>
      <c r="KLG42" s="0"/>
      <c r="KLH42" s="0"/>
      <c r="KLI42" s="0"/>
      <c r="KLJ42" s="0"/>
      <c r="KLK42" s="0"/>
      <c r="KLL42" s="0"/>
      <c r="KLM42" s="0"/>
      <c r="KLN42" s="0"/>
      <c r="KLO42" s="0"/>
      <c r="KLP42" s="0"/>
      <c r="KLQ42" s="0"/>
      <c r="KLR42" s="0"/>
      <c r="KLS42" s="0"/>
      <c r="KLT42" s="0"/>
      <c r="KLU42" s="0"/>
      <c r="KLV42" s="0"/>
      <c r="KLW42" s="0"/>
      <c r="KLX42" s="0"/>
      <c r="KLY42" s="0"/>
      <c r="KLZ42" s="0"/>
      <c r="KMA42" s="0"/>
      <c r="KMB42" s="0"/>
      <c r="KMC42" s="0"/>
      <c r="KMD42" s="0"/>
      <c r="KME42" s="0"/>
      <c r="KMF42" s="0"/>
      <c r="KMG42" s="0"/>
      <c r="KMH42" s="0"/>
      <c r="KMI42" s="0"/>
      <c r="KMJ42" s="0"/>
      <c r="KMK42" s="0"/>
      <c r="KML42" s="0"/>
      <c r="KMM42" s="0"/>
      <c r="KMN42" s="0"/>
      <c r="KMO42" s="0"/>
      <c r="KMP42" s="0"/>
      <c r="KMQ42" s="0"/>
      <c r="KMR42" s="0"/>
      <c r="KMS42" s="0"/>
      <c r="KMT42" s="0"/>
      <c r="KMU42" s="0"/>
      <c r="KMV42" s="0"/>
      <c r="KMW42" s="0"/>
      <c r="KMX42" s="0"/>
      <c r="KMY42" s="0"/>
      <c r="KMZ42" s="0"/>
      <c r="KNA42" s="0"/>
      <c r="KNB42" s="0"/>
      <c r="KNC42" s="0"/>
      <c r="KND42" s="0"/>
      <c r="KNE42" s="0"/>
      <c r="KNF42" s="0"/>
      <c r="KNG42" s="0"/>
      <c r="KNH42" s="0"/>
      <c r="KNI42" s="0"/>
      <c r="KNJ42" s="0"/>
      <c r="KNK42" s="0"/>
      <c r="KNL42" s="0"/>
      <c r="KNM42" s="0"/>
      <c r="KNN42" s="0"/>
      <c r="KNO42" s="0"/>
      <c r="KNP42" s="0"/>
      <c r="KNQ42" s="0"/>
      <c r="KNR42" s="0"/>
      <c r="KNS42" s="0"/>
      <c r="KNT42" s="0"/>
      <c r="KNU42" s="0"/>
      <c r="KNV42" s="0"/>
      <c r="KNW42" s="0"/>
      <c r="KNX42" s="0"/>
      <c r="KNY42" s="0"/>
      <c r="KNZ42" s="0"/>
      <c r="KOA42" s="0"/>
      <c r="KOB42" s="0"/>
      <c r="KOC42" s="0"/>
      <c r="KOD42" s="0"/>
      <c r="KOE42" s="0"/>
      <c r="KOF42" s="0"/>
      <c r="KOG42" s="0"/>
      <c r="KOH42" s="0"/>
      <c r="KOI42" s="0"/>
      <c r="KOJ42" s="0"/>
      <c r="KOK42" s="0"/>
      <c r="KOL42" s="0"/>
      <c r="KOM42" s="0"/>
      <c r="KON42" s="0"/>
      <c r="KOO42" s="0"/>
      <c r="KOP42" s="0"/>
      <c r="KOQ42" s="0"/>
      <c r="KOR42" s="0"/>
      <c r="KOS42" s="0"/>
      <c r="KOT42" s="0"/>
      <c r="KOU42" s="0"/>
      <c r="KOV42" s="0"/>
      <c r="KOW42" s="0"/>
      <c r="KOX42" s="0"/>
      <c r="KOY42" s="0"/>
      <c r="KOZ42" s="0"/>
      <c r="KPA42" s="0"/>
      <c r="KPB42" s="0"/>
      <c r="KPC42" s="0"/>
      <c r="KPD42" s="0"/>
      <c r="KPE42" s="0"/>
      <c r="KPF42" s="0"/>
      <c r="KPG42" s="0"/>
      <c r="KPH42" s="0"/>
      <c r="KPI42" s="0"/>
      <c r="KPJ42" s="0"/>
      <c r="KPK42" s="0"/>
      <c r="KPL42" s="0"/>
      <c r="KPM42" s="0"/>
      <c r="KPN42" s="0"/>
      <c r="KPO42" s="0"/>
      <c r="KPP42" s="0"/>
      <c r="KPQ42" s="0"/>
      <c r="KPR42" s="0"/>
      <c r="KPS42" s="0"/>
      <c r="KPT42" s="0"/>
      <c r="KPU42" s="0"/>
      <c r="KPV42" s="0"/>
      <c r="KPW42" s="0"/>
      <c r="KPX42" s="0"/>
      <c r="KPY42" s="0"/>
      <c r="KPZ42" s="0"/>
      <c r="KQA42" s="0"/>
      <c r="KQB42" s="0"/>
      <c r="KQC42" s="0"/>
      <c r="KQD42" s="0"/>
      <c r="KQE42" s="0"/>
      <c r="KQF42" s="0"/>
      <c r="KQG42" s="0"/>
      <c r="KQH42" s="0"/>
      <c r="KQI42" s="0"/>
      <c r="KQJ42" s="0"/>
      <c r="KQK42" s="0"/>
      <c r="KQL42" s="0"/>
      <c r="KQM42" s="0"/>
      <c r="KQN42" s="0"/>
      <c r="KQO42" s="0"/>
      <c r="KQP42" s="0"/>
      <c r="KQQ42" s="0"/>
      <c r="KQR42" s="0"/>
      <c r="KQS42" s="0"/>
      <c r="KQT42" s="0"/>
      <c r="KQU42" s="0"/>
      <c r="KQV42" s="0"/>
      <c r="KQW42" s="0"/>
      <c r="KQX42" s="0"/>
      <c r="KQY42" s="0"/>
      <c r="KQZ42" s="0"/>
      <c r="KRA42" s="0"/>
      <c r="KRB42" s="0"/>
      <c r="KRC42" s="0"/>
      <c r="KRD42" s="0"/>
      <c r="KRE42" s="0"/>
      <c r="KRF42" s="0"/>
      <c r="KRG42" s="0"/>
      <c r="KRH42" s="0"/>
      <c r="KRI42" s="0"/>
      <c r="KRJ42" s="0"/>
      <c r="KRK42" s="0"/>
      <c r="KRL42" s="0"/>
      <c r="KRM42" s="0"/>
      <c r="KRN42" s="0"/>
      <c r="KRO42" s="0"/>
      <c r="KRP42" s="0"/>
      <c r="KRQ42" s="0"/>
      <c r="KRR42" s="0"/>
      <c r="KRS42" s="0"/>
      <c r="KRT42" s="0"/>
      <c r="KRU42" s="0"/>
      <c r="KRV42" s="0"/>
      <c r="KRW42" s="0"/>
      <c r="KRX42" s="0"/>
      <c r="KRY42" s="0"/>
      <c r="KRZ42" s="0"/>
      <c r="KSA42" s="0"/>
      <c r="KSB42" s="0"/>
      <c r="KSC42" s="0"/>
      <c r="KSD42" s="0"/>
      <c r="KSE42" s="0"/>
      <c r="KSF42" s="0"/>
      <c r="KSG42" s="0"/>
      <c r="KSH42" s="0"/>
      <c r="KSI42" s="0"/>
      <c r="KSJ42" s="0"/>
      <c r="KSK42" s="0"/>
      <c r="KSL42" s="0"/>
      <c r="KSM42" s="0"/>
      <c r="KSN42" s="0"/>
      <c r="KSO42" s="0"/>
      <c r="KSP42" s="0"/>
      <c r="KSQ42" s="0"/>
      <c r="KSR42" s="0"/>
      <c r="KSS42" s="0"/>
      <c r="KST42" s="0"/>
      <c r="KSU42" s="0"/>
      <c r="KSV42" s="0"/>
      <c r="KSW42" s="0"/>
      <c r="KSX42" s="0"/>
      <c r="KSY42" s="0"/>
      <c r="KSZ42" s="0"/>
      <c r="KTA42" s="0"/>
      <c r="KTB42" s="0"/>
      <c r="KTC42" s="0"/>
      <c r="KTD42" s="0"/>
      <c r="KTE42" s="0"/>
      <c r="KTF42" s="0"/>
      <c r="KTG42" s="0"/>
      <c r="KTH42" s="0"/>
      <c r="KTI42" s="0"/>
      <c r="KTJ42" s="0"/>
      <c r="KTK42" s="0"/>
      <c r="KTL42" s="0"/>
      <c r="KTM42" s="0"/>
      <c r="KTN42" s="0"/>
      <c r="KTO42" s="0"/>
      <c r="KTP42" s="0"/>
      <c r="KTQ42" s="0"/>
      <c r="KTR42" s="0"/>
      <c r="KTS42" s="0"/>
      <c r="KTT42" s="0"/>
      <c r="KTU42" s="0"/>
      <c r="KTV42" s="0"/>
      <c r="KTW42" s="0"/>
      <c r="KTX42" s="0"/>
      <c r="KTY42" s="0"/>
      <c r="KTZ42" s="0"/>
      <c r="KUA42" s="0"/>
      <c r="KUB42" s="0"/>
      <c r="KUC42" s="0"/>
      <c r="KUD42" s="0"/>
      <c r="KUE42" s="0"/>
      <c r="KUF42" s="0"/>
      <c r="KUG42" s="0"/>
      <c r="KUH42" s="0"/>
      <c r="KUI42" s="0"/>
      <c r="KUJ42" s="0"/>
      <c r="KUK42" s="0"/>
      <c r="KUL42" s="0"/>
      <c r="KUM42" s="0"/>
      <c r="KUN42" s="0"/>
      <c r="KUO42" s="0"/>
      <c r="KUP42" s="0"/>
      <c r="KUQ42" s="0"/>
      <c r="KUR42" s="0"/>
      <c r="KUS42" s="0"/>
      <c r="KUT42" s="0"/>
      <c r="KUU42" s="0"/>
      <c r="KUV42" s="0"/>
      <c r="KUW42" s="0"/>
      <c r="KUX42" s="0"/>
      <c r="KUY42" s="0"/>
      <c r="KUZ42" s="0"/>
      <c r="KVA42" s="0"/>
      <c r="KVB42" s="0"/>
      <c r="KVC42" s="0"/>
      <c r="KVD42" s="0"/>
      <c r="KVE42" s="0"/>
      <c r="KVF42" s="0"/>
      <c r="KVG42" s="0"/>
      <c r="KVH42" s="0"/>
      <c r="KVI42" s="0"/>
      <c r="KVJ42" s="0"/>
      <c r="KVK42" s="0"/>
      <c r="KVL42" s="0"/>
      <c r="KVM42" s="0"/>
      <c r="KVN42" s="0"/>
      <c r="KVO42" s="0"/>
      <c r="KVP42" s="0"/>
      <c r="KVQ42" s="0"/>
      <c r="KVR42" s="0"/>
      <c r="KVS42" s="0"/>
      <c r="KVT42" s="0"/>
      <c r="KVU42" s="0"/>
      <c r="KVV42" s="0"/>
      <c r="KVW42" s="0"/>
      <c r="KVX42" s="0"/>
      <c r="KVY42" s="0"/>
      <c r="KVZ42" s="0"/>
      <c r="KWA42" s="0"/>
      <c r="KWB42" s="0"/>
      <c r="KWC42" s="0"/>
      <c r="KWD42" s="0"/>
      <c r="KWE42" s="0"/>
      <c r="KWF42" s="0"/>
      <c r="KWG42" s="0"/>
      <c r="KWH42" s="0"/>
      <c r="KWI42" s="0"/>
      <c r="KWJ42" s="0"/>
      <c r="KWK42" s="0"/>
      <c r="KWL42" s="0"/>
      <c r="KWM42" s="0"/>
      <c r="KWN42" s="0"/>
      <c r="KWO42" s="0"/>
      <c r="KWP42" s="0"/>
      <c r="KWQ42" s="0"/>
      <c r="KWR42" s="0"/>
      <c r="KWS42" s="0"/>
      <c r="KWT42" s="0"/>
      <c r="KWU42" s="0"/>
      <c r="KWV42" s="0"/>
      <c r="KWW42" s="0"/>
      <c r="KWX42" s="0"/>
      <c r="KWY42" s="0"/>
      <c r="KWZ42" s="0"/>
      <c r="KXA42" s="0"/>
      <c r="KXB42" s="0"/>
      <c r="KXC42" s="0"/>
      <c r="KXD42" s="0"/>
      <c r="KXE42" s="0"/>
      <c r="KXF42" s="0"/>
      <c r="KXG42" s="0"/>
      <c r="KXH42" s="0"/>
      <c r="KXI42" s="0"/>
      <c r="KXJ42" s="0"/>
      <c r="KXK42" s="0"/>
      <c r="KXL42" s="0"/>
      <c r="KXM42" s="0"/>
      <c r="KXN42" s="0"/>
      <c r="KXO42" s="0"/>
      <c r="KXP42" s="0"/>
      <c r="KXQ42" s="0"/>
      <c r="KXR42" s="0"/>
      <c r="KXS42" s="0"/>
      <c r="KXT42" s="0"/>
      <c r="KXU42" s="0"/>
      <c r="KXV42" s="0"/>
      <c r="KXW42" s="0"/>
      <c r="KXX42" s="0"/>
      <c r="KXY42" s="0"/>
      <c r="KXZ42" s="0"/>
      <c r="KYA42" s="0"/>
      <c r="KYB42" s="0"/>
      <c r="KYC42" s="0"/>
      <c r="KYD42" s="0"/>
      <c r="KYE42" s="0"/>
      <c r="KYF42" s="0"/>
      <c r="KYG42" s="0"/>
      <c r="KYH42" s="0"/>
      <c r="KYI42" s="0"/>
      <c r="KYJ42" s="0"/>
      <c r="KYK42" s="0"/>
      <c r="KYL42" s="0"/>
      <c r="KYM42" s="0"/>
      <c r="KYN42" s="0"/>
      <c r="KYO42" s="0"/>
      <c r="KYP42" s="0"/>
      <c r="KYQ42" s="0"/>
      <c r="KYR42" s="0"/>
      <c r="KYS42" s="0"/>
      <c r="KYT42" s="0"/>
      <c r="KYU42" s="0"/>
      <c r="KYV42" s="0"/>
      <c r="KYW42" s="0"/>
      <c r="KYX42" s="0"/>
      <c r="KYY42" s="0"/>
      <c r="KYZ42" s="0"/>
      <c r="KZA42" s="0"/>
      <c r="KZB42" s="0"/>
      <c r="KZC42" s="0"/>
      <c r="KZD42" s="0"/>
      <c r="KZE42" s="0"/>
      <c r="KZF42" s="0"/>
      <c r="KZG42" s="0"/>
      <c r="KZH42" s="0"/>
      <c r="KZI42" s="0"/>
      <c r="KZJ42" s="0"/>
      <c r="KZK42" s="0"/>
      <c r="KZL42" s="0"/>
      <c r="KZM42" s="0"/>
      <c r="KZN42" s="0"/>
      <c r="KZO42" s="0"/>
      <c r="KZP42" s="0"/>
      <c r="KZQ42" s="0"/>
      <c r="KZR42" s="0"/>
      <c r="KZS42" s="0"/>
      <c r="KZT42" s="0"/>
      <c r="KZU42" s="0"/>
      <c r="KZV42" s="0"/>
      <c r="KZW42" s="0"/>
      <c r="KZX42" s="0"/>
      <c r="KZY42" s="0"/>
      <c r="KZZ42" s="0"/>
      <c r="LAA42" s="0"/>
      <c r="LAB42" s="0"/>
      <c r="LAC42" s="0"/>
      <c r="LAD42" s="0"/>
      <c r="LAE42" s="0"/>
      <c r="LAF42" s="0"/>
      <c r="LAG42" s="0"/>
      <c r="LAH42" s="0"/>
      <c r="LAI42" s="0"/>
      <c r="LAJ42" s="0"/>
      <c r="LAK42" s="0"/>
      <c r="LAL42" s="0"/>
      <c r="LAM42" s="0"/>
      <c r="LAN42" s="0"/>
      <c r="LAO42" s="0"/>
      <c r="LAP42" s="0"/>
      <c r="LAQ42" s="0"/>
      <c r="LAR42" s="0"/>
      <c r="LAS42" s="0"/>
      <c r="LAT42" s="0"/>
      <c r="LAU42" s="0"/>
      <c r="LAV42" s="0"/>
      <c r="LAW42" s="0"/>
      <c r="LAX42" s="0"/>
      <c r="LAY42" s="0"/>
      <c r="LAZ42" s="0"/>
      <c r="LBA42" s="0"/>
      <c r="LBB42" s="0"/>
      <c r="LBC42" s="0"/>
      <c r="LBD42" s="0"/>
      <c r="LBE42" s="0"/>
      <c r="LBF42" s="0"/>
      <c r="LBG42" s="0"/>
      <c r="LBH42" s="0"/>
      <c r="LBI42" s="0"/>
      <c r="LBJ42" s="0"/>
      <c r="LBK42" s="0"/>
      <c r="LBL42" s="0"/>
      <c r="LBM42" s="0"/>
      <c r="LBN42" s="0"/>
      <c r="LBO42" s="0"/>
      <c r="LBP42" s="0"/>
      <c r="LBQ42" s="0"/>
      <c r="LBR42" s="0"/>
      <c r="LBS42" s="0"/>
      <c r="LBT42" s="0"/>
      <c r="LBU42" s="0"/>
      <c r="LBV42" s="0"/>
      <c r="LBW42" s="0"/>
      <c r="LBX42" s="0"/>
      <c r="LBY42" s="0"/>
      <c r="LBZ42" s="0"/>
      <c r="LCA42" s="0"/>
      <c r="LCB42" s="0"/>
      <c r="LCC42" s="0"/>
      <c r="LCD42" s="0"/>
      <c r="LCE42" s="0"/>
      <c r="LCF42" s="0"/>
      <c r="LCG42" s="0"/>
      <c r="LCH42" s="0"/>
      <c r="LCI42" s="0"/>
      <c r="LCJ42" s="0"/>
      <c r="LCK42" s="0"/>
      <c r="LCL42" s="0"/>
      <c r="LCM42" s="0"/>
      <c r="LCN42" s="0"/>
      <c r="LCO42" s="0"/>
      <c r="LCP42" s="0"/>
      <c r="LCQ42" s="0"/>
      <c r="LCR42" s="0"/>
      <c r="LCS42" s="0"/>
      <c r="LCT42" s="0"/>
      <c r="LCU42" s="0"/>
      <c r="LCV42" s="0"/>
      <c r="LCW42" s="0"/>
      <c r="LCX42" s="0"/>
      <c r="LCY42" s="0"/>
      <c r="LCZ42" s="0"/>
      <c r="LDA42" s="0"/>
      <c r="LDB42" s="0"/>
      <c r="LDC42" s="0"/>
      <c r="LDD42" s="0"/>
      <c r="LDE42" s="0"/>
      <c r="LDF42" s="0"/>
      <c r="LDG42" s="0"/>
      <c r="LDH42" s="0"/>
      <c r="LDI42" s="0"/>
      <c r="LDJ42" s="0"/>
      <c r="LDK42" s="0"/>
      <c r="LDL42" s="0"/>
      <c r="LDM42" s="0"/>
      <c r="LDN42" s="0"/>
      <c r="LDO42" s="0"/>
      <c r="LDP42" s="0"/>
      <c r="LDQ42" s="0"/>
      <c r="LDR42" s="0"/>
      <c r="LDS42" s="0"/>
      <c r="LDT42" s="0"/>
      <c r="LDU42" s="0"/>
      <c r="LDV42" s="0"/>
      <c r="LDW42" s="0"/>
      <c r="LDX42" s="0"/>
      <c r="LDY42" s="0"/>
      <c r="LDZ42" s="0"/>
      <c r="LEA42" s="0"/>
      <c r="LEB42" s="0"/>
      <c r="LEC42" s="0"/>
      <c r="LED42" s="0"/>
      <c r="LEE42" s="0"/>
      <c r="LEF42" s="0"/>
      <c r="LEG42" s="0"/>
      <c r="LEH42" s="0"/>
      <c r="LEI42" s="0"/>
      <c r="LEJ42" s="0"/>
      <c r="LEK42" s="0"/>
      <c r="LEL42" s="0"/>
      <c r="LEM42" s="0"/>
      <c r="LEN42" s="0"/>
      <c r="LEO42" s="0"/>
      <c r="LEP42" s="0"/>
      <c r="LEQ42" s="0"/>
      <c r="LER42" s="0"/>
      <c r="LES42" s="0"/>
      <c r="LET42" s="0"/>
      <c r="LEU42" s="0"/>
      <c r="LEV42" s="0"/>
      <c r="LEW42" s="0"/>
      <c r="LEX42" s="0"/>
      <c r="LEY42" s="0"/>
      <c r="LEZ42" s="0"/>
      <c r="LFA42" s="0"/>
      <c r="LFB42" s="0"/>
      <c r="LFC42" s="0"/>
      <c r="LFD42" s="0"/>
      <c r="LFE42" s="0"/>
      <c r="LFF42" s="0"/>
      <c r="LFG42" s="0"/>
      <c r="LFH42" s="0"/>
      <c r="LFI42" s="0"/>
      <c r="LFJ42" s="0"/>
      <c r="LFK42" s="0"/>
      <c r="LFL42" s="0"/>
      <c r="LFM42" s="0"/>
      <c r="LFN42" s="0"/>
      <c r="LFO42" s="0"/>
      <c r="LFP42" s="0"/>
      <c r="LFQ42" s="0"/>
      <c r="LFR42" s="0"/>
      <c r="LFS42" s="0"/>
      <c r="LFT42" s="0"/>
      <c r="LFU42" s="0"/>
      <c r="LFV42" s="0"/>
      <c r="LFW42" s="0"/>
      <c r="LFX42" s="0"/>
      <c r="LFY42" s="0"/>
      <c r="LFZ42" s="0"/>
      <c r="LGA42" s="0"/>
      <c r="LGB42" s="0"/>
      <c r="LGC42" s="0"/>
      <c r="LGD42" s="0"/>
      <c r="LGE42" s="0"/>
      <c r="LGF42" s="0"/>
      <c r="LGG42" s="0"/>
      <c r="LGH42" s="0"/>
      <c r="LGI42" s="0"/>
      <c r="LGJ42" s="0"/>
      <c r="LGK42" s="0"/>
      <c r="LGL42" s="0"/>
      <c r="LGM42" s="0"/>
      <c r="LGN42" s="0"/>
      <c r="LGO42" s="0"/>
      <c r="LGP42" s="0"/>
      <c r="LGQ42" s="0"/>
      <c r="LGR42" s="0"/>
      <c r="LGS42" s="0"/>
      <c r="LGT42" s="0"/>
      <c r="LGU42" s="0"/>
      <c r="LGV42" s="0"/>
      <c r="LGW42" s="0"/>
      <c r="LGX42" s="0"/>
      <c r="LGY42" s="0"/>
      <c r="LGZ42" s="0"/>
      <c r="LHA42" s="0"/>
      <c r="LHB42" s="0"/>
      <c r="LHC42" s="0"/>
      <c r="LHD42" s="0"/>
      <c r="LHE42" s="0"/>
      <c r="LHF42" s="0"/>
      <c r="LHG42" s="0"/>
      <c r="LHH42" s="0"/>
      <c r="LHI42" s="0"/>
      <c r="LHJ42" s="0"/>
      <c r="LHK42" s="0"/>
      <c r="LHL42" s="0"/>
      <c r="LHM42" s="0"/>
      <c r="LHN42" s="0"/>
      <c r="LHO42" s="0"/>
      <c r="LHP42" s="0"/>
      <c r="LHQ42" s="0"/>
      <c r="LHR42" s="0"/>
      <c r="LHS42" s="0"/>
      <c r="LHT42" s="0"/>
      <c r="LHU42" s="0"/>
      <c r="LHV42" s="0"/>
      <c r="LHW42" s="0"/>
      <c r="LHX42" s="0"/>
      <c r="LHY42" s="0"/>
      <c r="LHZ42" s="0"/>
      <c r="LIA42" s="0"/>
      <c r="LIB42" s="0"/>
      <c r="LIC42" s="0"/>
      <c r="LID42" s="0"/>
      <c r="LIE42" s="0"/>
      <c r="LIF42" s="0"/>
      <c r="LIG42" s="0"/>
      <c r="LIH42" s="0"/>
      <c r="LII42" s="0"/>
      <c r="LIJ42" s="0"/>
      <c r="LIK42" s="0"/>
      <c r="LIL42" s="0"/>
      <c r="LIM42" s="0"/>
      <c r="LIN42" s="0"/>
      <c r="LIO42" s="0"/>
      <c r="LIP42" s="0"/>
      <c r="LIQ42" s="0"/>
      <c r="LIR42" s="0"/>
      <c r="LIS42" s="0"/>
      <c r="LIT42" s="0"/>
      <c r="LIU42" s="0"/>
      <c r="LIV42" s="0"/>
      <c r="LIW42" s="0"/>
      <c r="LIX42" s="0"/>
      <c r="LIY42" s="0"/>
      <c r="LIZ42" s="0"/>
      <c r="LJA42" s="0"/>
      <c r="LJB42" s="0"/>
      <c r="LJC42" s="0"/>
      <c r="LJD42" s="0"/>
      <c r="LJE42" s="0"/>
      <c r="LJF42" s="0"/>
      <c r="LJG42" s="0"/>
      <c r="LJH42" s="0"/>
      <c r="LJI42" s="0"/>
      <c r="LJJ42" s="0"/>
      <c r="LJK42" s="0"/>
      <c r="LJL42" s="0"/>
      <c r="LJM42" s="0"/>
      <c r="LJN42" s="0"/>
      <c r="LJO42" s="0"/>
      <c r="LJP42" s="0"/>
      <c r="LJQ42" s="0"/>
      <c r="LJR42" s="0"/>
      <c r="LJS42" s="0"/>
      <c r="LJT42" s="0"/>
      <c r="LJU42" s="0"/>
      <c r="LJV42" s="0"/>
      <c r="LJW42" s="0"/>
      <c r="LJX42" s="0"/>
      <c r="LJY42" s="0"/>
      <c r="LJZ42" s="0"/>
      <c r="LKA42" s="0"/>
      <c r="LKB42" s="0"/>
      <c r="LKC42" s="0"/>
      <c r="LKD42" s="0"/>
      <c r="LKE42" s="0"/>
      <c r="LKF42" s="0"/>
      <c r="LKG42" s="0"/>
      <c r="LKH42" s="0"/>
      <c r="LKI42" s="0"/>
      <c r="LKJ42" s="0"/>
      <c r="LKK42" s="0"/>
      <c r="LKL42" s="0"/>
      <c r="LKM42" s="0"/>
      <c r="LKN42" s="0"/>
      <c r="LKO42" s="0"/>
      <c r="LKP42" s="0"/>
      <c r="LKQ42" s="0"/>
      <c r="LKR42" s="0"/>
      <c r="LKS42" s="0"/>
      <c r="LKT42" s="0"/>
      <c r="LKU42" s="0"/>
      <c r="LKV42" s="0"/>
      <c r="LKW42" s="0"/>
      <c r="LKX42" s="0"/>
      <c r="LKY42" s="0"/>
      <c r="LKZ42" s="0"/>
      <c r="LLA42" s="0"/>
      <c r="LLB42" s="0"/>
      <c r="LLC42" s="0"/>
      <c r="LLD42" s="0"/>
      <c r="LLE42" s="0"/>
      <c r="LLF42" s="0"/>
      <c r="LLG42" s="0"/>
      <c r="LLH42" s="0"/>
      <c r="LLI42" s="0"/>
      <c r="LLJ42" s="0"/>
      <c r="LLK42" s="0"/>
      <c r="LLL42" s="0"/>
      <c r="LLM42" s="0"/>
      <c r="LLN42" s="0"/>
      <c r="LLO42" s="0"/>
      <c r="LLP42" s="0"/>
      <c r="LLQ42" s="0"/>
      <c r="LLR42" s="0"/>
      <c r="LLS42" s="0"/>
      <c r="LLT42" s="0"/>
      <c r="LLU42" s="0"/>
      <c r="LLV42" s="0"/>
      <c r="LLW42" s="0"/>
      <c r="LLX42" s="0"/>
      <c r="LLY42" s="0"/>
      <c r="LLZ42" s="0"/>
      <c r="LMA42" s="0"/>
      <c r="LMB42" s="0"/>
      <c r="LMC42" s="0"/>
      <c r="LMD42" s="0"/>
      <c r="LME42" s="0"/>
      <c r="LMF42" s="0"/>
      <c r="LMG42" s="0"/>
      <c r="LMH42" s="0"/>
      <c r="LMI42" s="0"/>
      <c r="LMJ42" s="0"/>
      <c r="LMK42" s="0"/>
      <c r="LML42" s="0"/>
      <c r="LMM42" s="0"/>
      <c r="LMN42" s="0"/>
      <c r="LMO42" s="0"/>
      <c r="LMP42" s="0"/>
      <c r="LMQ42" s="0"/>
      <c r="LMR42" s="0"/>
      <c r="LMS42" s="0"/>
      <c r="LMT42" s="0"/>
      <c r="LMU42" s="0"/>
      <c r="LMV42" s="0"/>
      <c r="LMW42" s="0"/>
      <c r="LMX42" s="0"/>
      <c r="LMY42" s="0"/>
      <c r="LMZ42" s="0"/>
      <c r="LNA42" s="0"/>
      <c r="LNB42" s="0"/>
      <c r="LNC42" s="0"/>
      <c r="LND42" s="0"/>
      <c r="LNE42" s="0"/>
      <c r="LNF42" s="0"/>
      <c r="LNG42" s="0"/>
      <c r="LNH42" s="0"/>
      <c r="LNI42" s="0"/>
      <c r="LNJ42" s="0"/>
      <c r="LNK42" s="0"/>
      <c r="LNL42" s="0"/>
      <c r="LNM42" s="0"/>
      <c r="LNN42" s="0"/>
      <c r="LNO42" s="0"/>
      <c r="LNP42" s="0"/>
      <c r="LNQ42" s="0"/>
      <c r="LNR42" s="0"/>
      <c r="LNS42" s="0"/>
      <c r="LNT42" s="0"/>
      <c r="LNU42" s="0"/>
      <c r="LNV42" s="0"/>
      <c r="LNW42" s="0"/>
      <c r="LNX42" s="0"/>
      <c r="LNY42" s="0"/>
      <c r="LNZ42" s="0"/>
      <c r="LOA42" s="0"/>
      <c r="LOB42" s="0"/>
      <c r="LOC42" s="0"/>
      <c r="LOD42" s="0"/>
      <c r="LOE42" s="0"/>
      <c r="LOF42" s="0"/>
      <c r="LOG42" s="0"/>
      <c r="LOH42" s="0"/>
      <c r="LOI42" s="0"/>
      <c r="LOJ42" s="0"/>
      <c r="LOK42" s="0"/>
      <c r="LOL42" s="0"/>
      <c r="LOM42" s="0"/>
      <c r="LON42" s="0"/>
      <c r="LOO42" s="0"/>
      <c r="LOP42" s="0"/>
      <c r="LOQ42" s="0"/>
      <c r="LOR42" s="0"/>
      <c r="LOS42" s="0"/>
      <c r="LOT42" s="0"/>
      <c r="LOU42" s="0"/>
      <c r="LOV42" s="0"/>
      <c r="LOW42" s="0"/>
      <c r="LOX42" s="0"/>
      <c r="LOY42" s="0"/>
      <c r="LOZ42" s="0"/>
      <c r="LPA42" s="0"/>
      <c r="LPB42" s="0"/>
      <c r="LPC42" s="0"/>
      <c r="LPD42" s="0"/>
      <c r="LPE42" s="0"/>
      <c r="LPF42" s="0"/>
      <c r="LPG42" s="0"/>
      <c r="LPH42" s="0"/>
      <c r="LPI42" s="0"/>
      <c r="LPJ42" s="0"/>
      <c r="LPK42" s="0"/>
      <c r="LPL42" s="0"/>
      <c r="LPM42" s="0"/>
      <c r="LPN42" s="0"/>
      <c r="LPO42" s="0"/>
      <c r="LPP42" s="0"/>
      <c r="LPQ42" s="0"/>
      <c r="LPR42" s="0"/>
      <c r="LPS42" s="0"/>
      <c r="LPT42" s="0"/>
      <c r="LPU42" s="0"/>
      <c r="LPV42" s="0"/>
      <c r="LPW42" s="0"/>
      <c r="LPX42" s="0"/>
      <c r="LPY42" s="0"/>
      <c r="LPZ42" s="0"/>
      <c r="LQA42" s="0"/>
      <c r="LQB42" s="0"/>
      <c r="LQC42" s="0"/>
      <c r="LQD42" s="0"/>
      <c r="LQE42" s="0"/>
      <c r="LQF42" s="0"/>
      <c r="LQG42" s="0"/>
      <c r="LQH42" s="0"/>
      <c r="LQI42" s="0"/>
      <c r="LQJ42" s="0"/>
      <c r="LQK42" s="0"/>
      <c r="LQL42" s="0"/>
      <c r="LQM42" s="0"/>
      <c r="LQN42" s="0"/>
      <c r="LQO42" s="0"/>
      <c r="LQP42" s="0"/>
      <c r="LQQ42" s="0"/>
      <c r="LQR42" s="0"/>
      <c r="LQS42" s="0"/>
      <c r="LQT42" s="0"/>
      <c r="LQU42" s="0"/>
      <c r="LQV42" s="0"/>
      <c r="LQW42" s="0"/>
      <c r="LQX42" s="0"/>
      <c r="LQY42" s="0"/>
      <c r="LQZ42" s="0"/>
      <c r="LRA42" s="0"/>
      <c r="LRB42" s="0"/>
      <c r="LRC42" s="0"/>
      <c r="LRD42" s="0"/>
      <c r="LRE42" s="0"/>
      <c r="LRF42" s="0"/>
      <c r="LRG42" s="0"/>
      <c r="LRH42" s="0"/>
      <c r="LRI42" s="0"/>
      <c r="LRJ42" s="0"/>
      <c r="LRK42" s="0"/>
      <c r="LRL42" s="0"/>
      <c r="LRM42" s="0"/>
      <c r="LRN42" s="0"/>
      <c r="LRO42" s="0"/>
      <c r="LRP42" s="0"/>
      <c r="LRQ42" s="0"/>
      <c r="LRR42" s="0"/>
      <c r="LRS42" s="0"/>
      <c r="LRT42" s="0"/>
      <c r="LRU42" s="0"/>
      <c r="LRV42" s="0"/>
      <c r="LRW42" s="0"/>
      <c r="LRX42" s="0"/>
      <c r="LRY42" s="0"/>
      <c r="LRZ42" s="0"/>
      <c r="LSA42" s="0"/>
      <c r="LSB42" s="0"/>
      <c r="LSC42" s="0"/>
      <c r="LSD42" s="0"/>
      <c r="LSE42" s="0"/>
      <c r="LSF42" s="0"/>
      <c r="LSG42" s="0"/>
      <c r="LSH42" s="0"/>
      <c r="LSI42" s="0"/>
      <c r="LSJ42" s="0"/>
      <c r="LSK42" s="0"/>
      <c r="LSL42" s="0"/>
      <c r="LSM42" s="0"/>
      <c r="LSN42" s="0"/>
      <c r="LSO42" s="0"/>
      <c r="LSP42" s="0"/>
      <c r="LSQ42" s="0"/>
      <c r="LSR42" s="0"/>
      <c r="LSS42" s="0"/>
      <c r="LST42" s="0"/>
      <c r="LSU42" s="0"/>
      <c r="LSV42" s="0"/>
      <c r="LSW42" s="0"/>
      <c r="LSX42" s="0"/>
      <c r="LSY42" s="0"/>
      <c r="LSZ42" s="0"/>
      <c r="LTA42" s="0"/>
      <c r="LTB42" s="0"/>
      <c r="LTC42" s="0"/>
      <c r="LTD42" s="0"/>
      <c r="LTE42" s="0"/>
      <c r="LTF42" s="0"/>
      <c r="LTG42" s="0"/>
      <c r="LTH42" s="0"/>
      <c r="LTI42" s="0"/>
      <c r="LTJ42" s="0"/>
      <c r="LTK42" s="0"/>
      <c r="LTL42" s="0"/>
      <c r="LTM42" s="0"/>
      <c r="LTN42" s="0"/>
      <c r="LTO42" s="0"/>
      <c r="LTP42" s="0"/>
      <c r="LTQ42" s="0"/>
      <c r="LTR42" s="0"/>
      <c r="LTS42" s="0"/>
      <c r="LTT42" s="0"/>
      <c r="LTU42" s="0"/>
      <c r="LTV42" s="0"/>
      <c r="LTW42" s="0"/>
      <c r="LTX42" s="0"/>
      <c r="LTY42" s="0"/>
      <c r="LTZ42" s="0"/>
      <c r="LUA42" s="0"/>
      <c r="LUB42" s="0"/>
      <c r="LUC42" s="0"/>
      <c r="LUD42" s="0"/>
      <c r="LUE42" s="0"/>
      <c r="LUF42" s="0"/>
      <c r="LUG42" s="0"/>
      <c r="LUH42" s="0"/>
      <c r="LUI42" s="0"/>
      <c r="LUJ42" s="0"/>
      <c r="LUK42" s="0"/>
      <c r="LUL42" s="0"/>
      <c r="LUM42" s="0"/>
      <c r="LUN42" s="0"/>
      <c r="LUO42" s="0"/>
      <c r="LUP42" s="0"/>
      <c r="LUQ42" s="0"/>
      <c r="LUR42" s="0"/>
      <c r="LUS42" s="0"/>
      <c r="LUT42" s="0"/>
      <c r="LUU42" s="0"/>
      <c r="LUV42" s="0"/>
      <c r="LUW42" s="0"/>
      <c r="LUX42" s="0"/>
      <c r="LUY42" s="0"/>
      <c r="LUZ42" s="0"/>
      <c r="LVA42" s="0"/>
      <c r="LVB42" s="0"/>
      <c r="LVC42" s="0"/>
      <c r="LVD42" s="0"/>
      <c r="LVE42" s="0"/>
      <c r="LVF42" s="0"/>
      <c r="LVG42" s="0"/>
      <c r="LVH42" s="0"/>
      <c r="LVI42" s="0"/>
      <c r="LVJ42" s="0"/>
      <c r="LVK42" s="0"/>
      <c r="LVL42" s="0"/>
      <c r="LVM42" s="0"/>
      <c r="LVN42" s="0"/>
      <c r="LVO42" s="0"/>
      <c r="LVP42" s="0"/>
      <c r="LVQ42" s="0"/>
      <c r="LVR42" s="0"/>
      <c r="LVS42" s="0"/>
      <c r="LVT42" s="0"/>
      <c r="LVU42" s="0"/>
      <c r="LVV42" s="0"/>
      <c r="LVW42" s="0"/>
      <c r="LVX42" s="0"/>
      <c r="LVY42" s="0"/>
      <c r="LVZ42" s="0"/>
      <c r="LWA42" s="0"/>
      <c r="LWB42" s="0"/>
      <c r="LWC42" s="0"/>
      <c r="LWD42" s="0"/>
      <c r="LWE42" s="0"/>
      <c r="LWF42" s="0"/>
      <c r="LWG42" s="0"/>
      <c r="LWH42" s="0"/>
      <c r="LWI42" s="0"/>
      <c r="LWJ42" s="0"/>
      <c r="LWK42" s="0"/>
      <c r="LWL42" s="0"/>
      <c r="LWM42" s="0"/>
      <c r="LWN42" s="0"/>
      <c r="LWO42" s="0"/>
      <c r="LWP42" s="0"/>
      <c r="LWQ42" s="0"/>
      <c r="LWR42" s="0"/>
      <c r="LWS42" s="0"/>
      <c r="LWT42" s="0"/>
      <c r="LWU42" s="0"/>
      <c r="LWV42" s="0"/>
      <c r="LWW42" s="0"/>
      <c r="LWX42" s="0"/>
      <c r="LWY42" s="0"/>
      <c r="LWZ42" s="0"/>
      <c r="LXA42" s="0"/>
      <c r="LXB42" s="0"/>
      <c r="LXC42" s="0"/>
      <c r="LXD42" s="0"/>
      <c r="LXE42" s="0"/>
      <c r="LXF42" s="0"/>
      <c r="LXG42" s="0"/>
      <c r="LXH42" s="0"/>
      <c r="LXI42" s="0"/>
      <c r="LXJ42" s="0"/>
      <c r="LXK42" s="0"/>
      <c r="LXL42" s="0"/>
      <c r="LXM42" s="0"/>
      <c r="LXN42" s="0"/>
      <c r="LXO42" s="0"/>
      <c r="LXP42" s="0"/>
      <c r="LXQ42" s="0"/>
      <c r="LXR42" s="0"/>
      <c r="LXS42" s="0"/>
      <c r="LXT42" s="0"/>
      <c r="LXU42" s="0"/>
      <c r="LXV42" s="0"/>
      <c r="LXW42" s="0"/>
      <c r="LXX42" s="0"/>
      <c r="LXY42" s="0"/>
      <c r="LXZ42" s="0"/>
      <c r="LYA42" s="0"/>
      <c r="LYB42" s="0"/>
      <c r="LYC42" s="0"/>
      <c r="LYD42" s="0"/>
      <c r="LYE42" s="0"/>
      <c r="LYF42" s="0"/>
      <c r="LYG42" s="0"/>
      <c r="LYH42" s="0"/>
      <c r="LYI42" s="0"/>
      <c r="LYJ42" s="0"/>
      <c r="LYK42" s="0"/>
      <c r="LYL42" s="0"/>
      <c r="LYM42" s="0"/>
      <c r="LYN42" s="0"/>
      <c r="LYO42" s="0"/>
      <c r="LYP42" s="0"/>
      <c r="LYQ42" s="0"/>
      <c r="LYR42" s="0"/>
      <c r="LYS42" s="0"/>
      <c r="LYT42" s="0"/>
      <c r="LYU42" s="0"/>
      <c r="LYV42" s="0"/>
      <c r="LYW42" s="0"/>
      <c r="LYX42" s="0"/>
      <c r="LYY42" s="0"/>
      <c r="LYZ42" s="0"/>
      <c r="LZA42" s="0"/>
      <c r="LZB42" s="0"/>
      <c r="LZC42" s="0"/>
      <c r="LZD42" s="0"/>
      <c r="LZE42" s="0"/>
      <c r="LZF42" s="0"/>
      <c r="LZG42" s="0"/>
      <c r="LZH42" s="0"/>
      <c r="LZI42" s="0"/>
      <c r="LZJ42" s="0"/>
      <c r="LZK42" s="0"/>
      <c r="LZL42" s="0"/>
      <c r="LZM42" s="0"/>
      <c r="LZN42" s="0"/>
      <c r="LZO42" s="0"/>
      <c r="LZP42" s="0"/>
      <c r="LZQ42" s="0"/>
      <c r="LZR42" s="0"/>
      <c r="LZS42" s="0"/>
      <c r="LZT42" s="0"/>
      <c r="LZU42" s="0"/>
      <c r="LZV42" s="0"/>
      <c r="LZW42" s="0"/>
      <c r="LZX42" s="0"/>
      <c r="LZY42" s="0"/>
      <c r="LZZ42" s="0"/>
      <c r="MAA42" s="0"/>
      <c r="MAB42" s="0"/>
      <c r="MAC42" s="0"/>
      <c r="MAD42" s="0"/>
      <c r="MAE42" s="0"/>
      <c r="MAF42" s="0"/>
      <c r="MAG42" s="0"/>
      <c r="MAH42" s="0"/>
      <c r="MAI42" s="0"/>
      <c r="MAJ42" s="0"/>
      <c r="MAK42" s="0"/>
      <c r="MAL42" s="0"/>
      <c r="MAM42" s="0"/>
      <c r="MAN42" s="0"/>
      <c r="MAO42" s="0"/>
      <c r="MAP42" s="0"/>
      <c r="MAQ42" s="0"/>
      <c r="MAR42" s="0"/>
      <c r="MAS42" s="0"/>
      <c r="MAT42" s="0"/>
      <c r="MAU42" s="0"/>
      <c r="MAV42" s="0"/>
      <c r="MAW42" s="0"/>
      <c r="MAX42" s="0"/>
      <c r="MAY42" s="0"/>
      <c r="MAZ42" s="0"/>
      <c r="MBA42" s="0"/>
      <c r="MBB42" s="0"/>
      <c r="MBC42" s="0"/>
      <c r="MBD42" s="0"/>
      <c r="MBE42" s="0"/>
      <c r="MBF42" s="0"/>
      <c r="MBG42" s="0"/>
      <c r="MBH42" s="0"/>
      <c r="MBI42" s="0"/>
      <c r="MBJ42" s="0"/>
      <c r="MBK42" s="0"/>
      <c r="MBL42" s="0"/>
      <c r="MBM42" s="0"/>
      <c r="MBN42" s="0"/>
      <c r="MBO42" s="0"/>
      <c r="MBP42" s="0"/>
      <c r="MBQ42" s="0"/>
      <c r="MBR42" s="0"/>
      <c r="MBS42" s="0"/>
      <c r="MBT42" s="0"/>
      <c r="MBU42" s="0"/>
      <c r="MBV42" s="0"/>
      <c r="MBW42" s="0"/>
      <c r="MBX42" s="0"/>
      <c r="MBY42" s="0"/>
      <c r="MBZ42" s="0"/>
      <c r="MCA42" s="0"/>
      <c r="MCB42" s="0"/>
      <c r="MCC42" s="0"/>
      <c r="MCD42" s="0"/>
      <c r="MCE42" s="0"/>
      <c r="MCF42" s="0"/>
      <c r="MCG42" s="0"/>
      <c r="MCH42" s="0"/>
      <c r="MCI42" s="0"/>
      <c r="MCJ42" s="0"/>
      <c r="MCK42" s="0"/>
      <c r="MCL42" s="0"/>
      <c r="MCM42" s="0"/>
      <c r="MCN42" s="0"/>
      <c r="MCO42" s="0"/>
      <c r="MCP42" s="0"/>
      <c r="MCQ42" s="0"/>
      <c r="MCR42" s="0"/>
      <c r="MCS42" s="0"/>
      <c r="MCT42" s="0"/>
      <c r="MCU42" s="0"/>
      <c r="MCV42" s="0"/>
      <c r="MCW42" s="0"/>
      <c r="MCX42" s="0"/>
      <c r="MCY42" s="0"/>
      <c r="MCZ42" s="0"/>
      <c r="MDA42" s="0"/>
      <c r="MDB42" s="0"/>
      <c r="MDC42" s="0"/>
      <c r="MDD42" s="0"/>
      <c r="MDE42" s="0"/>
      <c r="MDF42" s="0"/>
      <c r="MDG42" s="0"/>
      <c r="MDH42" s="0"/>
      <c r="MDI42" s="0"/>
      <c r="MDJ42" s="0"/>
      <c r="MDK42" s="0"/>
      <c r="MDL42" s="0"/>
      <c r="MDM42" s="0"/>
      <c r="MDN42" s="0"/>
      <c r="MDO42" s="0"/>
      <c r="MDP42" s="0"/>
      <c r="MDQ42" s="0"/>
      <c r="MDR42" s="0"/>
      <c r="MDS42" s="0"/>
      <c r="MDT42" s="0"/>
      <c r="MDU42" s="0"/>
      <c r="MDV42" s="0"/>
      <c r="MDW42" s="0"/>
      <c r="MDX42" s="0"/>
      <c r="MDY42" s="0"/>
      <c r="MDZ42" s="0"/>
      <c r="MEA42" s="0"/>
      <c r="MEB42" s="0"/>
      <c r="MEC42" s="0"/>
      <c r="MED42" s="0"/>
      <c r="MEE42" s="0"/>
      <c r="MEF42" s="0"/>
      <c r="MEG42" s="0"/>
      <c r="MEH42" s="0"/>
      <c r="MEI42" s="0"/>
      <c r="MEJ42" s="0"/>
      <c r="MEK42" s="0"/>
      <c r="MEL42" s="0"/>
      <c r="MEM42" s="0"/>
      <c r="MEN42" s="0"/>
      <c r="MEO42" s="0"/>
      <c r="MEP42" s="0"/>
      <c r="MEQ42" s="0"/>
      <c r="MER42" s="0"/>
      <c r="MES42" s="0"/>
      <c r="MET42" s="0"/>
      <c r="MEU42" s="0"/>
      <c r="MEV42" s="0"/>
      <c r="MEW42" s="0"/>
      <c r="MEX42" s="0"/>
      <c r="MEY42" s="0"/>
      <c r="MEZ42" s="0"/>
      <c r="MFA42" s="0"/>
      <c r="MFB42" s="0"/>
      <c r="MFC42" s="0"/>
      <c r="MFD42" s="0"/>
      <c r="MFE42" s="0"/>
      <c r="MFF42" s="0"/>
      <c r="MFG42" s="0"/>
      <c r="MFH42" s="0"/>
      <c r="MFI42" s="0"/>
      <c r="MFJ42" s="0"/>
      <c r="MFK42" s="0"/>
      <c r="MFL42" s="0"/>
      <c r="MFM42" s="0"/>
      <c r="MFN42" s="0"/>
      <c r="MFO42" s="0"/>
      <c r="MFP42" s="0"/>
      <c r="MFQ42" s="0"/>
      <c r="MFR42" s="0"/>
      <c r="MFS42" s="0"/>
      <c r="MFT42" s="0"/>
      <c r="MFU42" s="0"/>
      <c r="MFV42" s="0"/>
      <c r="MFW42" s="0"/>
      <c r="MFX42" s="0"/>
      <c r="MFY42" s="0"/>
      <c r="MFZ42" s="0"/>
      <c r="MGA42" s="0"/>
      <c r="MGB42" s="0"/>
      <c r="MGC42" s="0"/>
      <c r="MGD42" s="0"/>
      <c r="MGE42" s="0"/>
      <c r="MGF42" s="0"/>
      <c r="MGG42" s="0"/>
      <c r="MGH42" s="0"/>
      <c r="MGI42" s="0"/>
      <c r="MGJ42" s="0"/>
      <c r="MGK42" s="0"/>
      <c r="MGL42" s="0"/>
      <c r="MGM42" s="0"/>
      <c r="MGN42" s="0"/>
      <c r="MGO42" s="0"/>
      <c r="MGP42" s="0"/>
      <c r="MGQ42" s="0"/>
      <c r="MGR42" s="0"/>
      <c r="MGS42" s="0"/>
      <c r="MGT42" s="0"/>
      <c r="MGU42" s="0"/>
      <c r="MGV42" s="0"/>
      <c r="MGW42" s="0"/>
      <c r="MGX42" s="0"/>
      <c r="MGY42" s="0"/>
      <c r="MGZ42" s="0"/>
      <c r="MHA42" s="0"/>
      <c r="MHB42" s="0"/>
      <c r="MHC42" s="0"/>
      <c r="MHD42" s="0"/>
      <c r="MHE42" s="0"/>
      <c r="MHF42" s="0"/>
      <c r="MHG42" s="0"/>
      <c r="MHH42" s="0"/>
      <c r="MHI42" s="0"/>
      <c r="MHJ42" s="0"/>
      <c r="MHK42" s="0"/>
      <c r="MHL42" s="0"/>
      <c r="MHM42" s="0"/>
      <c r="MHN42" s="0"/>
      <c r="MHO42" s="0"/>
      <c r="MHP42" s="0"/>
      <c r="MHQ42" s="0"/>
      <c r="MHR42" s="0"/>
      <c r="MHS42" s="0"/>
      <c r="MHT42" s="0"/>
      <c r="MHU42" s="0"/>
      <c r="MHV42" s="0"/>
      <c r="MHW42" s="0"/>
      <c r="MHX42" s="0"/>
      <c r="MHY42" s="0"/>
      <c r="MHZ42" s="0"/>
      <c r="MIA42" s="0"/>
      <c r="MIB42" s="0"/>
      <c r="MIC42" s="0"/>
      <c r="MID42" s="0"/>
      <c r="MIE42" s="0"/>
      <c r="MIF42" s="0"/>
      <c r="MIG42" s="0"/>
      <c r="MIH42" s="0"/>
      <c r="MII42" s="0"/>
      <c r="MIJ42" s="0"/>
      <c r="MIK42" s="0"/>
      <c r="MIL42" s="0"/>
      <c r="MIM42" s="0"/>
      <c r="MIN42" s="0"/>
      <c r="MIO42" s="0"/>
      <c r="MIP42" s="0"/>
      <c r="MIQ42" s="0"/>
      <c r="MIR42" s="0"/>
      <c r="MIS42" s="0"/>
      <c r="MIT42" s="0"/>
      <c r="MIU42" s="0"/>
      <c r="MIV42" s="0"/>
      <c r="MIW42" s="0"/>
      <c r="MIX42" s="0"/>
      <c r="MIY42" s="0"/>
      <c r="MIZ42" s="0"/>
      <c r="MJA42" s="0"/>
      <c r="MJB42" s="0"/>
      <c r="MJC42" s="0"/>
      <c r="MJD42" s="0"/>
      <c r="MJE42" s="0"/>
      <c r="MJF42" s="0"/>
      <c r="MJG42" s="0"/>
      <c r="MJH42" s="0"/>
      <c r="MJI42" s="0"/>
      <c r="MJJ42" s="0"/>
      <c r="MJK42" s="0"/>
      <c r="MJL42" s="0"/>
      <c r="MJM42" s="0"/>
      <c r="MJN42" s="0"/>
      <c r="MJO42" s="0"/>
      <c r="MJP42" s="0"/>
      <c r="MJQ42" s="0"/>
      <c r="MJR42" s="0"/>
      <c r="MJS42" s="0"/>
      <c r="MJT42" s="0"/>
      <c r="MJU42" s="0"/>
      <c r="MJV42" s="0"/>
      <c r="MJW42" s="0"/>
      <c r="MJX42" s="0"/>
      <c r="MJY42" s="0"/>
      <c r="MJZ42" s="0"/>
      <c r="MKA42" s="0"/>
      <c r="MKB42" s="0"/>
      <c r="MKC42" s="0"/>
      <c r="MKD42" s="0"/>
      <c r="MKE42" s="0"/>
      <c r="MKF42" s="0"/>
      <c r="MKG42" s="0"/>
      <c r="MKH42" s="0"/>
      <c r="MKI42" s="0"/>
      <c r="MKJ42" s="0"/>
      <c r="MKK42" s="0"/>
      <c r="MKL42" s="0"/>
      <c r="MKM42" s="0"/>
      <c r="MKN42" s="0"/>
      <c r="MKO42" s="0"/>
      <c r="MKP42" s="0"/>
      <c r="MKQ42" s="0"/>
      <c r="MKR42" s="0"/>
      <c r="MKS42" s="0"/>
      <c r="MKT42" s="0"/>
      <c r="MKU42" s="0"/>
      <c r="MKV42" s="0"/>
      <c r="MKW42" s="0"/>
      <c r="MKX42" s="0"/>
      <c r="MKY42" s="0"/>
      <c r="MKZ42" s="0"/>
      <c r="MLA42" s="0"/>
      <c r="MLB42" s="0"/>
      <c r="MLC42" s="0"/>
      <c r="MLD42" s="0"/>
      <c r="MLE42" s="0"/>
      <c r="MLF42" s="0"/>
      <c r="MLG42" s="0"/>
      <c r="MLH42" s="0"/>
      <c r="MLI42" s="0"/>
      <c r="MLJ42" s="0"/>
      <c r="MLK42" s="0"/>
      <c r="MLL42" s="0"/>
      <c r="MLM42" s="0"/>
      <c r="MLN42" s="0"/>
      <c r="MLO42" s="0"/>
      <c r="MLP42" s="0"/>
      <c r="MLQ42" s="0"/>
      <c r="MLR42" s="0"/>
      <c r="MLS42" s="0"/>
      <c r="MLT42" s="0"/>
      <c r="MLU42" s="0"/>
      <c r="MLV42" s="0"/>
      <c r="MLW42" s="0"/>
      <c r="MLX42" s="0"/>
      <c r="MLY42" s="0"/>
      <c r="MLZ42" s="0"/>
      <c r="MMA42" s="0"/>
      <c r="MMB42" s="0"/>
      <c r="MMC42" s="0"/>
      <c r="MMD42" s="0"/>
      <c r="MME42" s="0"/>
      <c r="MMF42" s="0"/>
      <c r="MMG42" s="0"/>
      <c r="MMH42" s="0"/>
      <c r="MMI42" s="0"/>
      <c r="MMJ42" s="0"/>
      <c r="MMK42" s="0"/>
      <c r="MML42" s="0"/>
      <c r="MMM42" s="0"/>
      <c r="MMN42" s="0"/>
      <c r="MMO42" s="0"/>
      <c r="MMP42" s="0"/>
      <c r="MMQ42" s="0"/>
      <c r="MMR42" s="0"/>
      <c r="MMS42" s="0"/>
      <c r="MMT42" s="0"/>
      <c r="MMU42" s="0"/>
      <c r="MMV42" s="0"/>
      <c r="MMW42" s="0"/>
      <c r="MMX42" s="0"/>
      <c r="MMY42" s="0"/>
      <c r="MMZ42" s="0"/>
      <c r="MNA42" s="0"/>
      <c r="MNB42" s="0"/>
      <c r="MNC42" s="0"/>
      <c r="MND42" s="0"/>
      <c r="MNE42" s="0"/>
      <c r="MNF42" s="0"/>
      <c r="MNG42" s="0"/>
      <c r="MNH42" s="0"/>
      <c r="MNI42" s="0"/>
      <c r="MNJ42" s="0"/>
      <c r="MNK42" s="0"/>
      <c r="MNL42" s="0"/>
      <c r="MNM42" s="0"/>
      <c r="MNN42" s="0"/>
      <c r="MNO42" s="0"/>
      <c r="MNP42" s="0"/>
      <c r="MNQ42" s="0"/>
      <c r="MNR42" s="0"/>
      <c r="MNS42" s="0"/>
      <c r="MNT42" s="0"/>
      <c r="MNU42" s="0"/>
      <c r="MNV42" s="0"/>
      <c r="MNW42" s="0"/>
      <c r="MNX42" s="0"/>
      <c r="MNY42" s="0"/>
      <c r="MNZ42" s="0"/>
      <c r="MOA42" s="0"/>
      <c r="MOB42" s="0"/>
      <c r="MOC42" s="0"/>
      <c r="MOD42" s="0"/>
      <c r="MOE42" s="0"/>
      <c r="MOF42" s="0"/>
      <c r="MOG42" s="0"/>
      <c r="MOH42" s="0"/>
      <c r="MOI42" s="0"/>
      <c r="MOJ42" s="0"/>
      <c r="MOK42" s="0"/>
      <c r="MOL42" s="0"/>
      <c r="MOM42" s="0"/>
      <c r="MON42" s="0"/>
      <c r="MOO42" s="0"/>
      <c r="MOP42" s="0"/>
      <c r="MOQ42" s="0"/>
      <c r="MOR42" s="0"/>
      <c r="MOS42" s="0"/>
      <c r="MOT42" s="0"/>
      <c r="MOU42" s="0"/>
      <c r="MOV42" s="0"/>
      <c r="MOW42" s="0"/>
      <c r="MOX42" s="0"/>
      <c r="MOY42" s="0"/>
      <c r="MOZ42" s="0"/>
      <c r="MPA42" s="0"/>
      <c r="MPB42" s="0"/>
      <c r="MPC42" s="0"/>
      <c r="MPD42" s="0"/>
      <c r="MPE42" s="0"/>
      <c r="MPF42" s="0"/>
      <c r="MPG42" s="0"/>
      <c r="MPH42" s="0"/>
      <c r="MPI42" s="0"/>
      <c r="MPJ42" s="0"/>
      <c r="MPK42" s="0"/>
      <c r="MPL42" s="0"/>
      <c r="MPM42" s="0"/>
      <c r="MPN42" s="0"/>
      <c r="MPO42" s="0"/>
      <c r="MPP42" s="0"/>
      <c r="MPQ42" s="0"/>
      <c r="MPR42" s="0"/>
      <c r="MPS42" s="0"/>
      <c r="MPT42" s="0"/>
      <c r="MPU42" s="0"/>
      <c r="MPV42" s="0"/>
      <c r="MPW42" s="0"/>
      <c r="MPX42" s="0"/>
      <c r="MPY42" s="0"/>
      <c r="MPZ42" s="0"/>
      <c r="MQA42" s="0"/>
      <c r="MQB42" s="0"/>
      <c r="MQC42" s="0"/>
      <c r="MQD42" s="0"/>
      <c r="MQE42" s="0"/>
      <c r="MQF42" s="0"/>
      <c r="MQG42" s="0"/>
      <c r="MQH42" s="0"/>
      <c r="MQI42" s="0"/>
      <c r="MQJ42" s="0"/>
      <c r="MQK42" s="0"/>
      <c r="MQL42" s="0"/>
      <c r="MQM42" s="0"/>
      <c r="MQN42" s="0"/>
      <c r="MQO42" s="0"/>
      <c r="MQP42" s="0"/>
      <c r="MQQ42" s="0"/>
      <c r="MQR42" s="0"/>
      <c r="MQS42" s="0"/>
      <c r="MQT42" s="0"/>
      <c r="MQU42" s="0"/>
      <c r="MQV42" s="0"/>
      <c r="MQW42" s="0"/>
      <c r="MQX42" s="0"/>
      <c r="MQY42" s="0"/>
      <c r="MQZ42" s="0"/>
      <c r="MRA42" s="0"/>
      <c r="MRB42" s="0"/>
      <c r="MRC42" s="0"/>
      <c r="MRD42" s="0"/>
      <c r="MRE42" s="0"/>
      <c r="MRF42" s="0"/>
      <c r="MRG42" s="0"/>
      <c r="MRH42" s="0"/>
      <c r="MRI42" s="0"/>
      <c r="MRJ42" s="0"/>
      <c r="MRK42" s="0"/>
      <c r="MRL42" s="0"/>
      <c r="MRM42" s="0"/>
      <c r="MRN42" s="0"/>
      <c r="MRO42" s="0"/>
      <c r="MRP42" s="0"/>
      <c r="MRQ42" s="0"/>
      <c r="MRR42" s="0"/>
      <c r="MRS42" s="0"/>
      <c r="MRT42" s="0"/>
      <c r="MRU42" s="0"/>
      <c r="MRV42" s="0"/>
      <c r="MRW42" s="0"/>
      <c r="MRX42" s="0"/>
      <c r="MRY42" s="0"/>
      <c r="MRZ42" s="0"/>
      <c r="MSA42" s="0"/>
      <c r="MSB42" s="0"/>
      <c r="MSC42" s="0"/>
      <c r="MSD42" s="0"/>
      <c r="MSE42" s="0"/>
      <c r="MSF42" s="0"/>
      <c r="MSG42" s="0"/>
      <c r="MSH42" s="0"/>
      <c r="MSI42" s="0"/>
      <c r="MSJ42" s="0"/>
      <c r="MSK42" s="0"/>
      <c r="MSL42" s="0"/>
      <c r="MSM42" s="0"/>
      <c r="MSN42" s="0"/>
      <c r="MSO42" s="0"/>
      <c r="MSP42" s="0"/>
      <c r="MSQ42" s="0"/>
      <c r="MSR42" s="0"/>
      <c r="MSS42" s="0"/>
      <c r="MST42" s="0"/>
      <c r="MSU42" s="0"/>
      <c r="MSV42" s="0"/>
      <c r="MSW42" s="0"/>
      <c r="MSX42" s="0"/>
      <c r="MSY42" s="0"/>
      <c r="MSZ42" s="0"/>
      <c r="MTA42" s="0"/>
      <c r="MTB42" s="0"/>
      <c r="MTC42" s="0"/>
      <c r="MTD42" s="0"/>
      <c r="MTE42" s="0"/>
      <c r="MTF42" s="0"/>
      <c r="MTG42" s="0"/>
      <c r="MTH42" s="0"/>
      <c r="MTI42" s="0"/>
      <c r="MTJ42" s="0"/>
      <c r="MTK42" s="0"/>
      <c r="MTL42" s="0"/>
      <c r="MTM42" s="0"/>
      <c r="MTN42" s="0"/>
      <c r="MTO42" s="0"/>
      <c r="MTP42" s="0"/>
      <c r="MTQ42" s="0"/>
      <c r="MTR42" s="0"/>
      <c r="MTS42" s="0"/>
      <c r="MTT42" s="0"/>
      <c r="MTU42" s="0"/>
      <c r="MTV42" s="0"/>
      <c r="MTW42" s="0"/>
      <c r="MTX42" s="0"/>
      <c r="MTY42" s="0"/>
      <c r="MTZ42" s="0"/>
      <c r="MUA42" s="0"/>
      <c r="MUB42" s="0"/>
      <c r="MUC42" s="0"/>
      <c r="MUD42" s="0"/>
      <c r="MUE42" s="0"/>
      <c r="MUF42" s="0"/>
      <c r="MUG42" s="0"/>
      <c r="MUH42" s="0"/>
      <c r="MUI42" s="0"/>
      <c r="MUJ42" s="0"/>
      <c r="MUK42" s="0"/>
      <c r="MUL42" s="0"/>
      <c r="MUM42" s="0"/>
      <c r="MUN42" s="0"/>
      <c r="MUO42" s="0"/>
      <c r="MUP42" s="0"/>
      <c r="MUQ42" s="0"/>
      <c r="MUR42" s="0"/>
      <c r="MUS42" s="0"/>
      <c r="MUT42" s="0"/>
      <c r="MUU42" s="0"/>
      <c r="MUV42" s="0"/>
      <c r="MUW42" s="0"/>
      <c r="MUX42" s="0"/>
      <c r="MUY42" s="0"/>
      <c r="MUZ42" s="0"/>
      <c r="MVA42" s="0"/>
      <c r="MVB42" s="0"/>
      <c r="MVC42" s="0"/>
      <c r="MVD42" s="0"/>
      <c r="MVE42" s="0"/>
      <c r="MVF42" s="0"/>
      <c r="MVG42" s="0"/>
      <c r="MVH42" s="0"/>
      <c r="MVI42" s="0"/>
      <c r="MVJ42" s="0"/>
      <c r="MVK42" s="0"/>
      <c r="MVL42" s="0"/>
      <c r="MVM42" s="0"/>
      <c r="MVN42" s="0"/>
      <c r="MVO42" s="0"/>
      <c r="MVP42" s="0"/>
      <c r="MVQ42" s="0"/>
      <c r="MVR42" s="0"/>
      <c r="MVS42" s="0"/>
      <c r="MVT42" s="0"/>
      <c r="MVU42" s="0"/>
      <c r="MVV42" s="0"/>
      <c r="MVW42" s="0"/>
      <c r="MVX42" s="0"/>
      <c r="MVY42" s="0"/>
      <c r="MVZ42" s="0"/>
      <c r="MWA42" s="0"/>
      <c r="MWB42" s="0"/>
      <c r="MWC42" s="0"/>
      <c r="MWD42" s="0"/>
      <c r="MWE42" s="0"/>
      <c r="MWF42" s="0"/>
      <c r="MWG42" s="0"/>
      <c r="MWH42" s="0"/>
      <c r="MWI42" s="0"/>
      <c r="MWJ42" s="0"/>
      <c r="MWK42" s="0"/>
      <c r="MWL42" s="0"/>
      <c r="MWM42" s="0"/>
      <c r="MWN42" s="0"/>
      <c r="MWO42" s="0"/>
      <c r="MWP42" s="0"/>
      <c r="MWQ42" s="0"/>
      <c r="MWR42" s="0"/>
      <c r="MWS42" s="0"/>
      <c r="MWT42" s="0"/>
      <c r="MWU42" s="0"/>
      <c r="MWV42" s="0"/>
      <c r="MWW42" s="0"/>
      <c r="MWX42" s="0"/>
      <c r="MWY42" s="0"/>
      <c r="MWZ42" s="0"/>
      <c r="MXA42" s="0"/>
      <c r="MXB42" s="0"/>
      <c r="MXC42" s="0"/>
      <c r="MXD42" s="0"/>
      <c r="MXE42" s="0"/>
      <c r="MXF42" s="0"/>
      <c r="MXG42" s="0"/>
      <c r="MXH42" s="0"/>
      <c r="MXI42" s="0"/>
      <c r="MXJ42" s="0"/>
      <c r="MXK42" s="0"/>
      <c r="MXL42" s="0"/>
      <c r="MXM42" s="0"/>
      <c r="MXN42" s="0"/>
      <c r="MXO42" s="0"/>
      <c r="MXP42" s="0"/>
      <c r="MXQ42" s="0"/>
      <c r="MXR42" s="0"/>
      <c r="MXS42" s="0"/>
      <c r="MXT42" s="0"/>
      <c r="MXU42" s="0"/>
      <c r="MXV42" s="0"/>
      <c r="MXW42" s="0"/>
      <c r="MXX42" s="0"/>
      <c r="MXY42" s="0"/>
      <c r="MXZ42" s="0"/>
      <c r="MYA42" s="0"/>
      <c r="MYB42" s="0"/>
      <c r="MYC42" s="0"/>
      <c r="MYD42" s="0"/>
      <c r="MYE42" s="0"/>
      <c r="MYF42" s="0"/>
      <c r="MYG42" s="0"/>
      <c r="MYH42" s="0"/>
      <c r="MYI42" s="0"/>
      <c r="MYJ42" s="0"/>
      <c r="MYK42" s="0"/>
      <c r="MYL42" s="0"/>
      <c r="MYM42" s="0"/>
      <c r="MYN42" s="0"/>
      <c r="MYO42" s="0"/>
      <c r="MYP42" s="0"/>
      <c r="MYQ42" s="0"/>
      <c r="MYR42" s="0"/>
      <c r="MYS42" s="0"/>
      <c r="MYT42" s="0"/>
      <c r="MYU42" s="0"/>
      <c r="MYV42" s="0"/>
      <c r="MYW42" s="0"/>
      <c r="MYX42" s="0"/>
      <c r="MYY42" s="0"/>
      <c r="MYZ42" s="0"/>
      <c r="MZA42" s="0"/>
      <c r="MZB42" s="0"/>
      <c r="MZC42" s="0"/>
      <c r="MZD42" s="0"/>
      <c r="MZE42" s="0"/>
      <c r="MZF42" s="0"/>
      <c r="MZG42" s="0"/>
      <c r="MZH42" s="0"/>
      <c r="MZI42" s="0"/>
      <c r="MZJ42" s="0"/>
      <c r="MZK42" s="0"/>
      <c r="MZL42" s="0"/>
      <c r="MZM42" s="0"/>
      <c r="MZN42" s="0"/>
      <c r="MZO42" s="0"/>
      <c r="MZP42" s="0"/>
      <c r="MZQ42" s="0"/>
      <c r="MZR42" s="0"/>
      <c r="MZS42" s="0"/>
      <c r="MZT42" s="0"/>
      <c r="MZU42" s="0"/>
      <c r="MZV42" s="0"/>
      <c r="MZW42" s="0"/>
      <c r="MZX42" s="0"/>
      <c r="MZY42" s="0"/>
      <c r="MZZ42" s="0"/>
      <c r="NAA42" s="0"/>
      <c r="NAB42" s="0"/>
      <c r="NAC42" s="0"/>
      <c r="NAD42" s="0"/>
      <c r="NAE42" s="0"/>
      <c r="NAF42" s="0"/>
      <c r="NAG42" s="0"/>
      <c r="NAH42" s="0"/>
      <c r="NAI42" s="0"/>
      <c r="NAJ42" s="0"/>
      <c r="NAK42" s="0"/>
      <c r="NAL42" s="0"/>
      <c r="NAM42" s="0"/>
      <c r="NAN42" s="0"/>
      <c r="NAO42" s="0"/>
      <c r="NAP42" s="0"/>
      <c r="NAQ42" s="0"/>
      <c r="NAR42" s="0"/>
      <c r="NAS42" s="0"/>
      <c r="NAT42" s="0"/>
      <c r="NAU42" s="0"/>
      <c r="NAV42" s="0"/>
      <c r="NAW42" s="0"/>
      <c r="NAX42" s="0"/>
      <c r="NAY42" s="0"/>
      <c r="NAZ42" s="0"/>
      <c r="NBA42" s="0"/>
      <c r="NBB42" s="0"/>
      <c r="NBC42" s="0"/>
      <c r="NBD42" s="0"/>
      <c r="NBE42" s="0"/>
      <c r="NBF42" s="0"/>
      <c r="NBG42" s="0"/>
      <c r="NBH42" s="0"/>
      <c r="NBI42" s="0"/>
      <c r="NBJ42" s="0"/>
      <c r="NBK42" s="0"/>
      <c r="NBL42" s="0"/>
      <c r="NBM42" s="0"/>
      <c r="NBN42" s="0"/>
      <c r="NBO42" s="0"/>
      <c r="NBP42" s="0"/>
      <c r="NBQ42" s="0"/>
      <c r="NBR42" s="0"/>
      <c r="NBS42" s="0"/>
      <c r="NBT42" s="0"/>
      <c r="NBU42" s="0"/>
      <c r="NBV42" s="0"/>
      <c r="NBW42" s="0"/>
      <c r="NBX42" s="0"/>
      <c r="NBY42" s="0"/>
      <c r="NBZ42" s="0"/>
      <c r="NCA42" s="0"/>
      <c r="NCB42" s="0"/>
      <c r="NCC42" s="0"/>
      <c r="NCD42" s="0"/>
      <c r="NCE42" s="0"/>
      <c r="NCF42" s="0"/>
      <c r="NCG42" s="0"/>
      <c r="NCH42" s="0"/>
      <c r="NCI42" s="0"/>
      <c r="NCJ42" s="0"/>
      <c r="NCK42" s="0"/>
      <c r="NCL42" s="0"/>
      <c r="NCM42" s="0"/>
      <c r="NCN42" s="0"/>
      <c r="NCO42" s="0"/>
      <c r="NCP42" s="0"/>
      <c r="NCQ42" s="0"/>
      <c r="NCR42" s="0"/>
      <c r="NCS42" s="0"/>
      <c r="NCT42" s="0"/>
      <c r="NCU42" s="0"/>
      <c r="NCV42" s="0"/>
      <c r="NCW42" s="0"/>
      <c r="NCX42" s="0"/>
      <c r="NCY42" s="0"/>
      <c r="NCZ42" s="0"/>
      <c r="NDA42" s="0"/>
      <c r="NDB42" s="0"/>
      <c r="NDC42" s="0"/>
      <c r="NDD42" s="0"/>
      <c r="NDE42" s="0"/>
      <c r="NDF42" s="0"/>
      <c r="NDG42" s="0"/>
      <c r="NDH42" s="0"/>
      <c r="NDI42" s="0"/>
      <c r="NDJ42" s="0"/>
      <c r="NDK42" s="0"/>
      <c r="NDL42" s="0"/>
      <c r="NDM42" s="0"/>
      <c r="NDN42" s="0"/>
      <c r="NDO42" s="0"/>
      <c r="NDP42" s="0"/>
      <c r="NDQ42" s="0"/>
      <c r="NDR42" s="0"/>
      <c r="NDS42" s="0"/>
      <c r="NDT42" s="0"/>
      <c r="NDU42" s="0"/>
      <c r="NDV42" s="0"/>
      <c r="NDW42" s="0"/>
      <c r="NDX42" s="0"/>
      <c r="NDY42" s="0"/>
      <c r="NDZ42" s="0"/>
      <c r="NEA42" s="0"/>
      <c r="NEB42" s="0"/>
      <c r="NEC42" s="0"/>
      <c r="NED42" s="0"/>
      <c r="NEE42" s="0"/>
      <c r="NEF42" s="0"/>
      <c r="NEG42" s="0"/>
      <c r="NEH42" s="0"/>
      <c r="NEI42" s="0"/>
      <c r="NEJ42" s="0"/>
      <c r="NEK42" s="0"/>
      <c r="NEL42" s="0"/>
      <c r="NEM42" s="0"/>
      <c r="NEN42" s="0"/>
      <c r="NEO42" s="0"/>
      <c r="NEP42" s="0"/>
      <c r="NEQ42" s="0"/>
      <c r="NER42" s="0"/>
      <c r="NES42" s="0"/>
      <c r="NET42" s="0"/>
      <c r="NEU42" s="0"/>
      <c r="NEV42" s="0"/>
      <c r="NEW42" s="0"/>
      <c r="NEX42" s="0"/>
      <c r="NEY42" s="0"/>
      <c r="NEZ42" s="0"/>
      <c r="NFA42" s="0"/>
      <c r="NFB42" s="0"/>
      <c r="NFC42" s="0"/>
      <c r="NFD42" s="0"/>
      <c r="NFE42" s="0"/>
      <c r="NFF42" s="0"/>
      <c r="NFG42" s="0"/>
      <c r="NFH42" s="0"/>
      <c r="NFI42" s="0"/>
      <c r="NFJ42" s="0"/>
      <c r="NFK42" s="0"/>
      <c r="NFL42" s="0"/>
      <c r="NFM42" s="0"/>
      <c r="NFN42" s="0"/>
      <c r="NFO42" s="0"/>
      <c r="NFP42" s="0"/>
      <c r="NFQ42" s="0"/>
      <c r="NFR42" s="0"/>
      <c r="NFS42" s="0"/>
      <c r="NFT42" s="0"/>
      <c r="NFU42" s="0"/>
      <c r="NFV42" s="0"/>
      <c r="NFW42" s="0"/>
      <c r="NFX42" s="0"/>
      <c r="NFY42" s="0"/>
      <c r="NFZ42" s="0"/>
      <c r="NGA42" s="0"/>
      <c r="NGB42" s="0"/>
      <c r="NGC42" s="0"/>
      <c r="NGD42" s="0"/>
      <c r="NGE42" s="0"/>
      <c r="NGF42" s="0"/>
      <c r="NGG42" s="0"/>
      <c r="NGH42" s="0"/>
      <c r="NGI42" s="0"/>
      <c r="NGJ42" s="0"/>
      <c r="NGK42" s="0"/>
      <c r="NGL42" s="0"/>
      <c r="NGM42" s="0"/>
      <c r="NGN42" s="0"/>
      <c r="NGO42" s="0"/>
      <c r="NGP42" s="0"/>
      <c r="NGQ42" s="0"/>
      <c r="NGR42" s="0"/>
      <c r="NGS42" s="0"/>
      <c r="NGT42" s="0"/>
      <c r="NGU42" s="0"/>
      <c r="NGV42" s="0"/>
      <c r="NGW42" s="0"/>
      <c r="NGX42" s="0"/>
      <c r="NGY42" s="0"/>
      <c r="NGZ42" s="0"/>
      <c r="NHA42" s="0"/>
      <c r="NHB42" s="0"/>
      <c r="NHC42" s="0"/>
      <c r="NHD42" s="0"/>
      <c r="NHE42" s="0"/>
      <c r="NHF42" s="0"/>
      <c r="NHG42" s="0"/>
      <c r="NHH42" s="0"/>
      <c r="NHI42" s="0"/>
      <c r="NHJ42" s="0"/>
      <c r="NHK42" s="0"/>
      <c r="NHL42" s="0"/>
      <c r="NHM42" s="0"/>
      <c r="NHN42" s="0"/>
      <c r="NHO42" s="0"/>
      <c r="NHP42" s="0"/>
      <c r="NHQ42" s="0"/>
      <c r="NHR42" s="0"/>
      <c r="NHS42" s="0"/>
      <c r="NHT42" s="0"/>
      <c r="NHU42" s="0"/>
      <c r="NHV42" s="0"/>
      <c r="NHW42" s="0"/>
      <c r="NHX42" s="0"/>
      <c r="NHY42" s="0"/>
      <c r="NHZ42" s="0"/>
      <c r="NIA42" s="0"/>
      <c r="NIB42" s="0"/>
      <c r="NIC42" s="0"/>
      <c r="NID42" s="0"/>
      <c r="NIE42" s="0"/>
      <c r="NIF42" s="0"/>
      <c r="NIG42" s="0"/>
      <c r="NIH42" s="0"/>
      <c r="NII42" s="0"/>
      <c r="NIJ42" s="0"/>
      <c r="NIK42" s="0"/>
      <c r="NIL42" s="0"/>
      <c r="NIM42" s="0"/>
      <c r="NIN42" s="0"/>
      <c r="NIO42" s="0"/>
      <c r="NIP42" s="0"/>
      <c r="NIQ42" s="0"/>
      <c r="NIR42" s="0"/>
      <c r="NIS42" s="0"/>
      <c r="NIT42" s="0"/>
      <c r="NIU42" s="0"/>
      <c r="NIV42" s="0"/>
      <c r="NIW42" s="0"/>
      <c r="NIX42" s="0"/>
      <c r="NIY42" s="0"/>
      <c r="NIZ42" s="0"/>
      <c r="NJA42" s="0"/>
      <c r="NJB42" s="0"/>
      <c r="NJC42" s="0"/>
      <c r="NJD42" s="0"/>
      <c r="NJE42" s="0"/>
      <c r="NJF42" s="0"/>
      <c r="NJG42" s="0"/>
      <c r="NJH42" s="0"/>
      <c r="NJI42" s="0"/>
      <c r="NJJ42" s="0"/>
      <c r="NJK42" s="0"/>
      <c r="NJL42" s="0"/>
      <c r="NJM42" s="0"/>
      <c r="NJN42" s="0"/>
      <c r="NJO42" s="0"/>
      <c r="NJP42" s="0"/>
      <c r="NJQ42" s="0"/>
      <c r="NJR42" s="0"/>
      <c r="NJS42" s="0"/>
      <c r="NJT42" s="0"/>
      <c r="NJU42" s="0"/>
      <c r="NJV42" s="0"/>
      <c r="NJW42" s="0"/>
      <c r="NJX42" s="0"/>
      <c r="NJY42" s="0"/>
      <c r="NJZ42" s="0"/>
      <c r="NKA42" s="0"/>
      <c r="NKB42" s="0"/>
      <c r="NKC42" s="0"/>
      <c r="NKD42" s="0"/>
      <c r="NKE42" s="0"/>
      <c r="NKF42" s="0"/>
      <c r="NKG42" s="0"/>
      <c r="NKH42" s="0"/>
      <c r="NKI42" s="0"/>
      <c r="NKJ42" s="0"/>
      <c r="NKK42" s="0"/>
      <c r="NKL42" s="0"/>
      <c r="NKM42" s="0"/>
      <c r="NKN42" s="0"/>
      <c r="NKO42" s="0"/>
      <c r="NKP42" s="0"/>
      <c r="NKQ42" s="0"/>
      <c r="NKR42" s="0"/>
      <c r="NKS42" s="0"/>
      <c r="NKT42" s="0"/>
      <c r="NKU42" s="0"/>
      <c r="NKV42" s="0"/>
      <c r="NKW42" s="0"/>
      <c r="NKX42" s="0"/>
      <c r="NKY42" s="0"/>
      <c r="NKZ42" s="0"/>
      <c r="NLA42" s="0"/>
      <c r="NLB42" s="0"/>
      <c r="NLC42" s="0"/>
      <c r="NLD42" s="0"/>
      <c r="NLE42" s="0"/>
      <c r="NLF42" s="0"/>
      <c r="NLG42" s="0"/>
      <c r="NLH42" s="0"/>
      <c r="NLI42" s="0"/>
      <c r="NLJ42" s="0"/>
      <c r="NLK42" s="0"/>
      <c r="NLL42" s="0"/>
      <c r="NLM42" s="0"/>
      <c r="NLN42" s="0"/>
      <c r="NLO42" s="0"/>
      <c r="NLP42" s="0"/>
      <c r="NLQ42" s="0"/>
      <c r="NLR42" s="0"/>
      <c r="NLS42" s="0"/>
      <c r="NLT42" s="0"/>
      <c r="NLU42" s="0"/>
      <c r="NLV42" s="0"/>
      <c r="NLW42" s="0"/>
      <c r="NLX42" s="0"/>
      <c r="NLY42" s="0"/>
      <c r="NLZ42" s="0"/>
      <c r="NMA42" s="0"/>
      <c r="NMB42" s="0"/>
      <c r="NMC42" s="0"/>
      <c r="NMD42" s="0"/>
      <c r="NME42" s="0"/>
      <c r="NMF42" s="0"/>
      <c r="NMG42" s="0"/>
      <c r="NMH42" s="0"/>
      <c r="NMI42" s="0"/>
      <c r="NMJ42" s="0"/>
      <c r="NMK42" s="0"/>
      <c r="NML42" s="0"/>
      <c r="NMM42" s="0"/>
      <c r="NMN42" s="0"/>
      <c r="NMO42" s="0"/>
      <c r="NMP42" s="0"/>
      <c r="NMQ42" s="0"/>
      <c r="NMR42" s="0"/>
      <c r="NMS42" s="0"/>
      <c r="NMT42" s="0"/>
      <c r="NMU42" s="0"/>
      <c r="NMV42" s="0"/>
      <c r="NMW42" s="0"/>
      <c r="NMX42" s="0"/>
      <c r="NMY42" s="0"/>
      <c r="NMZ42" s="0"/>
      <c r="NNA42" s="0"/>
      <c r="NNB42" s="0"/>
      <c r="NNC42" s="0"/>
      <c r="NND42" s="0"/>
      <c r="NNE42" s="0"/>
      <c r="NNF42" s="0"/>
      <c r="NNG42" s="0"/>
      <c r="NNH42" s="0"/>
      <c r="NNI42" s="0"/>
      <c r="NNJ42" s="0"/>
      <c r="NNK42" s="0"/>
      <c r="NNL42" s="0"/>
      <c r="NNM42" s="0"/>
      <c r="NNN42" s="0"/>
      <c r="NNO42" s="0"/>
      <c r="NNP42" s="0"/>
      <c r="NNQ42" s="0"/>
      <c r="NNR42" s="0"/>
      <c r="NNS42" s="0"/>
      <c r="NNT42" s="0"/>
      <c r="NNU42" s="0"/>
      <c r="NNV42" s="0"/>
      <c r="NNW42" s="0"/>
      <c r="NNX42" s="0"/>
      <c r="NNY42" s="0"/>
      <c r="NNZ42" s="0"/>
      <c r="NOA42" s="0"/>
      <c r="NOB42" s="0"/>
      <c r="NOC42" s="0"/>
      <c r="NOD42" s="0"/>
      <c r="NOE42" s="0"/>
      <c r="NOF42" s="0"/>
      <c r="NOG42" s="0"/>
      <c r="NOH42" s="0"/>
      <c r="NOI42" s="0"/>
      <c r="NOJ42" s="0"/>
      <c r="NOK42" s="0"/>
      <c r="NOL42" s="0"/>
      <c r="NOM42" s="0"/>
      <c r="NON42" s="0"/>
      <c r="NOO42" s="0"/>
      <c r="NOP42" s="0"/>
      <c r="NOQ42" s="0"/>
      <c r="NOR42" s="0"/>
      <c r="NOS42" s="0"/>
      <c r="NOT42" s="0"/>
      <c r="NOU42" s="0"/>
      <c r="NOV42" s="0"/>
      <c r="NOW42" s="0"/>
      <c r="NOX42" s="0"/>
      <c r="NOY42" s="0"/>
      <c r="NOZ42" s="0"/>
      <c r="NPA42" s="0"/>
      <c r="NPB42" s="0"/>
      <c r="NPC42" s="0"/>
      <c r="NPD42" s="0"/>
      <c r="NPE42" s="0"/>
      <c r="NPF42" s="0"/>
      <c r="NPG42" s="0"/>
      <c r="NPH42" s="0"/>
      <c r="NPI42" s="0"/>
      <c r="NPJ42" s="0"/>
      <c r="NPK42" s="0"/>
      <c r="NPL42" s="0"/>
      <c r="NPM42" s="0"/>
      <c r="NPN42" s="0"/>
      <c r="NPO42" s="0"/>
      <c r="NPP42" s="0"/>
      <c r="NPQ42" s="0"/>
      <c r="NPR42" s="0"/>
      <c r="NPS42" s="0"/>
      <c r="NPT42" s="0"/>
      <c r="NPU42" s="0"/>
      <c r="NPV42" s="0"/>
      <c r="NPW42" s="0"/>
      <c r="NPX42" s="0"/>
      <c r="NPY42" s="0"/>
      <c r="NPZ42" s="0"/>
      <c r="NQA42" s="0"/>
      <c r="NQB42" s="0"/>
      <c r="NQC42" s="0"/>
      <c r="NQD42" s="0"/>
      <c r="NQE42" s="0"/>
      <c r="NQF42" s="0"/>
      <c r="NQG42" s="0"/>
      <c r="NQH42" s="0"/>
      <c r="NQI42" s="0"/>
      <c r="NQJ42" s="0"/>
      <c r="NQK42" s="0"/>
      <c r="NQL42" s="0"/>
      <c r="NQM42" s="0"/>
      <c r="NQN42" s="0"/>
      <c r="NQO42" s="0"/>
      <c r="NQP42" s="0"/>
      <c r="NQQ42" s="0"/>
      <c r="NQR42" s="0"/>
      <c r="NQS42" s="0"/>
      <c r="NQT42" s="0"/>
      <c r="NQU42" s="0"/>
      <c r="NQV42" s="0"/>
      <c r="NQW42" s="0"/>
      <c r="NQX42" s="0"/>
      <c r="NQY42" s="0"/>
      <c r="NQZ42" s="0"/>
      <c r="NRA42" s="0"/>
      <c r="NRB42" s="0"/>
      <c r="NRC42" s="0"/>
      <c r="NRD42" s="0"/>
      <c r="NRE42" s="0"/>
      <c r="NRF42" s="0"/>
      <c r="NRG42" s="0"/>
      <c r="NRH42" s="0"/>
      <c r="NRI42" s="0"/>
      <c r="NRJ42" s="0"/>
      <c r="NRK42" s="0"/>
      <c r="NRL42" s="0"/>
      <c r="NRM42" s="0"/>
      <c r="NRN42" s="0"/>
      <c r="NRO42" s="0"/>
      <c r="NRP42" s="0"/>
      <c r="NRQ42" s="0"/>
      <c r="NRR42" s="0"/>
      <c r="NRS42" s="0"/>
      <c r="NRT42" s="0"/>
      <c r="NRU42" s="0"/>
      <c r="NRV42" s="0"/>
      <c r="NRW42" s="0"/>
      <c r="NRX42" s="0"/>
      <c r="NRY42" s="0"/>
      <c r="NRZ42" s="0"/>
      <c r="NSA42" s="0"/>
      <c r="NSB42" s="0"/>
      <c r="NSC42" s="0"/>
      <c r="NSD42" s="0"/>
      <c r="NSE42" s="0"/>
      <c r="NSF42" s="0"/>
      <c r="NSG42" s="0"/>
      <c r="NSH42" s="0"/>
      <c r="NSI42" s="0"/>
      <c r="NSJ42" s="0"/>
      <c r="NSK42" s="0"/>
      <c r="NSL42" s="0"/>
      <c r="NSM42" s="0"/>
      <c r="NSN42" s="0"/>
      <c r="NSO42" s="0"/>
      <c r="NSP42" s="0"/>
      <c r="NSQ42" s="0"/>
      <c r="NSR42" s="0"/>
      <c r="NSS42" s="0"/>
      <c r="NST42" s="0"/>
      <c r="NSU42" s="0"/>
      <c r="NSV42" s="0"/>
      <c r="NSW42" s="0"/>
      <c r="NSX42" s="0"/>
      <c r="NSY42" s="0"/>
      <c r="NSZ42" s="0"/>
      <c r="NTA42" s="0"/>
      <c r="NTB42" s="0"/>
      <c r="NTC42" s="0"/>
      <c r="NTD42" s="0"/>
      <c r="NTE42" s="0"/>
      <c r="NTF42" s="0"/>
      <c r="NTG42" s="0"/>
      <c r="NTH42" s="0"/>
      <c r="NTI42" s="0"/>
      <c r="NTJ42" s="0"/>
      <c r="NTK42" s="0"/>
      <c r="NTL42" s="0"/>
      <c r="NTM42" s="0"/>
      <c r="NTN42" s="0"/>
      <c r="NTO42" s="0"/>
      <c r="NTP42" s="0"/>
      <c r="NTQ42" s="0"/>
      <c r="NTR42" s="0"/>
      <c r="NTS42" s="0"/>
      <c r="NTT42" s="0"/>
      <c r="NTU42" s="0"/>
      <c r="NTV42" s="0"/>
      <c r="NTW42" s="0"/>
      <c r="NTX42" s="0"/>
      <c r="NTY42" s="0"/>
      <c r="NTZ42" s="0"/>
      <c r="NUA42" s="0"/>
      <c r="NUB42" s="0"/>
      <c r="NUC42" s="0"/>
      <c r="NUD42" s="0"/>
      <c r="NUE42" s="0"/>
      <c r="NUF42" s="0"/>
      <c r="NUG42" s="0"/>
      <c r="NUH42" s="0"/>
      <c r="NUI42" s="0"/>
      <c r="NUJ42" s="0"/>
      <c r="NUK42" s="0"/>
      <c r="NUL42" s="0"/>
      <c r="NUM42" s="0"/>
      <c r="NUN42" s="0"/>
      <c r="NUO42" s="0"/>
      <c r="NUP42" s="0"/>
      <c r="NUQ42" s="0"/>
      <c r="NUR42" s="0"/>
      <c r="NUS42" s="0"/>
      <c r="NUT42" s="0"/>
      <c r="NUU42" s="0"/>
      <c r="NUV42" s="0"/>
      <c r="NUW42" s="0"/>
      <c r="NUX42" s="0"/>
      <c r="NUY42" s="0"/>
      <c r="NUZ42" s="0"/>
      <c r="NVA42" s="0"/>
      <c r="NVB42" s="0"/>
      <c r="NVC42" s="0"/>
      <c r="NVD42" s="0"/>
      <c r="NVE42" s="0"/>
      <c r="NVF42" s="0"/>
      <c r="NVG42" s="0"/>
      <c r="NVH42" s="0"/>
      <c r="NVI42" s="0"/>
      <c r="NVJ42" s="0"/>
      <c r="NVK42" s="0"/>
      <c r="NVL42" s="0"/>
      <c r="NVM42" s="0"/>
      <c r="NVN42" s="0"/>
      <c r="NVO42" s="0"/>
      <c r="NVP42" s="0"/>
      <c r="NVQ42" s="0"/>
      <c r="NVR42" s="0"/>
      <c r="NVS42" s="0"/>
      <c r="NVT42" s="0"/>
      <c r="NVU42" s="0"/>
      <c r="NVV42" s="0"/>
      <c r="NVW42" s="0"/>
      <c r="NVX42" s="0"/>
      <c r="NVY42" s="0"/>
      <c r="NVZ42" s="0"/>
      <c r="NWA42" s="0"/>
      <c r="NWB42" s="0"/>
      <c r="NWC42" s="0"/>
      <c r="NWD42" s="0"/>
      <c r="NWE42" s="0"/>
      <c r="NWF42" s="0"/>
      <c r="NWG42" s="0"/>
      <c r="NWH42" s="0"/>
      <c r="NWI42" s="0"/>
      <c r="NWJ42" s="0"/>
      <c r="NWK42" s="0"/>
      <c r="NWL42" s="0"/>
      <c r="NWM42" s="0"/>
      <c r="NWN42" s="0"/>
      <c r="NWO42" s="0"/>
      <c r="NWP42" s="0"/>
      <c r="NWQ42" s="0"/>
      <c r="NWR42" s="0"/>
      <c r="NWS42" s="0"/>
      <c r="NWT42" s="0"/>
      <c r="NWU42" s="0"/>
      <c r="NWV42" s="0"/>
      <c r="NWW42" s="0"/>
      <c r="NWX42" s="0"/>
      <c r="NWY42" s="0"/>
      <c r="NWZ42" s="0"/>
      <c r="NXA42" s="0"/>
      <c r="NXB42" s="0"/>
      <c r="NXC42" s="0"/>
      <c r="NXD42" s="0"/>
      <c r="NXE42" s="0"/>
      <c r="NXF42" s="0"/>
      <c r="NXG42" s="0"/>
      <c r="NXH42" s="0"/>
      <c r="NXI42" s="0"/>
      <c r="NXJ42" s="0"/>
      <c r="NXK42" s="0"/>
      <c r="NXL42" s="0"/>
      <c r="NXM42" s="0"/>
      <c r="NXN42" s="0"/>
      <c r="NXO42" s="0"/>
      <c r="NXP42" s="0"/>
      <c r="NXQ42" s="0"/>
      <c r="NXR42" s="0"/>
      <c r="NXS42" s="0"/>
      <c r="NXT42" s="0"/>
      <c r="NXU42" s="0"/>
      <c r="NXV42" s="0"/>
      <c r="NXW42" s="0"/>
      <c r="NXX42" s="0"/>
      <c r="NXY42" s="0"/>
      <c r="NXZ42" s="0"/>
      <c r="NYA42" s="0"/>
      <c r="NYB42" s="0"/>
      <c r="NYC42" s="0"/>
      <c r="NYD42" s="0"/>
      <c r="NYE42" s="0"/>
      <c r="NYF42" s="0"/>
      <c r="NYG42" s="0"/>
      <c r="NYH42" s="0"/>
      <c r="NYI42" s="0"/>
      <c r="NYJ42" s="0"/>
      <c r="NYK42" s="0"/>
      <c r="NYL42" s="0"/>
      <c r="NYM42" s="0"/>
      <c r="NYN42" s="0"/>
      <c r="NYO42" s="0"/>
      <c r="NYP42" s="0"/>
      <c r="NYQ42" s="0"/>
      <c r="NYR42" s="0"/>
      <c r="NYS42" s="0"/>
      <c r="NYT42" s="0"/>
      <c r="NYU42" s="0"/>
      <c r="NYV42" s="0"/>
      <c r="NYW42" s="0"/>
      <c r="NYX42" s="0"/>
      <c r="NYY42" s="0"/>
      <c r="NYZ42" s="0"/>
      <c r="NZA42" s="0"/>
      <c r="NZB42" s="0"/>
      <c r="NZC42" s="0"/>
      <c r="NZD42" s="0"/>
      <c r="NZE42" s="0"/>
      <c r="NZF42" s="0"/>
      <c r="NZG42" s="0"/>
      <c r="NZH42" s="0"/>
      <c r="NZI42" s="0"/>
      <c r="NZJ42" s="0"/>
      <c r="NZK42" s="0"/>
      <c r="NZL42" s="0"/>
      <c r="NZM42" s="0"/>
      <c r="NZN42" s="0"/>
      <c r="NZO42" s="0"/>
      <c r="NZP42" s="0"/>
      <c r="NZQ42" s="0"/>
      <c r="NZR42" s="0"/>
      <c r="NZS42" s="0"/>
      <c r="NZT42" s="0"/>
      <c r="NZU42" s="0"/>
      <c r="NZV42" s="0"/>
      <c r="NZW42" s="0"/>
      <c r="NZX42" s="0"/>
      <c r="NZY42" s="0"/>
      <c r="NZZ42" s="0"/>
      <c r="OAA42" s="0"/>
      <c r="OAB42" s="0"/>
      <c r="OAC42" s="0"/>
      <c r="OAD42" s="0"/>
      <c r="OAE42" s="0"/>
      <c r="OAF42" s="0"/>
      <c r="OAG42" s="0"/>
      <c r="OAH42" s="0"/>
      <c r="OAI42" s="0"/>
      <c r="OAJ42" s="0"/>
      <c r="OAK42" s="0"/>
      <c r="OAL42" s="0"/>
      <c r="OAM42" s="0"/>
      <c r="OAN42" s="0"/>
      <c r="OAO42" s="0"/>
      <c r="OAP42" s="0"/>
      <c r="OAQ42" s="0"/>
      <c r="OAR42" s="0"/>
      <c r="OAS42" s="0"/>
      <c r="OAT42" s="0"/>
      <c r="OAU42" s="0"/>
      <c r="OAV42" s="0"/>
      <c r="OAW42" s="0"/>
      <c r="OAX42" s="0"/>
      <c r="OAY42" s="0"/>
      <c r="OAZ42" s="0"/>
      <c r="OBA42" s="0"/>
      <c r="OBB42" s="0"/>
      <c r="OBC42" s="0"/>
      <c r="OBD42" s="0"/>
      <c r="OBE42" s="0"/>
      <c r="OBF42" s="0"/>
      <c r="OBG42" s="0"/>
      <c r="OBH42" s="0"/>
      <c r="OBI42" s="0"/>
      <c r="OBJ42" s="0"/>
      <c r="OBK42" s="0"/>
      <c r="OBL42" s="0"/>
      <c r="OBM42" s="0"/>
      <c r="OBN42" s="0"/>
      <c r="OBO42" s="0"/>
      <c r="OBP42" s="0"/>
      <c r="OBQ42" s="0"/>
      <c r="OBR42" s="0"/>
      <c r="OBS42" s="0"/>
      <c r="OBT42" s="0"/>
      <c r="OBU42" s="0"/>
      <c r="OBV42" s="0"/>
      <c r="OBW42" s="0"/>
      <c r="OBX42" s="0"/>
      <c r="OBY42" s="0"/>
      <c r="OBZ42" s="0"/>
      <c r="OCA42" s="0"/>
      <c r="OCB42" s="0"/>
      <c r="OCC42" s="0"/>
      <c r="OCD42" s="0"/>
      <c r="OCE42" s="0"/>
      <c r="OCF42" s="0"/>
      <c r="OCG42" s="0"/>
      <c r="OCH42" s="0"/>
      <c r="OCI42" s="0"/>
      <c r="OCJ42" s="0"/>
      <c r="OCK42" s="0"/>
      <c r="OCL42" s="0"/>
      <c r="OCM42" s="0"/>
      <c r="OCN42" s="0"/>
      <c r="OCO42" s="0"/>
      <c r="OCP42" s="0"/>
      <c r="OCQ42" s="0"/>
      <c r="OCR42" s="0"/>
      <c r="OCS42" s="0"/>
      <c r="OCT42" s="0"/>
      <c r="OCU42" s="0"/>
      <c r="OCV42" s="0"/>
      <c r="OCW42" s="0"/>
      <c r="OCX42" s="0"/>
      <c r="OCY42" s="0"/>
      <c r="OCZ42" s="0"/>
      <c r="ODA42" s="0"/>
      <c r="ODB42" s="0"/>
      <c r="ODC42" s="0"/>
      <c r="ODD42" s="0"/>
      <c r="ODE42" s="0"/>
      <c r="ODF42" s="0"/>
      <c r="ODG42" s="0"/>
      <c r="ODH42" s="0"/>
      <c r="ODI42" s="0"/>
      <c r="ODJ42" s="0"/>
      <c r="ODK42" s="0"/>
      <c r="ODL42" s="0"/>
      <c r="ODM42" s="0"/>
      <c r="ODN42" s="0"/>
      <c r="ODO42" s="0"/>
      <c r="ODP42" s="0"/>
      <c r="ODQ42" s="0"/>
      <c r="ODR42" s="0"/>
      <c r="ODS42" s="0"/>
      <c r="ODT42" s="0"/>
      <c r="ODU42" s="0"/>
      <c r="ODV42" s="0"/>
      <c r="ODW42" s="0"/>
      <c r="ODX42" s="0"/>
      <c r="ODY42" s="0"/>
      <c r="ODZ42" s="0"/>
      <c r="OEA42" s="0"/>
      <c r="OEB42" s="0"/>
      <c r="OEC42" s="0"/>
      <c r="OED42" s="0"/>
      <c r="OEE42" s="0"/>
      <c r="OEF42" s="0"/>
      <c r="OEG42" s="0"/>
      <c r="OEH42" s="0"/>
      <c r="OEI42" s="0"/>
      <c r="OEJ42" s="0"/>
      <c r="OEK42" s="0"/>
      <c r="OEL42" s="0"/>
      <c r="OEM42" s="0"/>
      <c r="OEN42" s="0"/>
      <c r="OEO42" s="0"/>
      <c r="OEP42" s="0"/>
      <c r="OEQ42" s="0"/>
      <c r="OER42" s="0"/>
      <c r="OES42" s="0"/>
      <c r="OET42" s="0"/>
      <c r="OEU42" s="0"/>
      <c r="OEV42" s="0"/>
      <c r="OEW42" s="0"/>
      <c r="OEX42" s="0"/>
      <c r="OEY42" s="0"/>
      <c r="OEZ42" s="0"/>
      <c r="OFA42" s="0"/>
      <c r="OFB42" s="0"/>
      <c r="OFC42" s="0"/>
      <c r="OFD42" s="0"/>
      <c r="OFE42" s="0"/>
      <c r="OFF42" s="0"/>
      <c r="OFG42" s="0"/>
      <c r="OFH42" s="0"/>
      <c r="OFI42" s="0"/>
      <c r="OFJ42" s="0"/>
      <c r="OFK42" s="0"/>
      <c r="OFL42" s="0"/>
      <c r="OFM42" s="0"/>
      <c r="OFN42" s="0"/>
      <c r="OFO42" s="0"/>
      <c r="OFP42" s="0"/>
      <c r="OFQ42" s="0"/>
      <c r="OFR42" s="0"/>
      <c r="OFS42" s="0"/>
      <c r="OFT42" s="0"/>
      <c r="OFU42" s="0"/>
      <c r="OFV42" s="0"/>
      <c r="OFW42" s="0"/>
      <c r="OFX42" s="0"/>
      <c r="OFY42" s="0"/>
      <c r="OFZ42" s="0"/>
      <c r="OGA42" s="0"/>
      <c r="OGB42" s="0"/>
      <c r="OGC42" s="0"/>
      <c r="OGD42" s="0"/>
      <c r="OGE42" s="0"/>
      <c r="OGF42" s="0"/>
      <c r="OGG42" s="0"/>
      <c r="OGH42" s="0"/>
      <c r="OGI42" s="0"/>
      <c r="OGJ42" s="0"/>
      <c r="OGK42" s="0"/>
      <c r="OGL42" s="0"/>
      <c r="OGM42" s="0"/>
      <c r="OGN42" s="0"/>
      <c r="OGO42" s="0"/>
      <c r="OGP42" s="0"/>
      <c r="OGQ42" s="0"/>
      <c r="OGR42" s="0"/>
      <c r="OGS42" s="0"/>
      <c r="OGT42" s="0"/>
      <c r="OGU42" s="0"/>
      <c r="OGV42" s="0"/>
      <c r="OGW42" s="0"/>
      <c r="OGX42" s="0"/>
      <c r="OGY42" s="0"/>
      <c r="OGZ42" s="0"/>
      <c r="OHA42" s="0"/>
      <c r="OHB42" s="0"/>
      <c r="OHC42" s="0"/>
      <c r="OHD42" s="0"/>
      <c r="OHE42" s="0"/>
      <c r="OHF42" s="0"/>
      <c r="OHG42" s="0"/>
      <c r="OHH42" s="0"/>
      <c r="OHI42" s="0"/>
      <c r="OHJ42" s="0"/>
      <c r="OHK42" s="0"/>
      <c r="OHL42" s="0"/>
      <c r="OHM42" s="0"/>
      <c r="OHN42" s="0"/>
      <c r="OHO42" s="0"/>
      <c r="OHP42" s="0"/>
      <c r="OHQ42" s="0"/>
      <c r="OHR42" s="0"/>
      <c r="OHS42" s="0"/>
      <c r="OHT42" s="0"/>
      <c r="OHU42" s="0"/>
      <c r="OHV42" s="0"/>
      <c r="OHW42" s="0"/>
      <c r="OHX42" s="0"/>
      <c r="OHY42" s="0"/>
      <c r="OHZ42" s="0"/>
      <c r="OIA42" s="0"/>
      <c r="OIB42" s="0"/>
      <c r="OIC42" s="0"/>
      <c r="OID42" s="0"/>
      <c r="OIE42" s="0"/>
      <c r="OIF42" s="0"/>
      <c r="OIG42" s="0"/>
      <c r="OIH42" s="0"/>
      <c r="OII42" s="0"/>
      <c r="OIJ42" s="0"/>
      <c r="OIK42" s="0"/>
      <c r="OIL42" s="0"/>
      <c r="OIM42" s="0"/>
      <c r="OIN42" s="0"/>
      <c r="OIO42" s="0"/>
      <c r="OIP42" s="0"/>
      <c r="OIQ42" s="0"/>
      <c r="OIR42" s="0"/>
      <c r="OIS42" s="0"/>
      <c r="OIT42" s="0"/>
      <c r="OIU42" s="0"/>
      <c r="OIV42" s="0"/>
      <c r="OIW42" s="0"/>
      <c r="OIX42" s="0"/>
      <c r="OIY42" s="0"/>
      <c r="OIZ42" s="0"/>
      <c r="OJA42" s="0"/>
      <c r="OJB42" s="0"/>
      <c r="OJC42" s="0"/>
      <c r="OJD42" s="0"/>
      <c r="OJE42" s="0"/>
      <c r="OJF42" s="0"/>
      <c r="OJG42" s="0"/>
      <c r="OJH42" s="0"/>
      <c r="OJI42" s="0"/>
      <c r="OJJ42" s="0"/>
      <c r="OJK42" s="0"/>
      <c r="OJL42" s="0"/>
      <c r="OJM42" s="0"/>
      <c r="OJN42" s="0"/>
      <c r="OJO42" s="0"/>
      <c r="OJP42" s="0"/>
      <c r="OJQ42" s="0"/>
      <c r="OJR42" s="0"/>
      <c r="OJS42" s="0"/>
      <c r="OJT42" s="0"/>
      <c r="OJU42" s="0"/>
      <c r="OJV42" s="0"/>
      <c r="OJW42" s="0"/>
      <c r="OJX42" s="0"/>
      <c r="OJY42" s="0"/>
      <c r="OJZ42" s="0"/>
      <c r="OKA42" s="0"/>
      <c r="OKB42" s="0"/>
      <c r="OKC42" s="0"/>
      <c r="OKD42" s="0"/>
      <c r="OKE42" s="0"/>
      <c r="OKF42" s="0"/>
      <c r="OKG42" s="0"/>
      <c r="OKH42" s="0"/>
      <c r="OKI42" s="0"/>
      <c r="OKJ42" s="0"/>
      <c r="OKK42" s="0"/>
      <c r="OKL42" s="0"/>
      <c r="OKM42" s="0"/>
      <c r="OKN42" s="0"/>
      <c r="OKO42" s="0"/>
      <c r="OKP42" s="0"/>
      <c r="OKQ42" s="0"/>
      <c r="OKR42" s="0"/>
      <c r="OKS42" s="0"/>
      <c r="OKT42" s="0"/>
      <c r="OKU42" s="0"/>
      <c r="OKV42" s="0"/>
      <c r="OKW42" s="0"/>
      <c r="OKX42" s="0"/>
      <c r="OKY42" s="0"/>
      <c r="OKZ42" s="0"/>
      <c r="OLA42" s="0"/>
      <c r="OLB42" s="0"/>
      <c r="OLC42" s="0"/>
      <c r="OLD42" s="0"/>
      <c r="OLE42" s="0"/>
      <c r="OLF42" s="0"/>
      <c r="OLG42" s="0"/>
      <c r="OLH42" s="0"/>
      <c r="OLI42" s="0"/>
      <c r="OLJ42" s="0"/>
      <c r="OLK42" s="0"/>
      <c r="OLL42" s="0"/>
      <c r="OLM42" s="0"/>
      <c r="OLN42" s="0"/>
      <c r="OLO42" s="0"/>
      <c r="OLP42" s="0"/>
      <c r="OLQ42" s="0"/>
      <c r="OLR42" s="0"/>
      <c r="OLS42" s="0"/>
      <c r="OLT42" s="0"/>
      <c r="OLU42" s="0"/>
      <c r="OLV42" s="0"/>
      <c r="OLW42" s="0"/>
      <c r="OLX42" s="0"/>
      <c r="OLY42" s="0"/>
      <c r="OLZ42" s="0"/>
      <c r="OMA42" s="0"/>
      <c r="OMB42" s="0"/>
      <c r="OMC42" s="0"/>
      <c r="OMD42" s="0"/>
      <c r="OME42" s="0"/>
      <c r="OMF42" s="0"/>
      <c r="OMG42" s="0"/>
      <c r="OMH42" s="0"/>
      <c r="OMI42" s="0"/>
      <c r="OMJ42" s="0"/>
      <c r="OMK42" s="0"/>
      <c r="OML42" s="0"/>
      <c r="OMM42" s="0"/>
      <c r="OMN42" s="0"/>
      <c r="OMO42" s="0"/>
      <c r="OMP42" s="0"/>
      <c r="OMQ42" s="0"/>
      <c r="OMR42" s="0"/>
      <c r="OMS42" s="0"/>
      <c r="OMT42" s="0"/>
      <c r="OMU42" s="0"/>
      <c r="OMV42" s="0"/>
      <c r="OMW42" s="0"/>
      <c r="OMX42" s="0"/>
      <c r="OMY42" s="0"/>
      <c r="OMZ42" s="0"/>
      <c r="ONA42" s="0"/>
      <c r="ONB42" s="0"/>
      <c r="ONC42" s="0"/>
      <c r="OND42" s="0"/>
      <c r="ONE42" s="0"/>
      <c r="ONF42" s="0"/>
      <c r="ONG42" s="0"/>
      <c r="ONH42" s="0"/>
      <c r="ONI42" s="0"/>
      <c r="ONJ42" s="0"/>
      <c r="ONK42" s="0"/>
      <c r="ONL42" s="0"/>
      <c r="ONM42" s="0"/>
      <c r="ONN42" s="0"/>
      <c r="ONO42" s="0"/>
      <c r="ONP42" s="0"/>
      <c r="ONQ42" s="0"/>
      <c r="ONR42" s="0"/>
      <c r="ONS42" s="0"/>
      <c r="ONT42" s="0"/>
      <c r="ONU42" s="0"/>
      <c r="ONV42" s="0"/>
      <c r="ONW42" s="0"/>
      <c r="ONX42" s="0"/>
      <c r="ONY42" s="0"/>
      <c r="ONZ42" s="0"/>
      <c r="OOA42" s="0"/>
      <c r="OOB42" s="0"/>
      <c r="OOC42" s="0"/>
      <c r="OOD42" s="0"/>
      <c r="OOE42" s="0"/>
      <c r="OOF42" s="0"/>
      <c r="OOG42" s="0"/>
      <c r="OOH42" s="0"/>
      <c r="OOI42" s="0"/>
      <c r="OOJ42" s="0"/>
      <c r="OOK42" s="0"/>
      <c r="OOL42" s="0"/>
      <c r="OOM42" s="0"/>
      <c r="OON42" s="0"/>
      <c r="OOO42" s="0"/>
      <c r="OOP42" s="0"/>
      <c r="OOQ42" s="0"/>
      <c r="OOR42" s="0"/>
      <c r="OOS42" s="0"/>
      <c r="OOT42" s="0"/>
      <c r="OOU42" s="0"/>
      <c r="OOV42" s="0"/>
      <c r="OOW42" s="0"/>
      <c r="OOX42" s="0"/>
      <c r="OOY42" s="0"/>
      <c r="OOZ42" s="0"/>
      <c r="OPA42" s="0"/>
      <c r="OPB42" s="0"/>
      <c r="OPC42" s="0"/>
      <c r="OPD42" s="0"/>
      <c r="OPE42" s="0"/>
      <c r="OPF42" s="0"/>
      <c r="OPG42" s="0"/>
      <c r="OPH42" s="0"/>
      <c r="OPI42" s="0"/>
      <c r="OPJ42" s="0"/>
      <c r="OPK42" s="0"/>
      <c r="OPL42" s="0"/>
      <c r="OPM42" s="0"/>
      <c r="OPN42" s="0"/>
      <c r="OPO42" s="0"/>
      <c r="OPP42" s="0"/>
      <c r="OPQ42" s="0"/>
      <c r="OPR42" s="0"/>
      <c r="OPS42" s="0"/>
      <c r="OPT42" s="0"/>
      <c r="OPU42" s="0"/>
      <c r="OPV42" s="0"/>
      <c r="OPW42" s="0"/>
      <c r="OPX42" s="0"/>
      <c r="OPY42" s="0"/>
      <c r="OPZ42" s="0"/>
      <c r="OQA42" s="0"/>
      <c r="OQB42" s="0"/>
      <c r="OQC42" s="0"/>
      <c r="OQD42" s="0"/>
      <c r="OQE42" s="0"/>
      <c r="OQF42" s="0"/>
      <c r="OQG42" s="0"/>
      <c r="OQH42" s="0"/>
      <c r="OQI42" s="0"/>
      <c r="OQJ42" s="0"/>
      <c r="OQK42" s="0"/>
      <c r="OQL42" s="0"/>
      <c r="OQM42" s="0"/>
      <c r="OQN42" s="0"/>
      <c r="OQO42" s="0"/>
      <c r="OQP42" s="0"/>
      <c r="OQQ42" s="0"/>
      <c r="OQR42" s="0"/>
      <c r="OQS42" s="0"/>
      <c r="OQT42" s="0"/>
      <c r="OQU42" s="0"/>
      <c r="OQV42" s="0"/>
      <c r="OQW42" s="0"/>
      <c r="OQX42" s="0"/>
      <c r="OQY42" s="0"/>
      <c r="OQZ42" s="0"/>
      <c r="ORA42" s="0"/>
      <c r="ORB42" s="0"/>
      <c r="ORC42" s="0"/>
      <c r="ORD42" s="0"/>
      <c r="ORE42" s="0"/>
      <c r="ORF42" s="0"/>
      <c r="ORG42" s="0"/>
      <c r="ORH42" s="0"/>
      <c r="ORI42" s="0"/>
      <c r="ORJ42" s="0"/>
      <c r="ORK42" s="0"/>
      <c r="ORL42" s="0"/>
      <c r="ORM42" s="0"/>
      <c r="ORN42" s="0"/>
      <c r="ORO42" s="0"/>
      <c r="ORP42" s="0"/>
      <c r="ORQ42" s="0"/>
      <c r="ORR42" s="0"/>
      <c r="ORS42" s="0"/>
      <c r="ORT42" s="0"/>
      <c r="ORU42" s="0"/>
      <c r="ORV42" s="0"/>
      <c r="ORW42" s="0"/>
      <c r="ORX42" s="0"/>
      <c r="ORY42" s="0"/>
      <c r="ORZ42" s="0"/>
      <c r="OSA42" s="0"/>
      <c r="OSB42" s="0"/>
      <c r="OSC42" s="0"/>
      <c r="OSD42" s="0"/>
      <c r="OSE42" s="0"/>
      <c r="OSF42" s="0"/>
      <c r="OSG42" s="0"/>
      <c r="OSH42" s="0"/>
      <c r="OSI42" s="0"/>
      <c r="OSJ42" s="0"/>
      <c r="OSK42" s="0"/>
      <c r="OSL42" s="0"/>
      <c r="OSM42" s="0"/>
      <c r="OSN42" s="0"/>
      <c r="OSO42" s="0"/>
      <c r="OSP42" s="0"/>
      <c r="OSQ42" s="0"/>
      <c r="OSR42" s="0"/>
      <c r="OSS42" s="0"/>
      <c r="OST42" s="0"/>
      <c r="OSU42" s="0"/>
      <c r="OSV42" s="0"/>
      <c r="OSW42" s="0"/>
      <c r="OSX42" s="0"/>
      <c r="OSY42" s="0"/>
      <c r="OSZ42" s="0"/>
      <c r="OTA42" s="0"/>
      <c r="OTB42" s="0"/>
      <c r="OTC42" s="0"/>
      <c r="OTD42" s="0"/>
      <c r="OTE42" s="0"/>
      <c r="OTF42" s="0"/>
      <c r="OTG42" s="0"/>
      <c r="OTH42" s="0"/>
      <c r="OTI42" s="0"/>
      <c r="OTJ42" s="0"/>
      <c r="OTK42" s="0"/>
      <c r="OTL42" s="0"/>
      <c r="OTM42" s="0"/>
      <c r="OTN42" s="0"/>
      <c r="OTO42" s="0"/>
      <c r="OTP42" s="0"/>
      <c r="OTQ42" s="0"/>
      <c r="OTR42" s="0"/>
      <c r="OTS42" s="0"/>
      <c r="OTT42" s="0"/>
      <c r="OTU42" s="0"/>
      <c r="OTV42" s="0"/>
      <c r="OTW42" s="0"/>
      <c r="OTX42" s="0"/>
      <c r="OTY42" s="0"/>
      <c r="OTZ42" s="0"/>
      <c r="OUA42" s="0"/>
      <c r="OUB42" s="0"/>
      <c r="OUC42" s="0"/>
      <c r="OUD42" s="0"/>
      <c r="OUE42" s="0"/>
      <c r="OUF42" s="0"/>
      <c r="OUG42" s="0"/>
      <c r="OUH42" s="0"/>
      <c r="OUI42" s="0"/>
      <c r="OUJ42" s="0"/>
      <c r="OUK42" s="0"/>
      <c r="OUL42" s="0"/>
      <c r="OUM42" s="0"/>
      <c r="OUN42" s="0"/>
      <c r="OUO42" s="0"/>
      <c r="OUP42" s="0"/>
      <c r="OUQ42" s="0"/>
      <c r="OUR42" s="0"/>
      <c r="OUS42" s="0"/>
      <c r="OUT42" s="0"/>
      <c r="OUU42" s="0"/>
      <c r="OUV42" s="0"/>
      <c r="OUW42" s="0"/>
      <c r="OUX42" s="0"/>
      <c r="OUY42" s="0"/>
      <c r="OUZ42" s="0"/>
      <c r="OVA42" s="0"/>
      <c r="OVB42" s="0"/>
      <c r="OVC42" s="0"/>
      <c r="OVD42" s="0"/>
      <c r="OVE42" s="0"/>
      <c r="OVF42" s="0"/>
      <c r="OVG42" s="0"/>
      <c r="OVH42" s="0"/>
      <c r="OVI42" s="0"/>
      <c r="OVJ42" s="0"/>
      <c r="OVK42" s="0"/>
      <c r="OVL42" s="0"/>
      <c r="OVM42" s="0"/>
      <c r="OVN42" s="0"/>
      <c r="OVO42" s="0"/>
      <c r="OVP42" s="0"/>
      <c r="OVQ42" s="0"/>
      <c r="OVR42" s="0"/>
      <c r="OVS42" s="0"/>
      <c r="OVT42" s="0"/>
      <c r="OVU42" s="0"/>
      <c r="OVV42" s="0"/>
      <c r="OVW42" s="0"/>
      <c r="OVX42" s="0"/>
      <c r="OVY42" s="0"/>
      <c r="OVZ42" s="0"/>
      <c r="OWA42" s="0"/>
      <c r="OWB42" s="0"/>
      <c r="OWC42" s="0"/>
      <c r="OWD42" s="0"/>
      <c r="OWE42" s="0"/>
      <c r="OWF42" s="0"/>
      <c r="OWG42" s="0"/>
      <c r="OWH42" s="0"/>
      <c r="OWI42" s="0"/>
      <c r="OWJ42" s="0"/>
      <c r="OWK42" s="0"/>
      <c r="OWL42" s="0"/>
      <c r="OWM42" s="0"/>
      <c r="OWN42" s="0"/>
      <c r="OWO42" s="0"/>
      <c r="OWP42" s="0"/>
      <c r="OWQ42" s="0"/>
      <c r="OWR42" s="0"/>
      <c r="OWS42" s="0"/>
      <c r="OWT42" s="0"/>
      <c r="OWU42" s="0"/>
      <c r="OWV42" s="0"/>
      <c r="OWW42" s="0"/>
      <c r="OWX42" s="0"/>
      <c r="OWY42" s="0"/>
      <c r="OWZ42" s="0"/>
      <c r="OXA42" s="0"/>
      <c r="OXB42" s="0"/>
      <c r="OXC42" s="0"/>
      <c r="OXD42" s="0"/>
      <c r="OXE42" s="0"/>
      <c r="OXF42" s="0"/>
      <c r="OXG42" s="0"/>
      <c r="OXH42" s="0"/>
      <c r="OXI42" s="0"/>
      <c r="OXJ42" s="0"/>
      <c r="OXK42" s="0"/>
      <c r="OXL42" s="0"/>
      <c r="OXM42" s="0"/>
      <c r="OXN42" s="0"/>
      <c r="OXO42" s="0"/>
      <c r="OXP42" s="0"/>
      <c r="OXQ42" s="0"/>
      <c r="OXR42" s="0"/>
      <c r="OXS42" s="0"/>
      <c r="OXT42" s="0"/>
      <c r="OXU42" s="0"/>
      <c r="OXV42" s="0"/>
      <c r="OXW42" s="0"/>
      <c r="OXX42" s="0"/>
      <c r="OXY42" s="0"/>
      <c r="OXZ42" s="0"/>
      <c r="OYA42" s="0"/>
      <c r="OYB42" s="0"/>
      <c r="OYC42" s="0"/>
      <c r="OYD42" s="0"/>
      <c r="OYE42" s="0"/>
      <c r="OYF42" s="0"/>
      <c r="OYG42" s="0"/>
      <c r="OYH42" s="0"/>
      <c r="OYI42" s="0"/>
      <c r="OYJ42" s="0"/>
      <c r="OYK42" s="0"/>
      <c r="OYL42" s="0"/>
      <c r="OYM42" s="0"/>
      <c r="OYN42" s="0"/>
      <c r="OYO42" s="0"/>
      <c r="OYP42" s="0"/>
      <c r="OYQ42" s="0"/>
      <c r="OYR42" s="0"/>
      <c r="OYS42" s="0"/>
      <c r="OYT42" s="0"/>
      <c r="OYU42" s="0"/>
      <c r="OYV42" s="0"/>
      <c r="OYW42" s="0"/>
      <c r="OYX42" s="0"/>
      <c r="OYY42" s="0"/>
      <c r="OYZ42" s="0"/>
      <c r="OZA42" s="0"/>
      <c r="OZB42" s="0"/>
      <c r="OZC42" s="0"/>
      <c r="OZD42" s="0"/>
      <c r="OZE42" s="0"/>
      <c r="OZF42" s="0"/>
      <c r="OZG42" s="0"/>
      <c r="OZH42" s="0"/>
      <c r="OZI42" s="0"/>
      <c r="OZJ42" s="0"/>
      <c r="OZK42" s="0"/>
      <c r="OZL42" s="0"/>
      <c r="OZM42" s="0"/>
      <c r="OZN42" s="0"/>
      <c r="OZO42" s="0"/>
      <c r="OZP42" s="0"/>
      <c r="OZQ42" s="0"/>
      <c r="OZR42" s="0"/>
      <c r="OZS42" s="0"/>
      <c r="OZT42" s="0"/>
      <c r="OZU42" s="0"/>
      <c r="OZV42" s="0"/>
      <c r="OZW42" s="0"/>
      <c r="OZX42" s="0"/>
      <c r="OZY42" s="0"/>
      <c r="OZZ42" s="0"/>
      <c r="PAA42" s="0"/>
      <c r="PAB42" s="0"/>
      <c r="PAC42" s="0"/>
      <c r="PAD42" s="0"/>
      <c r="PAE42" s="0"/>
      <c r="PAF42" s="0"/>
      <c r="PAG42" s="0"/>
      <c r="PAH42" s="0"/>
      <c r="PAI42" s="0"/>
      <c r="PAJ42" s="0"/>
      <c r="PAK42" s="0"/>
      <c r="PAL42" s="0"/>
      <c r="PAM42" s="0"/>
      <c r="PAN42" s="0"/>
      <c r="PAO42" s="0"/>
      <c r="PAP42" s="0"/>
      <c r="PAQ42" s="0"/>
      <c r="PAR42" s="0"/>
      <c r="PAS42" s="0"/>
      <c r="PAT42" s="0"/>
      <c r="PAU42" s="0"/>
      <c r="PAV42" s="0"/>
      <c r="PAW42" s="0"/>
      <c r="PAX42" s="0"/>
      <c r="PAY42" s="0"/>
      <c r="PAZ42" s="0"/>
      <c r="PBA42" s="0"/>
      <c r="PBB42" s="0"/>
      <c r="PBC42" s="0"/>
      <c r="PBD42" s="0"/>
      <c r="PBE42" s="0"/>
      <c r="PBF42" s="0"/>
      <c r="PBG42" s="0"/>
      <c r="PBH42" s="0"/>
      <c r="PBI42" s="0"/>
      <c r="PBJ42" s="0"/>
      <c r="PBK42" s="0"/>
      <c r="PBL42" s="0"/>
      <c r="PBM42" s="0"/>
      <c r="PBN42" s="0"/>
      <c r="PBO42" s="0"/>
      <c r="PBP42" s="0"/>
      <c r="PBQ42" s="0"/>
      <c r="PBR42" s="0"/>
      <c r="PBS42" s="0"/>
      <c r="PBT42" s="0"/>
      <c r="PBU42" s="0"/>
      <c r="PBV42" s="0"/>
      <c r="PBW42" s="0"/>
      <c r="PBX42" s="0"/>
      <c r="PBY42" s="0"/>
      <c r="PBZ42" s="0"/>
      <c r="PCA42" s="0"/>
      <c r="PCB42" s="0"/>
      <c r="PCC42" s="0"/>
      <c r="PCD42" s="0"/>
      <c r="PCE42" s="0"/>
      <c r="PCF42" s="0"/>
      <c r="PCG42" s="0"/>
      <c r="PCH42" s="0"/>
      <c r="PCI42" s="0"/>
      <c r="PCJ42" s="0"/>
      <c r="PCK42" s="0"/>
      <c r="PCL42" s="0"/>
      <c r="PCM42" s="0"/>
      <c r="PCN42" s="0"/>
      <c r="PCO42" s="0"/>
      <c r="PCP42" s="0"/>
      <c r="PCQ42" s="0"/>
      <c r="PCR42" s="0"/>
      <c r="PCS42" s="0"/>
      <c r="PCT42" s="0"/>
      <c r="PCU42" s="0"/>
      <c r="PCV42" s="0"/>
      <c r="PCW42" s="0"/>
      <c r="PCX42" s="0"/>
      <c r="PCY42" s="0"/>
      <c r="PCZ42" s="0"/>
      <c r="PDA42" s="0"/>
      <c r="PDB42" s="0"/>
      <c r="PDC42" s="0"/>
      <c r="PDD42" s="0"/>
      <c r="PDE42" s="0"/>
      <c r="PDF42" s="0"/>
      <c r="PDG42" s="0"/>
      <c r="PDH42" s="0"/>
      <c r="PDI42" s="0"/>
      <c r="PDJ42" s="0"/>
      <c r="PDK42" s="0"/>
      <c r="PDL42" s="0"/>
      <c r="PDM42" s="0"/>
      <c r="PDN42" s="0"/>
      <c r="PDO42" s="0"/>
      <c r="PDP42" s="0"/>
      <c r="PDQ42" s="0"/>
      <c r="PDR42" s="0"/>
      <c r="PDS42" s="0"/>
      <c r="PDT42" s="0"/>
      <c r="PDU42" s="0"/>
      <c r="PDV42" s="0"/>
      <c r="PDW42" s="0"/>
      <c r="PDX42" s="0"/>
      <c r="PDY42" s="0"/>
      <c r="PDZ42" s="0"/>
      <c r="PEA42" s="0"/>
      <c r="PEB42" s="0"/>
      <c r="PEC42" s="0"/>
      <c r="PED42" s="0"/>
      <c r="PEE42" s="0"/>
      <c r="PEF42" s="0"/>
      <c r="PEG42" s="0"/>
      <c r="PEH42" s="0"/>
      <c r="PEI42" s="0"/>
      <c r="PEJ42" s="0"/>
      <c r="PEK42" s="0"/>
      <c r="PEL42" s="0"/>
      <c r="PEM42" s="0"/>
      <c r="PEN42" s="0"/>
      <c r="PEO42" s="0"/>
      <c r="PEP42" s="0"/>
      <c r="PEQ42" s="0"/>
      <c r="PER42" s="0"/>
      <c r="PES42" s="0"/>
      <c r="PET42" s="0"/>
      <c r="PEU42" s="0"/>
      <c r="PEV42" s="0"/>
      <c r="PEW42" s="0"/>
      <c r="PEX42" s="0"/>
      <c r="PEY42" s="0"/>
      <c r="PEZ42" s="0"/>
      <c r="PFA42" s="0"/>
      <c r="PFB42" s="0"/>
      <c r="PFC42" s="0"/>
      <c r="PFD42" s="0"/>
      <c r="PFE42" s="0"/>
      <c r="PFF42" s="0"/>
      <c r="PFG42" s="0"/>
      <c r="PFH42" s="0"/>
      <c r="PFI42" s="0"/>
      <c r="PFJ42" s="0"/>
      <c r="PFK42" s="0"/>
      <c r="PFL42" s="0"/>
      <c r="PFM42" s="0"/>
      <c r="PFN42" s="0"/>
      <c r="PFO42" s="0"/>
      <c r="PFP42" s="0"/>
      <c r="PFQ42" s="0"/>
      <c r="PFR42" s="0"/>
      <c r="PFS42" s="0"/>
      <c r="PFT42" s="0"/>
      <c r="PFU42" s="0"/>
      <c r="PFV42" s="0"/>
      <c r="PFW42" s="0"/>
      <c r="PFX42" s="0"/>
      <c r="PFY42" s="0"/>
      <c r="PFZ42" s="0"/>
      <c r="PGA42" s="0"/>
      <c r="PGB42" s="0"/>
      <c r="PGC42" s="0"/>
      <c r="PGD42" s="0"/>
      <c r="PGE42" s="0"/>
      <c r="PGF42" s="0"/>
      <c r="PGG42" s="0"/>
      <c r="PGH42" s="0"/>
      <c r="PGI42" s="0"/>
      <c r="PGJ42" s="0"/>
      <c r="PGK42" s="0"/>
      <c r="PGL42" s="0"/>
      <c r="PGM42" s="0"/>
      <c r="PGN42" s="0"/>
      <c r="PGO42" s="0"/>
      <c r="PGP42" s="0"/>
      <c r="PGQ42" s="0"/>
      <c r="PGR42" s="0"/>
      <c r="PGS42" s="0"/>
      <c r="PGT42" s="0"/>
      <c r="PGU42" s="0"/>
      <c r="PGV42" s="0"/>
      <c r="PGW42" s="0"/>
      <c r="PGX42" s="0"/>
      <c r="PGY42" s="0"/>
      <c r="PGZ42" s="0"/>
      <c r="PHA42" s="0"/>
      <c r="PHB42" s="0"/>
      <c r="PHC42" s="0"/>
      <c r="PHD42" s="0"/>
      <c r="PHE42" s="0"/>
      <c r="PHF42" s="0"/>
      <c r="PHG42" s="0"/>
      <c r="PHH42" s="0"/>
      <c r="PHI42" s="0"/>
      <c r="PHJ42" s="0"/>
      <c r="PHK42" s="0"/>
      <c r="PHL42" s="0"/>
      <c r="PHM42" s="0"/>
      <c r="PHN42" s="0"/>
      <c r="PHO42" s="0"/>
      <c r="PHP42" s="0"/>
      <c r="PHQ42" s="0"/>
      <c r="PHR42" s="0"/>
      <c r="PHS42" s="0"/>
      <c r="PHT42" s="0"/>
      <c r="PHU42" s="0"/>
      <c r="PHV42" s="0"/>
      <c r="PHW42" s="0"/>
      <c r="PHX42" s="0"/>
      <c r="PHY42" s="0"/>
      <c r="PHZ42" s="0"/>
      <c r="PIA42" s="0"/>
      <c r="PIB42" s="0"/>
      <c r="PIC42" s="0"/>
      <c r="PID42" s="0"/>
      <c r="PIE42" s="0"/>
      <c r="PIF42" s="0"/>
      <c r="PIG42" s="0"/>
      <c r="PIH42" s="0"/>
      <c r="PII42" s="0"/>
      <c r="PIJ42" s="0"/>
      <c r="PIK42" s="0"/>
      <c r="PIL42" s="0"/>
      <c r="PIM42" s="0"/>
      <c r="PIN42" s="0"/>
      <c r="PIO42" s="0"/>
      <c r="PIP42" s="0"/>
      <c r="PIQ42" s="0"/>
      <c r="PIR42" s="0"/>
      <c r="PIS42" s="0"/>
      <c r="PIT42" s="0"/>
      <c r="PIU42" s="0"/>
      <c r="PIV42" s="0"/>
      <c r="PIW42" s="0"/>
      <c r="PIX42" s="0"/>
      <c r="PIY42" s="0"/>
      <c r="PIZ42" s="0"/>
      <c r="PJA42" s="0"/>
      <c r="PJB42" s="0"/>
      <c r="PJC42" s="0"/>
      <c r="PJD42" s="0"/>
      <c r="PJE42" s="0"/>
      <c r="PJF42" s="0"/>
      <c r="PJG42" s="0"/>
      <c r="PJH42" s="0"/>
      <c r="PJI42" s="0"/>
      <c r="PJJ42" s="0"/>
      <c r="PJK42" s="0"/>
      <c r="PJL42" s="0"/>
      <c r="PJM42" s="0"/>
      <c r="PJN42" s="0"/>
      <c r="PJO42" s="0"/>
      <c r="PJP42" s="0"/>
      <c r="PJQ42" s="0"/>
      <c r="PJR42" s="0"/>
      <c r="PJS42" s="0"/>
      <c r="PJT42" s="0"/>
      <c r="PJU42" s="0"/>
      <c r="PJV42" s="0"/>
      <c r="PJW42" s="0"/>
      <c r="PJX42" s="0"/>
      <c r="PJY42" s="0"/>
      <c r="PJZ42" s="0"/>
      <c r="PKA42" s="0"/>
      <c r="PKB42" s="0"/>
      <c r="PKC42" s="0"/>
      <c r="PKD42" s="0"/>
      <c r="PKE42" s="0"/>
      <c r="PKF42" s="0"/>
      <c r="PKG42" s="0"/>
      <c r="PKH42" s="0"/>
      <c r="PKI42" s="0"/>
      <c r="PKJ42" s="0"/>
      <c r="PKK42" s="0"/>
      <c r="PKL42" s="0"/>
      <c r="PKM42" s="0"/>
      <c r="PKN42" s="0"/>
      <c r="PKO42" s="0"/>
      <c r="PKP42" s="0"/>
      <c r="PKQ42" s="0"/>
      <c r="PKR42" s="0"/>
      <c r="PKS42" s="0"/>
      <c r="PKT42" s="0"/>
      <c r="PKU42" s="0"/>
      <c r="PKV42" s="0"/>
      <c r="PKW42" s="0"/>
      <c r="PKX42" s="0"/>
      <c r="PKY42" s="0"/>
      <c r="PKZ42" s="0"/>
      <c r="PLA42" s="0"/>
      <c r="PLB42" s="0"/>
      <c r="PLC42" s="0"/>
      <c r="PLD42" s="0"/>
      <c r="PLE42" s="0"/>
      <c r="PLF42" s="0"/>
      <c r="PLG42" s="0"/>
      <c r="PLH42" s="0"/>
      <c r="PLI42" s="0"/>
      <c r="PLJ42" s="0"/>
      <c r="PLK42" s="0"/>
      <c r="PLL42" s="0"/>
      <c r="PLM42" s="0"/>
      <c r="PLN42" s="0"/>
      <c r="PLO42" s="0"/>
      <c r="PLP42" s="0"/>
      <c r="PLQ42" s="0"/>
      <c r="PLR42" s="0"/>
      <c r="PLS42" s="0"/>
      <c r="PLT42" s="0"/>
      <c r="PLU42" s="0"/>
      <c r="PLV42" s="0"/>
      <c r="PLW42" s="0"/>
      <c r="PLX42" s="0"/>
      <c r="PLY42" s="0"/>
      <c r="PLZ42" s="0"/>
      <c r="PMA42" s="0"/>
      <c r="PMB42" s="0"/>
      <c r="PMC42" s="0"/>
      <c r="PMD42" s="0"/>
      <c r="PME42" s="0"/>
      <c r="PMF42" s="0"/>
      <c r="PMG42" s="0"/>
      <c r="PMH42" s="0"/>
      <c r="PMI42" s="0"/>
      <c r="PMJ42" s="0"/>
      <c r="PMK42" s="0"/>
      <c r="PML42" s="0"/>
      <c r="PMM42" s="0"/>
      <c r="PMN42" s="0"/>
      <c r="PMO42" s="0"/>
      <c r="PMP42" s="0"/>
      <c r="PMQ42" s="0"/>
      <c r="PMR42" s="0"/>
      <c r="PMS42" s="0"/>
      <c r="PMT42" s="0"/>
      <c r="PMU42" s="0"/>
      <c r="PMV42" s="0"/>
      <c r="PMW42" s="0"/>
      <c r="PMX42" s="0"/>
      <c r="PMY42" s="0"/>
      <c r="PMZ42" s="0"/>
      <c r="PNA42" s="0"/>
      <c r="PNB42" s="0"/>
      <c r="PNC42" s="0"/>
      <c r="PND42" s="0"/>
      <c r="PNE42" s="0"/>
      <c r="PNF42" s="0"/>
      <c r="PNG42" s="0"/>
      <c r="PNH42" s="0"/>
      <c r="PNI42" s="0"/>
      <c r="PNJ42" s="0"/>
      <c r="PNK42" s="0"/>
      <c r="PNL42" s="0"/>
      <c r="PNM42" s="0"/>
      <c r="PNN42" s="0"/>
      <c r="PNO42" s="0"/>
      <c r="PNP42" s="0"/>
      <c r="PNQ42" s="0"/>
      <c r="PNR42" s="0"/>
      <c r="PNS42" s="0"/>
      <c r="PNT42" s="0"/>
      <c r="PNU42" s="0"/>
      <c r="PNV42" s="0"/>
      <c r="PNW42" s="0"/>
      <c r="PNX42" s="0"/>
      <c r="PNY42" s="0"/>
      <c r="PNZ42" s="0"/>
      <c r="POA42" s="0"/>
      <c r="POB42" s="0"/>
      <c r="POC42" s="0"/>
      <c r="POD42" s="0"/>
      <c r="POE42" s="0"/>
      <c r="POF42" s="0"/>
      <c r="POG42" s="0"/>
      <c r="POH42" s="0"/>
      <c r="POI42" s="0"/>
      <c r="POJ42" s="0"/>
      <c r="POK42" s="0"/>
      <c r="POL42" s="0"/>
      <c r="POM42" s="0"/>
      <c r="PON42" s="0"/>
      <c r="POO42" s="0"/>
      <c r="POP42" s="0"/>
      <c r="POQ42" s="0"/>
      <c r="POR42" s="0"/>
      <c r="POS42" s="0"/>
      <c r="POT42" s="0"/>
      <c r="POU42" s="0"/>
      <c r="POV42" s="0"/>
      <c r="POW42" s="0"/>
      <c r="POX42" s="0"/>
      <c r="POY42" s="0"/>
      <c r="POZ42" s="0"/>
      <c r="PPA42" s="0"/>
      <c r="PPB42" s="0"/>
      <c r="PPC42" s="0"/>
      <c r="PPD42" s="0"/>
      <c r="PPE42" s="0"/>
      <c r="PPF42" s="0"/>
      <c r="PPG42" s="0"/>
      <c r="PPH42" s="0"/>
      <c r="PPI42" s="0"/>
      <c r="PPJ42" s="0"/>
      <c r="PPK42" s="0"/>
      <c r="PPL42" s="0"/>
      <c r="PPM42" s="0"/>
      <c r="PPN42" s="0"/>
      <c r="PPO42" s="0"/>
      <c r="PPP42" s="0"/>
      <c r="PPQ42" s="0"/>
      <c r="PPR42" s="0"/>
      <c r="PPS42" s="0"/>
      <c r="PPT42" s="0"/>
      <c r="PPU42" s="0"/>
      <c r="PPV42" s="0"/>
      <c r="PPW42" s="0"/>
      <c r="PPX42" s="0"/>
      <c r="PPY42" s="0"/>
      <c r="PPZ42" s="0"/>
      <c r="PQA42" s="0"/>
      <c r="PQB42" s="0"/>
      <c r="PQC42" s="0"/>
      <c r="PQD42" s="0"/>
      <c r="PQE42" s="0"/>
      <c r="PQF42" s="0"/>
      <c r="PQG42" s="0"/>
      <c r="PQH42" s="0"/>
      <c r="PQI42" s="0"/>
      <c r="PQJ42" s="0"/>
      <c r="PQK42" s="0"/>
      <c r="PQL42" s="0"/>
      <c r="PQM42" s="0"/>
      <c r="PQN42" s="0"/>
      <c r="PQO42" s="0"/>
      <c r="PQP42" s="0"/>
      <c r="PQQ42" s="0"/>
      <c r="PQR42" s="0"/>
      <c r="PQS42" s="0"/>
      <c r="PQT42" s="0"/>
      <c r="PQU42" s="0"/>
      <c r="PQV42" s="0"/>
      <c r="PQW42" s="0"/>
      <c r="PQX42" s="0"/>
      <c r="PQY42" s="0"/>
      <c r="PQZ42" s="0"/>
      <c r="PRA42" s="0"/>
      <c r="PRB42" s="0"/>
      <c r="PRC42" s="0"/>
      <c r="PRD42" s="0"/>
      <c r="PRE42" s="0"/>
      <c r="PRF42" s="0"/>
      <c r="PRG42" s="0"/>
      <c r="PRH42" s="0"/>
      <c r="PRI42" s="0"/>
      <c r="PRJ42" s="0"/>
      <c r="PRK42" s="0"/>
      <c r="PRL42" s="0"/>
      <c r="PRM42" s="0"/>
      <c r="PRN42" s="0"/>
      <c r="PRO42" s="0"/>
      <c r="PRP42" s="0"/>
      <c r="PRQ42" s="0"/>
      <c r="PRR42" s="0"/>
      <c r="PRS42" s="0"/>
      <c r="PRT42" s="0"/>
      <c r="PRU42" s="0"/>
      <c r="PRV42" s="0"/>
      <c r="PRW42" s="0"/>
      <c r="PRX42" s="0"/>
      <c r="PRY42" s="0"/>
      <c r="PRZ42" s="0"/>
      <c r="PSA42" s="0"/>
      <c r="PSB42" s="0"/>
      <c r="PSC42" s="0"/>
      <c r="PSD42" s="0"/>
      <c r="PSE42" s="0"/>
      <c r="PSF42" s="0"/>
      <c r="PSG42" s="0"/>
      <c r="PSH42" s="0"/>
      <c r="PSI42" s="0"/>
      <c r="PSJ42" s="0"/>
      <c r="PSK42" s="0"/>
      <c r="PSL42" s="0"/>
      <c r="PSM42" s="0"/>
      <c r="PSN42" s="0"/>
      <c r="PSO42" s="0"/>
      <c r="PSP42" s="0"/>
      <c r="PSQ42" s="0"/>
      <c r="PSR42" s="0"/>
      <c r="PSS42" s="0"/>
      <c r="PST42" s="0"/>
      <c r="PSU42" s="0"/>
      <c r="PSV42" s="0"/>
      <c r="PSW42" s="0"/>
      <c r="PSX42" s="0"/>
      <c r="PSY42" s="0"/>
      <c r="PSZ42" s="0"/>
      <c r="PTA42" s="0"/>
      <c r="PTB42" s="0"/>
      <c r="PTC42" s="0"/>
      <c r="PTD42" s="0"/>
      <c r="PTE42" s="0"/>
      <c r="PTF42" s="0"/>
      <c r="PTG42" s="0"/>
      <c r="PTH42" s="0"/>
      <c r="PTI42" s="0"/>
      <c r="PTJ42" s="0"/>
      <c r="PTK42" s="0"/>
      <c r="PTL42" s="0"/>
      <c r="PTM42" s="0"/>
      <c r="PTN42" s="0"/>
      <c r="PTO42" s="0"/>
      <c r="PTP42" s="0"/>
      <c r="PTQ42" s="0"/>
      <c r="PTR42" s="0"/>
      <c r="PTS42" s="0"/>
      <c r="PTT42" s="0"/>
      <c r="PTU42" s="0"/>
      <c r="PTV42" s="0"/>
      <c r="PTW42" s="0"/>
      <c r="PTX42" s="0"/>
      <c r="PTY42" s="0"/>
      <c r="PTZ42" s="0"/>
      <c r="PUA42" s="0"/>
      <c r="PUB42" s="0"/>
      <c r="PUC42" s="0"/>
      <c r="PUD42" s="0"/>
      <c r="PUE42" s="0"/>
      <c r="PUF42" s="0"/>
      <c r="PUG42" s="0"/>
      <c r="PUH42" s="0"/>
      <c r="PUI42" s="0"/>
      <c r="PUJ42" s="0"/>
      <c r="PUK42" s="0"/>
      <c r="PUL42" s="0"/>
      <c r="PUM42" s="0"/>
      <c r="PUN42" s="0"/>
      <c r="PUO42" s="0"/>
      <c r="PUP42" s="0"/>
      <c r="PUQ42" s="0"/>
      <c r="PUR42" s="0"/>
      <c r="PUS42" s="0"/>
      <c r="PUT42" s="0"/>
      <c r="PUU42" s="0"/>
      <c r="PUV42" s="0"/>
      <c r="PUW42" s="0"/>
      <c r="PUX42" s="0"/>
      <c r="PUY42" s="0"/>
      <c r="PUZ42" s="0"/>
      <c r="PVA42" s="0"/>
      <c r="PVB42" s="0"/>
      <c r="PVC42" s="0"/>
      <c r="PVD42" s="0"/>
      <c r="PVE42" s="0"/>
      <c r="PVF42" s="0"/>
      <c r="PVG42" s="0"/>
      <c r="PVH42" s="0"/>
      <c r="PVI42" s="0"/>
      <c r="PVJ42" s="0"/>
      <c r="PVK42" s="0"/>
      <c r="PVL42" s="0"/>
      <c r="PVM42" s="0"/>
      <c r="PVN42" s="0"/>
      <c r="PVO42" s="0"/>
      <c r="PVP42" s="0"/>
      <c r="PVQ42" s="0"/>
      <c r="PVR42" s="0"/>
      <c r="PVS42" s="0"/>
      <c r="PVT42" s="0"/>
      <c r="PVU42" s="0"/>
      <c r="PVV42" s="0"/>
      <c r="PVW42" s="0"/>
      <c r="PVX42" s="0"/>
      <c r="PVY42" s="0"/>
      <c r="PVZ42" s="0"/>
      <c r="PWA42" s="0"/>
      <c r="PWB42" s="0"/>
      <c r="PWC42" s="0"/>
      <c r="PWD42" s="0"/>
      <c r="PWE42" s="0"/>
      <c r="PWF42" s="0"/>
      <c r="PWG42" s="0"/>
      <c r="PWH42" s="0"/>
      <c r="PWI42" s="0"/>
      <c r="PWJ42" s="0"/>
      <c r="PWK42" s="0"/>
      <c r="PWL42" s="0"/>
      <c r="PWM42" s="0"/>
      <c r="PWN42" s="0"/>
      <c r="PWO42" s="0"/>
      <c r="PWP42" s="0"/>
      <c r="PWQ42" s="0"/>
      <c r="PWR42" s="0"/>
      <c r="PWS42" s="0"/>
      <c r="PWT42" s="0"/>
      <c r="PWU42" s="0"/>
      <c r="PWV42" s="0"/>
      <c r="PWW42" s="0"/>
      <c r="PWX42" s="0"/>
      <c r="PWY42" s="0"/>
      <c r="PWZ42" s="0"/>
      <c r="PXA42" s="0"/>
      <c r="PXB42" s="0"/>
      <c r="PXC42" s="0"/>
      <c r="PXD42" s="0"/>
      <c r="PXE42" s="0"/>
      <c r="PXF42" s="0"/>
      <c r="PXG42" s="0"/>
      <c r="PXH42" s="0"/>
      <c r="PXI42" s="0"/>
      <c r="PXJ42" s="0"/>
      <c r="PXK42" s="0"/>
      <c r="PXL42" s="0"/>
      <c r="PXM42" s="0"/>
      <c r="PXN42" s="0"/>
      <c r="PXO42" s="0"/>
      <c r="PXP42" s="0"/>
      <c r="PXQ42" s="0"/>
      <c r="PXR42" s="0"/>
      <c r="PXS42" s="0"/>
      <c r="PXT42" s="0"/>
      <c r="PXU42" s="0"/>
      <c r="PXV42" s="0"/>
      <c r="PXW42" s="0"/>
      <c r="PXX42" s="0"/>
      <c r="PXY42" s="0"/>
      <c r="PXZ42" s="0"/>
      <c r="PYA42" s="0"/>
      <c r="PYB42" s="0"/>
      <c r="PYC42" s="0"/>
      <c r="PYD42" s="0"/>
      <c r="PYE42" s="0"/>
      <c r="PYF42" s="0"/>
      <c r="PYG42" s="0"/>
      <c r="PYH42" s="0"/>
      <c r="PYI42" s="0"/>
      <c r="PYJ42" s="0"/>
      <c r="PYK42" s="0"/>
      <c r="PYL42" s="0"/>
      <c r="PYM42" s="0"/>
      <c r="PYN42" s="0"/>
      <c r="PYO42" s="0"/>
      <c r="PYP42" s="0"/>
      <c r="PYQ42" s="0"/>
      <c r="PYR42" s="0"/>
      <c r="PYS42" s="0"/>
      <c r="PYT42" s="0"/>
      <c r="PYU42" s="0"/>
      <c r="PYV42" s="0"/>
      <c r="PYW42" s="0"/>
      <c r="PYX42" s="0"/>
      <c r="PYY42" s="0"/>
      <c r="PYZ42" s="0"/>
      <c r="PZA42" s="0"/>
      <c r="PZB42" s="0"/>
      <c r="PZC42" s="0"/>
      <c r="PZD42" s="0"/>
      <c r="PZE42" s="0"/>
      <c r="PZF42" s="0"/>
      <c r="PZG42" s="0"/>
      <c r="PZH42" s="0"/>
      <c r="PZI42" s="0"/>
      <c r="PZJ42" s="0"/>
      <c r="PZK42" s="0"/>
      <c r="PZL42" s="0"/>
      <c r="PZM42" s="0"/>
      <c r="PZN42" s="0"/>
      <c r="PZO42" s="0"/>
      <c r="PZP42" s="0"/>
      <c r="PZQ42" s="0"/>
      <c r="PZR42" s="0"/>
      <c r="PZS42" s="0"/>
      <c r="PZT42" s="0"/>
      <c r="PZU42" s="0"/>
      <c r="PZV42" s="0"/>
      <c r="PZW42" s="0"/>
      <c r="PZX42" s="0"/>
      <c r="PZY42" s="0"/>
      <c r="PZZ42" s="0"/>
      <c r="QAA42" s="0"/>
      <c r="QAB42" s="0"/>
      <c r="QAC42" s="0"/>
      <c r="QAD42" s="0"/>
      <c r="QAE42" s="0"/>
      <c r="QAF42" s="0"/>
      <c r="QAG42" s="0"/>
      <c r="QAH42" s="0"/>
      <c r="QAI42" s="0"/>
      <c r="QAJ42" s="0"/>
      <c r="QAK42" s="0"/>
      <c r="QAL42" s="0"/>
      <c r="QAM42" s="0"/>
      <c r="QAN42" s="0"/>
      <c r="QAO42" s="0"/>
      <c r="QAP42" s="0"/>
      <c r="QAQ42" s="0"/>
      <c r="QAR42" s="0"/>
      <c r="QAS42" s="0"/>
      <c r="QAT42" s="0"/>
      <c r="QAU42" s="0"/>
      <c r="QAV42" s="0"/>
      <c r="QAW42" s="0"/>
      <c r="QAX42" s="0"/>
      <c r="QAY42" s="0"/>
      <c r="QAZ42" s="0"/>
      <c r="QBA42" s="0"/>
      <c r="QBB42" s="0"/>
      <c r="QBC42" s="0"/>
      <c r="QBD42" s="0"/>
      <c r="QBE42" s="0"/>
      <c r="QBF42" s="0"/>
      <c r="QBG42" s="0"/>
      <c r="QBH42" s="0"/>
      <c r="QBI42" s="0"/>
      <c r="QBJ42" s="0"/>
      <c r="QBK42" s="0"/>
      <c r="QBL42" s="0"/>
      <c r="QBM42" s="0"/>
      <c r="QBN42" s="0"/>
      <c r="QBO42" s="0"/>
      <c r="QBP42" s="0"/>
      <c r="QBQ42" s="0"/>
      <c r="QBR42" s="0"/>
      <c r="QBS42" s="0"/>
      <c r="QBT42" s="0"/>
      <c r="QBU42" s="0"/>
      <c r="QBV42" s="0"/>
      <c r="QBW42" s="0"/>
      <c r="QBX42" s="0"/>
      <c r="QBY42" s="0"/>
      <c r="QBZ42" s="0"/>
      <c r="QCA42" s="0"/>
      <c r="QCB42" s="0"/>
      <c r="QCC42" s="0"/>
      <c r="QCD42" s="0"/>
      <c r="QCE42" s="0"/>
      <c r="QCF42" s="0"/>
      <c r="QCG42" s="0"/>
      <c r="QCH42" s="0"/>
      <c r="QCI42" s="0"/>
      <c r="QCJ42" s="0"/>
      <c r="QCK42" s="0"/>
      <c r="QCL42" s="0"/>
      <c r="QCM42" s="0"/>
      <c r="QCN42" s="0"/>
      <c r="QCO42" s="0"/>
      <c r="QCP42" s="0"/>
      <c r="QCQ42" s="0"/>
      <c r="QCR42" s="0"/>
      <c r="QCS42" s="0"/>
      <c r="QCT42" s="0"/>
      <c r="QCU42" s="0"/>
      <c r="QCV42" s="0"/>
      <c r="QCW42" s="0"/>
      <c r="QCX42" s="0"/>
      <c r="QCY42" s="0"/>
      <c r="QCZ42" s="0"/>
      <c r="QDA42" s="0"/>
      <c r="QDB42" s="0"/>
      <c r="QDC42" s="0"/>
      <c r="QDD42" s="0"/>
      <c r="QDE42" s="0"/>
      <c r="QDF42" s="0"/>
      <c r="QDG42" s="0"/>
      <c r="QDH42" s="0"/>
      <c r="QDI42" s="0"/>
      <c r="QDJ42" s="0"/>
      <c r="QDK42" s="0"/>
      <c r="QDL42" s="0"/>
      <c r="QDM42" s="0"/>
      <c r="QDN42" s="0"/>
      <c r="QDO42" s="0"/>
      <c r="QDP42" s="0"/>
      <c r="QDQ42" s="0"/>
      <c r="QDR42" s="0"/>
      <c r="QDS42" s="0"/>
      <c r="QDT42" s="0"/>
      <c r="QDU42" s="0"/>
      <c r="QDV42" s="0"/>
      <c r="QDW42" s="0"/>
      <c r="QDX42" s="0"/>
      <c r="QDY42" s="0"/>
      <c r="QDZ42" s="0"/>
      <c r="QEA42" s="0"/>
      <c r="QEB42" s="0"/>
      <c r="QEC42" s="0"/>
      <c r="QED42" s="0"/>
      <c r="QEE42" s="0"/>
      <c r="QEF42" s="0"/>
      <c r="QEG42" s="0"/>
      <c r="QEH42" s="0"/>
      <c r="QEI42" s="0"/>
      <c r="QEJ42" s="0"/>
      <c r="QEK42" s="0"/>
      <c r="QEL42" s="0"/>
      <c r="QEM42" s="0"/>
      <c r="QEN42" s="0"/>
      <c r="QEO42" s="0"/>
      <c r="QEP42" s="0"/>
      <c r="QEQ42" s="0"/>
      <c r="QER42" s="0"/>
      <c r="QES42" s="0"/>
      <c r="QET42" s="0"/>
      <c r="QEU42" s="0"/>
      <c r="QEV42" s="0"/>
      <c r="QEW42" s="0"/>
      <c r="QEX42" s="0"/>
      <c r="QEY42" s="0"/>
      <c r="QEZ42" s="0"/>
      <c r="QFA42" s="0"/>
      <c r="QFB42" s="0"/>
      <c r="QFC42" s="0"/>
      <c r="QFD42" s="0"/>
      <c r="QFE42" s="0"/>
      <c r="QFF42" s="0"/>
      <c r="QFG42" s="0"/>
      <c r="QFH42" s="0"/>
      <c r="QFI42" s="0"/>
      <c r="QFJ42" s="0"/>
      <c r="QFK42" s="0"/>
      <c r="QFL42" s="0"/>
      <c r="QFM42" s="0"/>
      <c r="QFN42" s="0"/>
      <c r="QFO42" s="0"/>
      <c r="QFP42" s="0"/>
      <c r="QFQ42" s="0"/>
      <c r="QFR42" s="0"/>
      <c r="QFS42" s="0"/>
      <c r="QFT42" s="0"/>
      <c r="QFU42" s="0"/>
      <c r="QFV42" s="0"/>
      <c r="QFW42" s="0"/>
      <c r="QFX42" s="0"/>
      <c r="QFY42" s="0"/>
      <c r="QFZ42" s="0"/>
      <c r="QGA42" s="0"/>
      <c r="QGB42" s="0"/>
      <c r="QGC42" s="0"/>
      <c r="QGD42" s="0"/>
      <c r="QGE42" s="0"/>
      <c r="QGF42" s="0"/>
      <c r="QGG42" s="0"/>
      <c r="QGH42" s="0"/>
      <c r="QGI42" s="0"/>
      <c r="QGJ42" s="0"/>
      <c r="QGK42" s="0"/>
      <c r="QGL42" s="0"/>
      <c r="QGM42" s="0"/>
      <c r="QGN42" s="0"/>
      <c r="QGO42" s="0"/>
      <c r="QGP42" s="0"/>
      <c r="QGQ42" s="0"/>
      <c r="QGR42" s="0"/>
      <c r="QGS42" s="0"/>
      <c r="QGT42" s="0"/>
      <c r="QGU42" s="0"/>
      <c r="QGV42" s="0"/>
      <c r="QGW42" s="0"/>
      <c r="QGX42" s="0"/>
      <c r="QGY42" s="0"/>
      <c r="QGZ42" s="0"/>
      <c r="QHA42" s="0"/>
      <c r="QHB42" s="0"/>
      <c r="QHC42" s="0"/>
      <c r="QHD42" s="0"/>
      <c r="QHE42" s="0"/>
      <c r="QHF42" s="0"/>
      <c r="QHG42" s="0"/>
      <c r="QHH42" s="0"/>
      <c r="QHI42" s="0"/>
      <c r="QHJ42" s="0"/>
      <c r="QHK42" s="0"/>
      <c r="QHL42" s="0"/>
      <c r="QHM42" s="0"/>
      <c r="QHN42" s="0"/>
      <c r="QHO42" s="0"/>
      <c r="QHP42" s="0"/>
      <c r="QHQ42" s="0"/>
      <c r="QHR42" s="0"/>
      <c r="QHS42" s="0"/>
      <c r="QHT42" s="0"/>
      <c r="QHU42" s="0"/>
      <c r="QHV42" s="0"/>
      <c r="QHW42" s="0"/>
      <c r="QHX42" s="0"/>
      <c r="QHY42" s="0"/>
      <c r="QHZ42" s="0"/>
      <c r="QIA42" s="0"/>
      <c r="QIB42" s="0"/>
      <c r="QIC42" s="0"/>
      <c r="QID42" s="0"/>
      <c r="QIE42" s="0"/>
      <c r="QIF42" s="0"/>
      <c r="QIG42" s="0"/>
      <c r="QIH42" s="0"/>
      <c r="QII42" s="0"/>
      <c r="QIJ42" s="0"/>
      <c r="QIK42" s="0"/>
      <c r="QIL42" s="0"/>
      <c r="QIM42" s="0"/>
      <c r="QIN42" s="0"/>
      <c r="QIO42" s="0"/>
      <c r="QIP42" s="0"/>
      <c r="QIQ42" s="0"/>
      <c r="QIR42" s="0"/>
      <c r="QIS42" s="0"/>
      <c r="QIT42" s="0"/>
      <c r="QIU42" s="0"/>
      <c r="QIV42" s="0"/>
      <c r="QIW42" s="0"/>
      <c r="QIX42" s="0"/>
      <c r="QIY42" s="0"/>
      <c r="QIZ42" s="0"/>
      <c r="QJA42" s="0"/>
      <c r="QJB42" s="0"/>
      <c r="QJC42" s="0"/>
      <c r="QJD42" s="0"/>
      <c r="QJE42" s="0"/>
      <c r="QJF42" s="0"/>
      <c r="QJG42" s="0"/>
      <c r="QJH42" s="0"/>
      <c r="QJI42" s="0"/>
      <c r="QJJ42" s="0"/>
      <c r="QJK42" s="0"/>
      <c r="QJL42" s="0"/>
      <c r="QJM42" s="0"/>
      <c r="QJN42" s="0"/>
      <c r="QJO42" s="0"/>
      <c r="QJP42" s="0"/>
      <c r="QJQ42" s="0"/>
      <c r="QJR42" s="0"/>
      <c r="QJS42" s="0"/>
      <c r="QJT42" s="0"/>
      <c r="QJU42" s="0"/>
      <c r="QJV42" s="0"/>
      <c r="QJW42" s="0"/>
      <c r="QJX42" s="0"/>
      <c r="QJY42" s="0"/>
      <c r="QJZ42" s="0"/>
      <c r="QKA42" s="0"/>
      <c r="QKB42" s="0"/>
      <c r="QKC42" s="0"/>
      <c r="QKD42" s="0"/>
      <c r="QKE42" s="0"/>
      <c r="QKF42" s="0"/>
      <c r="QKG42" s="0"/>
      <c r="QKH42" s="0"/>
      <c r="QKI42" s="0"/>
      <c r="QKJ42" s="0"/>
      <c r="QKK42" s="0"/>
      <c r="QKL42" s="0"/>
      <c r="QKM42" s="0"/>
      <c r="QKN42" s="0"/>
      <c r="QKO42" s="0"/>
      <c r="QKP42" s="0"/>
      <c r="QKQ42" s="0"/>
      <c r="QKR42" s="0"/>
      <c r="QKS42" s="0"/>
      <c r="QKT42" s="0"/>
      <c r="QKU42" s="0"/>
      <c r="QKV42" s="0"/>
      <c r="QKW42" s="0"/>
      <c r="QKX42" s="0"/>
      <c r="QKY42" s="0"/>
      <c r="QKZ42" s="0"/>
      <c r="QLA42" s="0"/>
      <c r="QLB42" s="0"/>
      <c r="QLC42" s="0"/>
      <c r="QLD42" s="0"/>
      <c r="QLE42" s="0"/>
      <c r="QLF42" s="0"/>
      <c r="QLG42" s="0"/>
      <c r="QLH42" s="0"/>
      <c r="QLI42" s="0"/>
      <c r="QLJ42" s="0"/>
      <c r="QLK42" s="0"/>
      <c r="QLL42" s="0"/>
      <c r="QLM42" s="0"/>
      <c r="QLN42" s="0"/>
      <c r="QLO42" s="0"/>
      <c r="QLP42" s="0"/>
      <c r="QLQ42" s="0"/>
      <c r="QLR42" s="0"/>
      <c r="QLS42" s="0"/>
      <c r="QLT42" s="0"/>
      <c r="QLU42" s="0"/>
      <c r="QLV42" s="0"/>
      <c r="QLW42" s="0"/>
      <c r="QLX42" s="0"/>
      <c r="QLY42" s="0"/>
      <c r="QLZ42" s="0"/>
      <c r="QMA42" s="0"/>
      <c r="QMB42" s="0"/>
      <c r="QMC42" s="0"/>
      <c r="QMD42" s="0"/>
      <c r="QME42" s="0"/>
      <c r="QMF42" s="0"/>
      <c r="QMG42" s="0"/>
      <c r="QMH42" s="0"/>
      <c r="QMI42" s="0"/>
      <c r="QMJ42" s="0"/>
      <c r="QMK42" s="0"/>
      <c r="QML42" s="0"/>
      <c r="QMM42" s="0"/>
      <c r="QMN42" s="0"/>
      <c r="QMO42" s="0"/>
      <c r="QMP42" s="0"/>
      <c r="QMQ42" s="0"/>
      <c r="QMR42" s="0"/>
      <c r="QMS42" s="0"/>
      <c r="QMT42" s="0"/>
      <c r="QMU42" s="0"/>
      <c r="QMV42" s="0"/>
      <c r="QMW42" s="0"/>
      <c r="QMX42" s="0"/>
      <c r="QMY42" s="0"/>
      <c r="QMZ42" s="0"/>
      <c r="QNA42" s="0"/>
      <c r="QNB42" s="0"/>
      <c r="QNC42" s="0"/>
      <c r="QND42" s="0"/>
      <c r="QNE42" s="0"/>
      <c r="QNF42" s="0"/>
      <c r="QNG42" s="0"/>
      <c r="QNH42" s="0"/>
      <c r="QNI42" s="0"/>
      <c r="QNJ42" s="0"/>
      <c r="QNK42" s="0"/>
      <c r="QNL42" s="0"/>
      <c r="QNM42" s="0"/>
      <c r="QNN42" s="0"/>
      <c r="QNO42" s="0"/>
      <c r="QNP42" s="0"/>
      <c r="QNQ42" s="0"/>
      <c r="QNR42" s="0"/>
      <c r="QNS42" s="0"/>
      <c r="QNT42" s="0"/>
      <c r="QNU42" s="0"/>
      <c r="QNV42" s="0"/>
      <c r="QNW42" s="0"/>
      <c r="QNX42" s="0"/>
      <c r="QNY42" s="0"/>
      <c r="QNZ42" s="0"/>
      <c r="QOA42" s="0"/>
      <c r="QOB42" s="0"/>
      <c r="QOC42" s="0"/>
      <c r="QOD42" s="0"/>
      <c r="QOE42" s="0"/>
      <c r="QOF42" s="0"/>
      <c r="QOG42" s="0"/>
      <c r="QOH42" s="0"/>
      <c r="QOI42" s="0"/>
      <c r="QOJ42" s="0"/>
      <c r="QOK42" s="0"/>
      <c r="QOL42" s="0"/>
      <c r="QOM42" s="0"/>
      <c r="QON42" s="0"/>
      <c r="QOO42" s="0"/>
      <c r="QOP42" s="0"/>
      <c r="QOQ42" s="0"/>
      <c r="QOR42" s="0"/>
      <c r="QOS42" s="0"/>
      <c r="QOT42" s="0"/>
      <c r="QOU42" s="0"/>
      <c r="QOV42" s="0"/>
      <c r="QOW42" s="0"/>
      <c r="QOX42" s="0"/>
      <c r="QOY42" s="0"/>
      <c r="QOZ42" s="0"/>
      <c r="QPA42" s="0"/>
      <c r="QPB42" s="0"/>
      <c r="QPC42" s="0"/>
      <c r="QPD42" s="0"/>
      <c r="QPE42" s="0"/>
      <c r="QPF42" s="0"/>
      <c r="QPG42" s="0"/>
      <c r="QPH42" s="0"/>
      <c r="QPI42" s="0"/>
      <c r="QPJ42" s="0"/>
      <c r="QPK42" s="0"/>
      <c r="QPL42" s="0"/>
      <c r="QPM42" s="0"/>
      <c r="QPN42" s="0"/>
      <c r="QPO42" s="0"/>
      <c r="QPP42" s="0"/>
      <c r="QPQ42" s="0"/>
      <c r="QPR42" s="0"/>
      <c r="QPS42" s="0"/>
      <c r="QPT42" s="0"/>
      <c r="QPU42" s="0"/>
      <c r="QPV42" s="0"/>
      <c r="QPW42" s="0"/>
      <c r="QPX42" s="0"/>
      <c r="QPY42" s="0"/>
      <c r="QPZ42" s="0"/>
      <c r="QQA42" s="0"/>
      <c r="QQB42" s="0"/>
      <c r="QQC42" s="0"/>
      <c r="QQD42" s="0"/>
      <c r="QQE42" s="0"/>
      <c r="QQF42" s="0"/>
      <c r="QQG42" s="0"/>
      <c r="QQH42" s="0"/>
      <c r="QQI42" s="0"/>
      <c r="QQJ42" s="0"/>
      <c r="QQK42" s="0"/>
      <c r="QQL42" s="0"/>
      <c r="QQM42" s="0"/>
      <c r="QQN42" s="0"/>
      <c r="QQO42" s="0"/>
      <c r="QQP42" s="0"/>
      <c r="QQQ42" s="0"/>
      <c r="QQR42" s="0"/>
      <c r="QQS42" s="0"/>
      <c r="QQT42" s="0"/>
      <c r="QQU42" s="0"/>
      <c r="QQV42" s="0"/>
      <c r="QQW42" s="0"/>
      <c r="QQX42" s="0"/>
      <c r="QQY42" s="0"/>
      <c r="QQZ42" s="0"/>
      <c r="QRA42" s="0"/>
      <c r="QRB42" s="0"/>
      <c r="QRC42" s="0"/>
      <c r="QRD42" s="0"/>
      <c r="QRE42" s="0"/>
      <c r="QRF42" s="0"/>
      <c r="QRG42" s="0"/>
      <c r="QRH42" s="0"/>
      <c r="QRI42" s="0"/>
      <c r="QRJ42" s="0"/>
      <c r="QRK42" s="0"/>
      <c r="QRL42" s="0"/>
      <c r="QRM42" s="0"/>
      <c r="QRN42" s="0"/>
      <c r="QRO42" s="0"/>
      <c r="QRP42" s="0"/>
      <c r="QRQ42" s="0"/>
      <c r="QRR42" s="0"/>
      <c r="QRS42" s="0"/>
      <c r="QRT42" s="0"/>
      <c r="QRU42" s="0"/>
      <c r="QRV42" s="0"/>
      <c r="QRW42" s="0"/>
      <c r="QRX42" s="0"/>
      <c r="QRY42" s="0"/>
      <c r="QRZ42" s="0"/>
      <c r="QSA42" s="0"/>
      <c r="QSB42" s="0"/>
      <c r="QSC42" s="0"/>
      <c r="QSD42" s="0"/>
      <c r="QSE42" s="0"/>
      <c r="QSF42" s="0"/>
      <c r="QSG42" s="0"/>
      <c r="QSH42" s="0"/>
      <c r="QSI42" s="0"/>
      <c r="QSJ42" s="0"/>
      <c r="QSK42" s="0"/>
      <c r="QSL42" s="0"/>
      <c r="QSM42" s="0"/>
      <c r="QSN42" s="0"/>
      <c r="QSO42" s="0"/>
      <c r="QSP42" s="0"/>
      <c r="QSQ42" s="0"/>
      <c r="QSR42" s="0"/>
      <c r="QSS42" s="0"/>
      <c r="QST42" s="0"/>
      <c r="QSU42" s="0"/>
      <c r="QSV42" s="0"/>
      <c r="QSW42" s="0"/>
      <c r="QSX42" s="0"/>
      <c r="QSY42" s="0"/>
      <c r="QSZ42" s="0"/>
      <c r="QTA42" s="0"/>
      <c r="QTB42" s="0"/>
      <c r="QTC42" s="0"/>
      <c r="QTD42" s="0"/>
      <c r="QTE42" s="0"/>
      <c r="QTF42" s="0"/>
      <c r="QTG42" s="0"/>
      <c r="QTH42" s="0"/>
      <c r="QTI42" s="0"/>
      <c r="QTJ42" s="0"/>
      <c r="QTK42" s="0"/>
      <c r="QTL42" s="0"/>
      <c r="QTM42" s="0"/>
      <c r="QTN42" s="0"/>
      <c r="QTO42" s="0"/>
      <c r="QTP42" s="0"/>
      <c r="QTQ42" s="0"/>
      <c r="QTR42" s="0"/>
      <c r="QTS42" s="0"/>
      <c r="QTT42" s="0"/>
      <c r="QTU42" s="0"/>
      <c r="QTV42" s="0"/>
      <c r="QTW42" s="0"/>
      <c r="QTX42" s="0"/>
      <c r="QTY42" s="0"/>
      <c r="QTZ42" s="0"/>
      <c r="QUA42" s="0"/>
      <c r="QUB42" s="0"/>
      <c r="QUC42" s="0"/>
      <c r="QUD42" s="0"/>
      <c r="QUE42" s="0"/>
      <c r="QUF42" s="0"/>
      <c r="QUG42" s="0"/>
      <c r="QUH42" s="0"/>
      <c r="QUI42" s="0"/>
      <c r="QUJ42" s="0"/>
      <c r="QUK42" s="0"/>
      <c r="QUL42" s="0"/>
      <c r="QUM42" s="0"/>
      <c r="QUN42" s="0"/>
      <c r="QUO42" s="0"/>
      <c r="QUP42" s="0"/>
      <c r="QUQ42" s="0"/>
      <c r="QUR42" s="0"/>
      <c r="QUS42" s="0"/>
      <c r="QUT42" s="0"/>
      <c r="QUU42" s="0"/>
      <c r="QUV42" s="0"/>
      <c r="QUW42" s="0"/>
      <c r="QUX42" s="0"/>
      <c r="QUY42" s="0"/>
      <c r="QUZ42" s="0"/>
      <c r="QVA42" s="0"/>
      <c r="QVB42" s="0"/>
      <c r="QVC42" s="0"/>
      <c r="QVD42" s="0"/>
      <c r="QVE42" s="0"/>
      <c r="QVF42" s="0"/>
      <c r="QVG42" s="0"/>
      <c r="QVH42" s="0"/>
      <c r="QVI42" s="0"/>
      <c r="QVJ42" s="0"/>
      <c r="QVK42" s="0"/>
      <c r="QVL42" s="0"/>
      <c r="QVM42" s="0"/>
      <c r="QVN42" s="0"/>
      <c r="QVO42" s="0"/>
      <c r="QVP42" s="0"/>
      <c r="QVQ42" s="0"/>
      <c r="QVR42" s="0"/>
      <c r="QVS42" s="0"/>
      <c r="QVT42" s="0"/>
      <c r="QVU42" s="0"/>
      <c r="QVV42" s="0"/>
      <c r="QVW42" s="0"/>
      <c r="QVX42" s="0"/>
      <c r="QVY42" s="0"/>
      <c r="QVZ42" s="0"/>
      <c r="QWA42" s="0"/>
      <c r="QWB42" s="0"/>
      <c r="QWC42" s="0"/>
      <c r="QWD42" s="0"/>
      <c r="QWE42" s="0"/>
      <c r="QWF42" s="0"/>
      <c r="QWG42" s="0"/>
      <c r="QWH42" s="0"/>
      <c r="QWI42" s="0"/>
      <c r="QWJ42" s="0"/>
      <c r="QWK42" s="0"/>
      <c r="QWL42" s="0"/>
      <c r="QWM42" s="0"/>
      <c r="QWN42" s="0"/>
      <c r="QWO42" s="0"/>
      <c r="QWP42" s="0"/>
      <c r="QWQ42" s="0"/>
      <c r="QWR42" s="0"/>
      <c r="QWS42" s="0"/>
      <c r="QWT42" s="0"/>
      <c r="QWU42" s="0"/>
      <c r="QWV42" s="0"/>
      <c r="QWW42" s="0"/>
      <c r="QWX42" s="0"/>
      <c r="QWY42" s="0"/>
      <c r="QWZ42" s="0"/>
      <c r="QXA42" s="0"/>
      <c r="QXB42" s="0"/>
      <c r="QXC42" s="0"/>
      <c r="QXD42" s="0"/>
      <c r="QXE42" s="0"/>
      <c r="QXF42" s="0"/>
      <c r="QXG42" s="0"/>
      <c r="QXH42" s="0"/>
      <c r="QXI42" s="0"/>
      <c r="QXJ42" s="0"/>
      <c r="QXK42" s="0"/>
      <c r="QXL42" s="0"/>
      <c r="QXM42" s="0"/>
      <c r="QXN42" s="0"/>
      <c r="QXO42" s="0"/>
      <c r="QXP42" s="0"/>
      <c r="QXQ42" s="0"/>
      <c r="QXR42" s="0"/>
      <c r="QXS42" s="0"/>
      <c r="QXT42" s="0"/>
      <c r="QXU42" s="0"/>
      <c r="QXV42" s="0"/>
      <c r="QXW42" s="0"/>
      <c r="QXX42" s="0"/>
      <c r="QXY42" s="0"/>
      <c r="QXZ42" s="0"/>
      <c r="QYA42" s="0"/>
      <c r="QYB42" s="0"/>
      <c r="QYC42" s="0"/>
      <c r="QYD42" s="0"/>
      <c r="QYE42" s="0"/>
      <c r="QYF42" s="0"/>
      <c r="QYG42" s="0"/>
      <c r="QYH42" s="0"/>
      <c r="QYI42" s="0"/>
      <c r="QYJ42" s="0"/>
      <c r="QYK42" s="0"/>
      <c r="QYL42" s="0"/>
      <c r="QYM42" s="0"/>
      <c r="QYN42" s="0"/>
      <c r="QYO42" s="0"/>
      <c r="QYP42" s="0"/>
      <c r="QYQ42" s="0"/>
      <c r="QYR42" s="0"/>
      <c r="QYS42" s="0"/>
      <c r="QYT42" s="0"/>
      <c r="QYU42" s="0"/>
      <c r="QYV42" s="0"/>
      <c r="QYW42" s="0"/>
      <c r="QYX42" s="0"/>
      <c r="QYY42" s="0"/>
      <c r="QYZ42" s="0"/>
      <c r="QZA42" s="0"/>
      <c r="QZB42" s="0"/>
      <c r="QZC42" s="0"/>
      <c r="QZD42" s="0"/>
      <c r="QZE42" s="0"/>
      <c r="QZF42" s="0"/>
      <c r="QZG42" s="0"/>
      <c r="QZH42" s="0"/>
      <c r="QZI42" s="0"/>
      <c r="QZJ42" s="0"/>
      <c r="QZK42" s="0"/>
      <c r="QZL42" s="0"/>
      <c r="QZM42" s="0"/>
      <c r="QZN42" s="0"/>
      <c r="QZO42" s="0"/>
      <c r="QZP42" s="0"/>
      <c r="QZQ42" s="0"/>
      <c r="QZR42" s="0"/>
      <c r="QZS42" s="0"/>
      <c r="QZT42" s="0"/>
      <c r="QZU42" s="0"/>
      <c r="QZV42" s="0"/>
      <c r="QZW42" s="0"/>
      <c r="QZX42" s="0"/>
      <c r="QZY42" s="0"/>
      <c r="QZZ42" s="0"/>
      <c r="RAA42" s="0"/>
      <c r="RAB42" s="0"/>
      <c r="RAC42" s="0"/>
      <c r="RAD42" s="0"/>
      <c r="RAE42" s="0"/>
      <c r="RAF42" s="0"/>
      <c r="RAG42" s="0"/>
      <c r="RAH42" s="0"/>
      <c r="RAI42" s="0"/>
      <c r="RAJ42" s="0"/>
      <c r="RAK42" s="0"/>
      <c r="RAL42" s="0"/>
      <c r="RAM42" s="0"/>
      <c r="RAN42" s="0"/>
      <c r="RAO42" s="0"/>
      <c r="RAP42" s="0"/>
      <c r="RAQ42" s="0"/>
      <c r="RAR42" s="0"/>
      <c r="RAS42" s="0"/>
      <c r="RAT42" s="0"/>
      <c r="RAU42" s="0"/>
      <c r="RAV42" s="0"/>
      <c r="RAW42" s="0"/>
      <c r="RAX42" s="0"/>
      <c r="RAY42" s="0"/>
      <c r="RAZ42" s="0"/>
      <c r="RBA42" s="0"/>
      <c r="RBB42" s="0"/>
      <c r="RBC42" s="0"/>
      <c r="RBD42" s="0"/>
      <c r="RBE42" s="0"/>
      <c r="RBF42" s="0"/>
      <c r="RBG42" s="0"/>
      <c r="RBH42" s="0"/>
      <c r="RBI42" s="0"/>
      <c r="RBJ42" s="0"/>
      <c r="RBK42" s="0"/>
      <c r="RBL42" s="0"/>
      <c r="RBM42" s="0"/>
      <c r="RBN42" s="0"/>
      <c r="RBO42" s="0"/>
      <c r="RBP42" s="0"/>
      <c r="RBQ42" s="0"/>
      <c r="RBR42" s="0"/>
      <c r="RBS42" s="0"/>
      <c r="RBT42" s="0"/>
      <c r="RBU42" s="0"/>
      <c r="RBV42" s="0"/>
      <c r="RBW42" s="0"/>
      <c r="RBX42" s="0"/>
      <c r="RBY42" s="0"/>
      <c r="RBZ42" s="0"/>
      <c r="RCA42" s="0"/>
      <c r="RCB42" s="0"/>
      <c r="RCC42" s="0"/>
      <c r="RCD42" s="0"/>
      <c r="RCE42" s="0"/>
      <c r="RCF42" s="0"/>
      <c r="RCG42" s="0"/>
      <c r="RCH42" s="0"/>
      <c r="RCI42" s="0"/>
      <c r="RCJ42" s="0"/>
      <c r="RCK42" s="0"/>
      <c r="RCL42" s="0"/>
      <c r="RCM42" s="0"/>
      <c r="RCN42" s="0"/>
      <c r="RCO42" s="0"/>
      <c r="RCP42" s="0"/>
      <c r="RCQ42" s="0"/>
      <c r="RCR42" s="0"/>
      <c r="RCS42" s="0"/>
      <c r="RCT42" s="0"/>
      <c r="RCU42" s="0"/>
      <c r="RCV42" s="0"/>
      <c r="RCW42" s="0"/>
      <c r="RCX42" s="0"/>
      <c r="RCY42" s="0"/>
      <c r="RCZ42" s="0"/>
      <c r="RDA42" s="0"/>
      <c r="RDB42" s="0"/>
      <c r="RDC42" s="0"/>
      <c r="RDD42" s="0"/>
      <c r="RDE42" s="0"/>
      <c r="RDF42" s="0"/>
      <c r="RDG42" s="0"/>
      <c r="RDH42" s="0"/>
      <c r="RDI42" s="0"/>
      <c r="RDJ42" s="0"/>
      <c r="RDK42" s="0"/>
      <c r="RDL42" s="0"/>
      <c r="RDM42" s="0"/>
      <c r="RDN42" s="0"/>
      <c r="RDO42" s="0"/>
      <c r="RDP42" s="0"/>
      <c r="RDQ42" s="0"/>
      <c r="RDR42" s="0"/>
      <c r="RDS42" s="0"/>
      <c r="RDT42" s="0"/>
      <c r="RDU42" s="0"/>
      <c r="RDV42" s="0"/>
      <c r="RDW42" s="0"/>
      <c r="RDX42" s="0"/>
      <c r="RDY42" s="0"/>
      <c r="RDZ42" s="0"/>
      <c r="REA42" s="0"/>
      <c r="REB42" s="0"/>
      <c r="REC42" s="0"/>
      <c r="RED42" s="0"/>
      <c r="REE42" s="0"/>
      <c r="REF42" s="0"/>
      <c r="REG42" s="0"/>
      <c r="REH42" s="0"/>
      <c r="REI42" s="0"/>
      <c r="REJ42" s="0"/>
      <c r="REK42" s="0"/>
      <c r="REL42" s="0"/>
      <c r="REM42" s="0"/>
      <c r="REN42" s="0"/>
      <c r="REO42" s="0"/>
      <c r="REP42" s="0"/>
      <c r="REQ42" s="0"/>
      <c r="RER42" s="0"/>
      <c r="RES42" s="0"/>
      <c r="RET42" s="0"/>
      <c r="REU42" s="0"/>
      <c r="REV42" s="0"/>
      <c r="REW42" s="0"/>
      <c r="REX42" s="0"/>
      <c r="REY42" s="0"/>
      <c r="REZ42" s="0"/>
      <c r="RFA42" s="0"/>
      <c r="RFB42" s="0"/>
      <c r="RFC42" s="0"/>
      <c r="RFD42" s="0"/>
      <c r="RFE42" s="0"/>
      <c r="RFF42" s="0"/>
      <c r="RFG42" s="0"/>
      <c r="RFH42" s="0"/>
      <c r="RFI42" s="0"/>
      <c r="RFJ42" s="0"/>
      <c r="RFK42" s="0"/>
      <c r="RFL42" s="0"/>
      <c r="RFM42" s="0"/>
      <c r="RFN42" s="0"/>
      <c r="RFO42" s="0"/>
      <c r="RFP42" s="0"/>
      <c r="RFQ42" s="0"/>
      <c r="RFR42" s="0"/>
      <c r="RFS42" s="0"/>
      <c r="RFT42" s="0"/>
      <c r="RFU42" s="0"/>
      <c r="RFV42" s="0"/>
      <c r="RFW42" s="0"/>
      <c r="RFX42" s="0"/>
      <c r="RFY42" s="0"/>
      <c r="RFZ42" s="0"/>
      <c r="RGA42" s="0"/>
      <c r="RGB42" s="0"/>
      <c r="RGC42" s="0"/>
      <c r="RGD42" s="0"/>
      <c r="RGE42" s="0"/>
      <c r="RGF42" s="0"/>
      <c r="RGG42" s="0"/>
      <c r="RGH42" s="0"/>
      <c r="RGI42" s="0"/>
      <c r="RGJ42" s="0"/>
      <c r="RGK42" s="0"/>
      <c r="RGL42" s="0"/>
      <c r="RGM42" s="0"/>
      <c r="RGN42" s="0"/>
      <c r="RGO42" s="0"/>
      <c r="RGP42" s="0"/>
      <c r="RGQ42" s="0"/>
      <c r="RGR42" s="0"/>
      <c r="RGS42" s="0"/>
      <c r="RGT42" s="0"/>
      <c r="RGU42" s="0"/>
      <c r="RGV42" s="0"/>
      <c r="RGW42" s="0"/>
      <c r="RGX42" s="0"/>
      <c r="RGY42" s="0"/>
      <c r="RGZ42" s="0"/>
      <c r="RHA42" s="0"/>
      <c r="RHB42" s="0"/>
      <c r="RHC42" s="0"/>
      <c r="RHD42" s="0"/>
      <c r="RHE42" s="0"/>
      <c r="RHF42" s="0"/>
      <c r="RHG42" s="0"/>
      <c r="RHH42" s="0"/>
      <c r="RHI42" s="0"/>
      <c r="RHJ42" s="0"/>
      <c r="RHK42" s="0"/>
      <c r="RHL42" s="0"/>
      <c r="RHM42" s="0"/>
      <c r="RHN42" s="0"/>
      <c r="RHO42" s="0"/>
      <c r="RHP42" s="0"/>
      <c r="RHQ42" s="0"/>
      <c r="RHR42" s="0"/>
      <c r="RHS42" s="0"/>
      <c r="RHT42" s="0"/>
      <c r="RHU42" s="0"/>
      <c r="RHV42" s="0"/>
      <c r="RHW42" s="0"/>
      <c r="RHX42" s="0"/>
      <c r="RHY42" s="0"/>
      <c r="RHZ42" s="0"/>
      <c r="RIA42" s="0"/>
      <c r="RIB42" s="0"/>
      <c r="RIC42" s="0"/>
      <c r="RID42" s="0"/>
      <c r="RIE42" s="0"/>
      <c r="RIF42" s="0"/>
      <c r="RIG42" s="0"/>
      <c r="RIH42" s="0"/>
      <c r="RII42" s="0"/>
      <c r="RIJ42" s="0"/>
      <c r="RIK42" s="0"/>
      <c r="RIL42" s="0"/>
      <c r="RIM42" s="0"/>
      <c r="RIN42" s="0"/>
      <c r="RIO42" s="0"/>
      <c r="RIP42" s="0"/>
      <c r="RIQ42" s="0"/>
      <c r="RIR42" s="0"/>
      <c r="RIS42" s="0"/>
      <c r="RIT42" s="0"/>
      <c r="RIU42" s="0"/>
      <c r="RIV42" s="0"/>
      <c r="RIW42" s="0"/>
      <c r="RIX42" s="0"/>
      <c r="RIY42" s="0"/>
      <c r="RIZ42" s="0"/>
      <c r="RJA42" s="0"/>
      <c r="RJB42" s="0"/>
      <c r="RJC42" s="0"/>
      <c r="RJD42" s="0"/>
      <c r="RJE42" s="0"/>
      <c r="RJF42" s="0"/>
      <c r="RJG42" s="0"/>
      <c r="RJH42" s="0"/>
      <c r="RJI42" s="0"/>
      <c r="RJJ42" s="0"/>
      <c r="RJK42" s="0"/>
      <c r="RJL42" s="0"/>
      <c r="RJM42" s="0"/>
      <c r="RJN42" s="0"/>
      <c r="RJO42" s="0"/>
      <c r="RJP42" s="0"/>
      <c r="RJQ42" s="0"/>
      <c r="RJR42" s="0"/>
      <c r="RJS42" s="0"/>
      <c r="RJT42" s="0"/>
      <c r="RJU42" s="0"/>
      <c r="RJV42" s="0"/>
      <c r="RJW42" s="0"/>
      <c r="RJX42" s="0"/>
      <c r="RJY42" s="0"/>
      <c r="RJZ42" s="0"/>
      <c r="RKA42" s="0"/>
      <c r="RKB42" s="0"/>
      <c r="RKC42" s="0"/>
      <c r="RKD42" s="0"/>
      <c r="RKE42" s="0"/>
      <c r="RKF42" s="0"/>
      <c r="RKG42" s="0"/>
      <c r="RKH42" s="0"/>
      <c r="RKI42" s="0"/>
      <c r="RKJ42" s="0"/>
      <c r="RKK42" s="0"/>
      <c r="RKL42" s="0"/>
      <c r="RKM42" s="0"/>
      <c r="RKN42" s="0"/>
      <c r="RKO42" s="0"/>
      <c r="RKP42" s="0"/>
      <c r="RKQ42" s="0"/>
      <c r="RKR42" s="0"/>
      <c r="RKS42" s="0"/>
      <c r="RKT42" s="0"/>
      <c r="RKU42" s="0"/>
      <c r="RKV42" s="0"/>
      <c r="RKW42" s="0"/>
      <c r="RKX42" s="0"/>
      <c r="RKY42" s="0"/>
      <c r="RKZ42" s="0"/>
      <c r="RLA42" s="0"/>
      <c r="RLB42" s="0"/>
      <c r="RLC42" s="0"/>
      <c r="RLD42" s="0"/>
      <c r="RLE42" s="0"/>
      <c r="RLF42" s="0"/>
      <c r="RLG42" s="0"/>
      <c r="RLH42" s="0"/>
      <c r="RLI42" s="0"/>
      <c r="RLJ42" s="0"/>
      <c r="RLK42" s="0"/>
      <c r="RLL42" s="0"/>
      <c r="RLM42" s="0"/>
      <c r="RLN42" s="0"/>
      <c r="RLO42" s="0"/>
      <c r="RLP42" s="0"/>
      <c r="RLQ42" s="0"/>
      <c r="RLR42" s="0"/>
      <c r="RLS42" s="0"/>
      <c r="RLT42" s="0"/>
      <c r="RLU42" s="0"/>
      <c r="RLV42" s="0"/>
      <c r="RLW42" s="0"/>
      <c r="RLX42" s="0"/>
      <c r="RLY42" s="0"/>
      <c r="RLZ42" s="0"/>
      <c r="RMA42" s="0"/>
      <c r="RMB42" s="0"/>
      <c r="RMC42" s="0"/>
      <c r="RMD42" s="0"/>
      <c r="RME42" s="0"/>
      <c r="RMF42" s="0"/>
      <c r="RMG42" s="0"/>
      <c r="RMH42" s="0"/>
      <c r="RMI42" s="0"/>
      <c r="RMJ42" s="0"/>
      <c r="RMK42" s="0"/>
      <c r="RML42" s="0"/>
      <c r="RMM42" s="0"/>
      <c r="RMN42" s="0"/>
      <c r="RMO42" s="0"/>
      <c r="RMP42" s="0"/>
      <c r="RMQ42" s="0"/>
      <c r="RMR42" s="0"/>
      <c r="RMS42" s="0"/>
      <c r="RMT42" s="0"/>
      <c r="RMU42" s="0"/>
      <c r="RMV42" s="0"/>
      <c r="RMW42" s="0"/>
      <c r="RMX42" s="0"/>
      <c r="RMY42" s="0"/>
      <c r="RMZ42" s="0"/>
      <c r="RNA42" s="0"/>
      <c r="RNB42" s="0"/>
      <c r="RNC42" s="0"/>
      <c r="RND42" s="0"/>
      <c r="RNE42" s="0"/>
      <c r="RNF42" s="0"/>
      <c r="RNG42" s="0"/>
      <c r="RNH42" s="0"/>
      <c r="RNI42" s="0"/>
      <c r="RNJ42" s="0"/>
      <c r="RNK42" s="0"/>
      <c r="RNL42" s="0"/>
      <c r="RNM42" s="0"/>
      <c r="RNN42" s="0"/>
      <c r="RNO42" s="0"/>
      <c r="RNP42" s="0"/>
      <c r="RNQ42" s="0"/>
      <c r="RNR42" s="0"/>
      <c r="RNS42" s="0"/>
      <c r="RNT42" s="0"/>
      <c r="RNU42" s="0"/>
      <c r="RNV42" s="0"/>
      <c r="RNW42" s="0"/>
      <c r="RNX42" s="0"/>
      <c r="RNY42" s="0"/>
      <c r="RNZ42" s="0"/>
      <c r="ROA42" s="0"/>
      <c r="ROB42" s="0"/>
      <c r="ROC42" s="0"/>
      <c r="ROD42" s="0"/>
      <c r="ROE42" s="0"/>
      <c r="ROF42" s="0"/>
      <c r="ROG42" s="0"/>
      <c r="ROH42" s="0"/>
      <c r="ROI42" s="0"/>
      <c r="ROJ42" s="0"/>
      <c r="ROK42" s="0"/>
      <c r="ROL42" s="0"/>
      <c r="ROM42" s="0"/>
      <c r="RON42" s="0"/>
      <c r="ROO42" s="0"/>
      <c r="ROP42" s="0"/>
      <c r="ROQ42" s="0"/>
      <c r="ROR42" s="0"/>
      <c r="ROS42" s="0"/>
      <c r="ROT42" s="0"/>
      <c r="ROU42" s="0"/>
      <c r="ROV42" s="0"/>
      <c r="ROW42" s="0"/>
      <c r="ROX42" s="0"/>
      <c r="ROY42" s="0"/>
      <c r="ROZ42" s="0"/>
      <c r="RPA42" s="0"/>
      <c r="RPB42" s="0"/>
      <c r="RPC42" s="0"/>
      <c r="RPD42" s="0"/>
      <c r="RPE42" s="0"/>
      <c r="RPF42" s="0"/>
      <c r="RPG42" s="0"/>
      <c r="RPH42" s="0"/>
      <c r="RPI42" s="0"/>
      <c r="RPJ42" s="0"/>
      <c r="RPK42" s="0"/>
      <c r="RPL42" s="0"/>
      <c r="RPM42" s="0"/>
      <c r="RPN42" s="0"/>
      <c r="RPO42" s="0"/>
      <c r="RPP42" s="0"/>
      <c r="RPQ42" s="0"/>
      <c r="RPR42" s="0"/>
      <c r="RPS42" s="0"/>
      <c r="RPT42" s="0"/>
      <c r="RPU42" s="0"/>
      <c r="RPV42" s="0"/>
      <c r="RPW42" s="0"/>
      <c r="RPX42" s="0"/>
      <c r="RPY42" s="0"/>
      <c r="RPZ42" s="0"/>
      <c r="RQA42" s="0"/>
      <c r="RQB42" s="0"/>
      <c r="RQC42" s="0"/>
      <c r="RQD42" s="0"/>
      <c r="RQE42" s="0"/>
      <c r="RQF42" s="0"/>
      <c r="RQG42" s="0"/>
      <c r="RQH42" s="0"/>
      <c r="RQI42" s="0"/>
      <c r="RQJ42" s="0"/>
      <c r="RQK42" s="0"/>
      <c r="RQL42" s="0"/>
      <c r="RQM42" s="0"/>
      <c r="RQN42" s="0"/>
      <c r="RQO42" s="0"/>
      <c r="RQP42" s="0"/>
      <c r="RQQ42" s="0"/>
      <c r="RQR42" s="0"/>
      <c r="RQS42" s="0"/>
      <c r="RQT42" s="0"/>
      <c r="RQU42" s="0"/>
      <c r="RQV42" s="0"/>
      <c r="RQW42" s="0"/>
      <c r="RQX42" s="0"/>
      <c r="RQY42" s="0"/>
      <c r="RQZ42" s="0"/>
      <c r="RRA42" s="0"/>
      <c r="RRB42" s="0"/>
      <c r="RRC42" s="0"/>
      <c r="RRD42" s="0"/>
      <c r="RRE42" s="0"/>
      <c r="RRF42" s="0"/>
      <c r="RRG42" s="0"/>
      <c r="RRH42" s="0"/>
      <c r="RRI42" s="0"/>
      <c r="RRJ42" s="0"/>
      <c r="RRK42" s="0"/>
      <c r="RRL42" s="0"/>
      <c r="RRM42" s="0"/>
      <c r="RRN42" s="0"/>
      <c r="RRO42" s="0"/>
      <c r="RRP42" s="0"/>
      <c r="RRQ42" s="0"/>
      <c r="RRR42" s="0"/>
      <c r="RRS42" s="0"/>
      <c r="RRT42" s="0"/>
      <c r="RRU42" s="0"/>
      <c r="RRV42" s="0"/>
      <c r="RRW42" s="0"/>
      <c r="RRX42" s="0"/>
      <c r="RRY42" s="0"/>
      <c r="RRZ42" s="0"/>
      <c r="RSA42" s="0"/>
      <c r="RSB42" s="0"/>
      <c r="RSC42" s="0"/>
      <c r="RSD42" s="0"/>
      <c r="RSE42" s="0"/>
      <c r="RSF42" s="0"/>
      <c r="RSG42" s="0"/>
      <c r="RSH42" s="0"/>
      <c r="RSI42" s="0"/>
      <c r="RSJ42" s="0"/>
      <c r="RSK42" s="0"/>
      <c r="RSL42" s="0"/>
      <c r="RSM42" s="0"/>
      <c r="RSN42" s="0"/>
      <c r="RSO42" s="0"/>
      <c r="RSP42" s="0"/>
      <c r="RSQ42" s="0"/>
      <c r="RSR42" s="0"/>
      <c r="RSS42" s="0"/>
      <c r="RST42" s="0"/>
      <c r="RSU42" s="0"/>
      <c r="RSV42" s="0"/>
      <c r="RSW42" s="0"/>
      <c r="RSX42" s="0"/>
      <c r="RSY42" s="0"/>
      <c r="RSZ42" s="0"/>
      <c r="RTA42" s="0"/>
      <c r="RTB42" s="0"/>
      <c r="RTC42" s="0"/>
      <c r="RTD42" s="0"/>
      <c r="RTE42" s="0"/>
      <c r="RTF42" s="0"/>
      <c r="RTG42" s="0"/>
      <c r="RTH42" s="0"/>
      <c r="RTI42" s="0"/>
      <c r="RTJ42" s="0"/>
      <c r="RTK42" s="0"/>
      <c r="RTL42" s="0"/>
      <c r="RTM42" s="0"/>
      <c r="RTN42" s="0"/>
      <c r="RTO42" s="0"/>
      <c r="RTP42" s="0"/>
      <c r="RTQ42" s="0"/>
      <c r="RTR42" s="0"/>
      <c r="RTS42" s="0"/>
      <c r="RTT42" s="0"/>
      <c r="RTU42" s="0"/>
      <c r="RTV42" s="0"/>
      <c r="RTW42" s="0"/>
      <c r="RTX42" s="0"/>
      <c r="RTY42" s="0"/>
      <c r="RTZ42" s="0"/>
      <c r="RUA42" s="0"/>
      <c r="RUB42" s="0"/>
      <c r="RUC42" s="0"/>
      <c r="RUD42" s="0"/>
      <c r="RUE42" s="0"/>
      <c r="RUF42" s="0"/>
      <c r="RUG42" s="0"/>
      <c r="RUH42" s="0"/>
      <c r="RUI42" s="0"/>
      <c r="RUJ42" s="0"/>
      <c r="RUK42" s="0"/>
      <c r="RUL42" s="0"/>
      <c r="RUM42" s="0"/>
      <c r="RUN42" s="0"/>
      <c r="RUO42" s="0"/>
      <c r="RUP42" s="0"/>
      <c r="RUQ42" s="0"/>
      <c r="RUR42" s="0"/>
      <c r="RUS42" s="0"/>
      <c r="RUT42" s="0"/>
      <c r="RUU42" s="0"/>
      <c r="RUV42" s="0"/>
      <c r="RUW42" s="0"/>
      <c r="RUX42" s="0"/>
      <c r="RUY42" s="0"/>
      <c r="RUZ42" s="0"/>
      <c r="RVA42" s="0"/>
      <c r="RVB42" s="0"/>
      <c r="RVC42" s="0"/>
      <c r="RVD42" s="0"/>
      <c r="RVE42" s="0"/>
      <c r="RVF42" s="0"/>
      <c r="RVG42" s="0"/>
      <c r="RVH42" s="0"/>
      <c r="RVI42" s="0"/>
      <c r="RVJ42" s="0"/>
      <c r="RVK42" s="0"/>
      <c r="RVL42" s="0"/>
      <c r="RVM42" s="0"/>
      <c r="RVN42" s="0"/>
      <c r="RVO42" s="0"/>
      <c r="RVP42" s="0"/>
      <c r="RVQ42" s="0"/>
      <c r="RVR42" s="0"/>
      <c r="RVS42" s="0"/>
      <c r="RVT42" s="0"/>
      <c r="RVU42" s="0"/>
      <c r="RVV42" s="0"/>
      <c r="RVW42" s="0"/>
      <c r="RVX42" s="0"/>
      <c r="RVY42" s="0"/>
      <c r="RVZ42" s="0"/>
      <c r="RWA42" s="0"/>
      <c r="RWB42" s="0"/>
      <c r="RWC42" s="0"/>
      <c r="RWD42" s="0"/>
      <c r="RWE42" s="0"/>
      <c r="RWF42" s="0"/>
      <c r="RWG42" s="0"/>
      <c r="RWH42" s="0"/>
      <c r="RWI42" s="0"/>
      <c r="RWJ42" s="0"/>
      <c r="RWK42" s="0"/>
      <c r="RWL42" s="0"/>
      <c r="RWM42" s="0"/>
      <c r="RWN42" s="0"/>
      <c r="RWO42" s="0"/>
      <c r="RWP42" s="0"/>
      <c r="RWQ42" s="0"/>
      <c r="RWR42" s="0"/>
      <c r="RWS42" s="0"/>
      <c r="RWT42" s="0"/>
      <c r="RWU42" s="0"/>
      <c r="RWV42" s="0"/>
      <c r="RWW42" s="0"/>
      <c r="RWX42" s="0"/>
      <c r="RWY42" s="0"/>
      <c r="RWZ42" s="0"/>
      <c r="RXA42" s="0"/>
      <c r="RXB42" s="0"/>
      <c r="RXC42" s="0"/>
      <c r="RXD42" s="0"/>
      <c r="RXE42" s="0"/>
      <c r="RXF42" s="0"/>
      <c r="RXG42" s="0"/>
      <c r="RXH42" s="0"/>
      <c r="RXI42" s="0"/>
      <c r="RXJ42" s="0"/>
      <c r="RXK42" s="0"/>
      <c r="RXL42" s="0"/>
      <c r="RXM42" s="0"/>
      <c r="RXN42" s="0"/>
      <c r="RXO42" s="0"/>
      <c r="RXP42" s="0"/>
      <c r="RXQ42" s="0"/>
      <c r="RXR42" s="0"/>
      <c r="RXS42" s="0"/>
      <c r="RXT42" s="0"/>
      <c r="RXU42" s="0"/>
      <c r="RXV42" s="0"/>
      <c r="RXW42" s="0"/>
      <c r="RXX42" s="0"/>
      <c r="RXY42" s="0"/>
      <c r="RXZ42" s="0"/>
      <c r="RYA42" s="0"/>
      <c r="RYB42" s="0"/>
      <c r="RYC42" s="0"/>
      <c r="RYD42" s="0"/>
      <c r="RYE42" s="0"/>
      <c r="RYF42" s="0"/>
      <c r="RYG42" s="0"/>
      <c r="RYH42" s="0"/>
      <c r="RYI42" s="0"/>
      <c r="RYJ42" s="0"/>
      <c r="RYK42" s="0"/>
      <c r="RYL42" s="0"/>
      <c r="RYM42" s="0"/>
      <c r="RYN42" s="0"/>
      <c r="RYO42" s="0"/>
      <c r="RYP42" s="0"/>
      <c r="RYQ42" s="0"/>
      <c r="RYR42" s="0"/>
      <c r="RYS42" s="0"/>
      <c r="RYT42" s="0"/>
      <c r="RYU42" s="0"/>
      <c r="RYV42" s="0"/>
      <c r="RYW42" s="0"/>
      <c r="RYX42" s="0"/>
      <c r="RYY42" s="0"/>
      <c r="RYZ42" s="0"/>
      <c r="RZA42" s="0"/>
      <c r="RZB42" s="0"/>
      <c r="RZC42" s="0"/>
      <c r="RZD42" s="0"/>
      <c r="RZE42" s="0"/>
      <c r="RZF42" s="0"/>
      <c r="RZG42" s="0"/>
      <c r="RZH42" s="0"/>
      <c r="RZI42" s="0"/>
      <c r="RZJ42" s="0"/>
      <c r="RZK42" s="0"/>
      <c r="RZL42" s="0"/>
      <c r="RZM42" s="0"/>
      <c r="RZN42" s="0"/>
      <c r="RZO42" s="0"/>
      <c r="RZP42" s="0"/>
      <c r="RZQ42" s="0"/>
      <c r="RZR42" s="0"/>
      <c r="RZS42" s="0"/>
      <c r="RZT42" s="0"/>
      <c r="RZU42" s="0"/>
      <c r="RZV42" s="0"/>
      <c r="RZW42" s="0"/>
      <c r="RZX42" s="0"/>
      <c r="RZY42" s="0"/>
      <c r="RZZ42" s="0"/>
      <c r="SAA42" s="0"/>
      <c r="SAB42" s="0"/>
      <c r="SAC42" s="0"/>
      <c r="SAD42" s="0"/>
      <c r="SAE42" s="0"/>
      <c r="SAF42" s="0"/>
      <c r="SAG42" s="0"/>
      <c r="SAH42" s="0"/>
      <c r="SAI42" s="0"/>
      <c r="SAJ42" s="0"/>
      <c r="SAK42" s="0"/>
      <c r="SAL42" s="0"/>
      <c r="SAM42" s="0"/>
      <c r="SAN42" s="0"/>
      <c r="SAO42" s="0"/>
      <c r="SAP42" s="0"/>
      <c r="SAQ42" s="0"/>
      <c r="SAR42" s="0"/>
      <c r="SAS42" s="0"/>
      <c r="SAT42" s="0"/>
      <c r="SAU42" s="0"/>
      <c r="SAV42" s="0"/>
      <c r="SAW42" s="0"/>
      <c r="SAX42" s="0"/>
      <c r="SAY42" s="0"/>
      <c r="SAZ42" s="0"/>
      <c r="SBA42" s="0"/>
      <c r="SBB42" s="0"/>
      <c r="SBC42" s="0"/>
      <c r="SBD42" s="0"/>
      <c r="SBE42" s="0"/>
      <c r="SBF42" s="0"/>
      <c r="SBG42" s="0"/>
      <c r="SBH42" s="0"/>
      <c r="SBI42" s="0"/>
      <c r="SBJ42" s="0"/>
      <c r="SBK42" s="0"/>
      <c r="SBL42" s="0"/>
      <c r="SBM42" s="0"/>
      <c r="SBN42" s="0"/>
      <c r="SBO42" s="0"/>
      <c r="SBP42" s="0"/>
      <c r="SBQ42" s="0"/>
      <c r="SBR42" s="0"/>
      <c r="SBS42" s="0"/>
      <c r="SBT42" s="0"/>
      <c r="SBU42" s="0"/>
      <c r="SBV42" s="0"/>
      <c r="SBW42" s="0"/>
      <c r="SBX42" s="0"/>
      <c r="SBY42" s="0"/>
      <c r="SBZ42" s="0"/>
      <c r="SCA42" s="0"/>
      <c r="SCB42" s="0"/>
      <c r="SCC42" s="0"/>
      <c r="SCD42" s="0"/>
      <c r="SCE42" s="0"/>
      <c r="SCF42" s="0"/>
      <c r="SCG42" s="0"/>
      <c r="SCH42" s="0"/>
      <c r="SCI42" s="0"/>
      <c r="SCJ42" s="0"/>
      <c r="SCK42" s="0"/>
      <c r="SCL42" s="0"/>
      <c r="SCM42" s="0"/>
      <c r="SCN42" s="0"/>
      <c r="SCO42" s="0"/>
      <c r="SCP42" s="0"/>
      <c r="SCQ42" s="0"/>
      <c r="SCR42" s="0"/>
      <c r="SCS42" s="0"/>
      <c r="SCT42" s="0"/>
      <c r="SCU42" s="0"/>
      <c r="SCV42" s="0"/>
      <c r="SCW42" s="0"/>
      <c r="SCX42" s="0"/>
      <c r="SCY42" s="0"/>
      <c r="SCZ42" s="0"/>
      <c r="SDA42" s="0"/>
      <c r="SDB42" s="0"/>
      <c r="SDC42" s="0"/>
      <c r="SDD42" s="0"/>
      <c r="SDE42" s="0"/>
      <c r="SDF42" s="0"/>
      <c r="SDG42" s="0"/>
      <c r="SDH42" s="0"/>
      <c r="SDI42" s="0"/>
      <c r="SDJ42" s="0"/>
      <c r="SDK42" s="0"/>
      <c r="SDL42" s="0"/>
      <c r="SDM42" s="0"/>
      <c r="SDN42" s="0"/>
      <c r="SDO42" s="0"/>
      <c r="SDP42" s="0"/>
      <c r="SDQ42" s="0"/>
      <c r="SDR42" s="0"/>
      <c r="SDS42" s="0"/>
      <c r="SDT42" s="0"/>
      <c r="SDU42" s="0"/>
      <c r="SDV42" s="0"/>
      <c r="SDW42" s="0"/>
      <c r="SDX42" s="0"/>
      <c r="SDY42" s="0"/>
      <c r="SDZ42" s="0"/>
      <c r="SEA42" s="0"/>
      <c r="SEB42" s="0"/>
      <c r="SEC42" s="0"/>
      <c r="SED42" s="0"/>
      <c r="SEE42" s="0"/>
      <c r="SEF42" s="0"/>
      <c r="SEG42" s="0"/>
      <c r="SEH42" s="0"/>
      <c r="SEI42" s="0"/>
      <c r="SEJ42" s="0"/>
      <c r="SEK42" s="0"/>
      <c r="SEL42" s="0"/>
      <c r="SEM42" s="0"/>
      <c r="SEN42" s="0"/>
      <c r="SEO42" s="0"/>
      <c r="SEP42" s="0"/>
      <c r="SEQ42" s="0"/>
      <c r="SER42" s="0"/>
      <c r="SES42" s="0"/>
      <c r="SET42" s="0"/>
      <c r="SEU42" s="0"/>
      <c r="SEV42" s="0"/>
      <c r="SEW42" s="0"/>
      <c r="SEX42" s="0"/>
      <c r="SEY42" s="0"/>
      <c r="SEZ42" s="0"/>
      <c r="SFA42" s="0"/>
      <c r="SFB42" s="0"/>
      <c r="SFC42" s="0"/>
      <c r="SFD42" s="0"/>
      <c r="SFE42" s="0"/>
      <c r="SFF42" s="0"/>
      <c r="SFG42" s="0"/>
      <c r="SFH42" s="0"/>
      <c r="SFI42" s="0"/>
      <c r="SFJ42" s="0"/>
      <c r="SFK42" s="0"/>
      <c r="SFL42" s="0"/>
      <c r="SFM42" s="0"/>
      <c r="SFN42" s="0"/>
      <c r="SFO42" s="0"/>
      <c r="SFP42" s="0"/>
      <c r="SFQ42" s="0"/>
      <c r="SFR42" s="0"/>
      <c r="SFS42" s="0"/>
      <c r="SFT42" s="0"/>
      <c r="SFU42" s="0"/>
      <c r="SFV42" s="0"/>
      <c r="SFW42" s="0"/>
      <c r="SFX42" s="0"/>
      <c r="SFY42" s="0"/>
      <c r="SFZ42" s="0"/>
      <c r="SGA42" s="0"/>
      <c r="SGB42" s="0"/>
      <c r="SGC42" s="0"/>
      <c r="SGD42" s="0"/>
      <c r="SGE42" s="0"/>
      <c r="SGF42" s="0"/>
      <c r="SGG42" s="0"/>
      <c r="SGH42" s="0"/>
      <c r="SGI42" s="0"/>
      <c r="SGJ42" s="0"/>
      <c r="SGK42" s="0"/>
      <c r="SGL42" s="0"/>
      <c r="SGM42" s="0"/>
      <c r="SGN42" s="0"/>
      <c r="SGO42" s="0"/>
      <c r="SGP42" s="0"/>
      <c r="SGQ42" s="0"/>
      <c r="SGR42" s="0"/>
      <c r="SGS42" s="0"/>
      <c r="SGT42" s="0"/>
      <c r="SGU42" s="0"/>
      <c r="SGV42" s="0"/>
      <c r="SGW42" s="0"/>
      <c r="SGX42" s="0"/>
      <c r="SGY42" s="0"/>
      <c r="SGZ42" s="0"/>
      <c r="SHA42" s="0"/>
      <c r="SHB42" s="0"/>
      <c r="SHC42" s="0"/>
      <c r="SHD42" s="0"/>
      <c r="SHE42" s="0"/>
      <c r="SHF42" s="0"/>
      <c r="SHG42" s="0"/>
      <c r="SHH42" s="0"/>
      <c r="SHI42" s="0"/>
      <c r="SHJ42" s="0"/>
      <c r="SHK42" s="0"/>
      <c r="SHL42" s="0"/>
      <c r="SHM42" s="0"/>
      <c r="SHN42" s="0"/>
      <c r="SHO42" s="0"/>
      <c r="SHP42" s="0"/>
      <c r="SHQ42" s="0"/>
      <c r="SHR42" s="0"/>
      <c r="SHS42" s="0"/>
      <c r="SHT42" s="0"/>
      <c r="SHU42" s="0"/>
      <c r="SHV42" s="0"/>
      <c r="SHW42" s="0"/>
      <c r="SHX42" s="0"/>
      <c r="SHY42" s="0"/>
      <c r="SHZ42" s="0"/>
      <c r="SIA42" s="0"/>
      <c r="SIB42" s="0"/>
      <c r="SIC42" s="0"/>
      <c r="SID42" s="0"/>
      <c r="SIE42" s="0"/>
      <c r="SIF42" s="0"/>
      <c r="SIG42" s="0"/>
      <c r="SIH42" s="0"/>
      <c r="SII42" s="0"/>
      <c r="SIJ42" s="0"/>
      <c r="SIK42" s="0"/>
      <c r="SIL42" s="0"/>
      <c r="SIM42" s="0"/>
      <c r="SIN42" s="0"/>
      <c r="SIO42" s="0"/>
      <c r="SIP42" s="0"/>
      <c r="SIQ42" s="0"/>
      <c r="SIR42" s="0"/>
      <c r="SIS42" s="0"/>
      <c r="SIT42" s="0"/>
      <c r="SIU42" s="0"/>
      <c r="SIV42" s="0"/>
      <c r="SIW42" s="0"/>
      <c r="SIX42" s="0"/>
      <c r="SIY42" s="0"/>
      <c r="SIZ42" s="0"/>
      <c r="SJA42" s="0"/>
      <c r="SJB42" s="0"/>
      <c r="SJC42" s="0"/>
      <c r="SJD42" s="0"/>
      <c r="SJE42" s="0"/>
      <c r="SJF42" s="0"/>
      <c r="SJG42" s="0"/>
      <c r="SJH42" s="0"/>
      <c r="SJI42" s="0"/>
      <c r="SJJ42" s="0"/>
      <c r="SJK42" s="0"/>
      <c r="SJL42" s="0"/>
      <c r="SJM42" s="0"/>
      <c r="SJN42" s="0"/>
      <c r="SJO42" s="0"/>
      <c r="SJP42" s="0"/>
      <c r="SJQ42" s="0"/>
      <c r="SJR42" s="0"/>
      <c r="SJS42" s="0"/>
      <c r="SJT42" s="0"/>
      <c r="SJU42" s="0"/>
      <c r="SJV42" s="0"/>
      <c r="SJW42" s="0"/>
      <c r="SJX42" s="0"/>
      <c r="SJY42" s="0"/>
      <c r="SJZ42" s="0"/>
      <c r="SKA42" s="0"/>
      <c r="SKB42" s="0"/>
      <c r="SKC42" s="0"/>
      <c r="SKD42" s="0"/>
      <c r="SKE42" s="0"/>
      <c r="SKF42" s="0"/>
      <c r="SKG42" s="0"/>
      <c r="SKH42" s="0"/>
      <c r="SKI42" s="0"/>
      <c r="SKJ42" s="0"/>
      <c r="SKK42" s="0"/>
      <c r="SKL42" s="0"/>
      <c r="SKM42" s="0"/>
      <c r="SKN42" s="0"/>
      <c r="SKO42" s="0"/>
      <c r="SKP42" s="0"/>
      <c r="SKQ42" s="0"/>
      <c r="SKR42" s="0"/>
      <c r="SKS42" s="0"/>
      <c r="SKT42" s="0"/>
      <c r="SKU42" s="0"/>
      <c r="SKV42" s="0"/>
      <c r="SKW42" s="0"/>
      <c r="SKX42" s="0"/>
      <c r="SKY42" s="0"/>
      <c r="SKZ42" s="0"/>
      <c r="SLA42" s="0"/>
      <c r="SLB42" s="0"/>
      <c r="SLC42" s="0"/>
      <c r="SLD42" s="0"/>
      <c r="SLE42" s="0"/>
      <c r="SLF42" s="0"/>
      <c r="SLG42" s="0"/>
      <c r="SLH42" s="0"/>
      <c r="SLI42" s="0"/>
      <c r="SLJ42" s="0"/>
      <c r="SLK42" s="0"/>
      <c r="SLL42" s="0"/>
      <c r="SLM42" s="0"/>
      <c r="SLN42" s="0"/>
      <c r="SLO42" s="0"/>
      <c r="SLP42" s="0"/>
      <c r="SLQ42" s="0"/>
      <c r="SLR42" s="0"/>
      <c r="SLS42" s="0"/>
      <c r="SLT42" s="0"/>
      <c r="SLU42" s="0"/>
      <c r="SLV42" s="0"/>
      <c r="SLW42" s="0"/>
      <c r="SLX42" s="0"/>
      <c r="SLY42" s="0"/>
      <c r="SLZ42" s="0"/>
      <c r="SMA42" s="0"/>
      <c r="SMB42" s="0"/>
      <c r="SMC42" s="0"/>
      <c r="SMD42" s="0"/>
      <c r="SME42" s="0"/>
      <c r="SMF42" s="0"/>
      <c r="SMG42" s="0"/>
      <c r="SMH42" s="0"/>
      <c r="SMI42" s="0"/>
      <c r="SMJ42" s="0"/>
      <c r="SMK42" s="0"/>
      <c r="SML42" s="0"/>
      <c r="SMM42" s="0"/>
      <c r="SMN42" s="0"/>
      <c r="SMO42" s="0"/>
      <c r="SMP42" s="0"/>
      <c r="SMQ42" s="0"/>
      <c r="SMR42" s="0"/>
      <c r="SMS42" s="0"/>
      <c r="SMT42" s="0"/>
      <c r="SMU42" s="0"/>
      <c r="SMV42" s="0"/>
      <c r="SMW42" s="0"/>
      <c r="SMX42" s="0"/>
      <c r="SMY42" s="0"/>
      <c r="SMZ42" s="0"/>
      <c r="SNA42" s="0"/>
      <c r="SNB42" s="0"/>
      <c r="SNC42" s="0"/>
      <c r="SND42" s="0"/>
      <c r="SNE42" s="0"/>
      <c r="SNF42" s="0"/>
      <c r="SNG42" s="0"/>
      <c r="SNH42" s="0"/>
      <c r="SNI42" s="0"/>
      <c r="SNJ42" s="0"/>
      <c r="SNK42" s="0"/>
      <c r="SNL42" s="0"/>
      <c r="SNM42" s="0"/>
      <c r="SNN42" s="0"/>
      <c r="SNO42" s="0"/>
      <c r="SNP42" s="0"/>
      <c r="SNQ42" s="0"/>
      <c r="SNR42" s="0"/>
      <c r="SNS42" s="0"/>
      <c r="SNT42" s="0"/>
      <c r="SNU42" s="0"/>
      <c r="SNV42" s="0"/>
      <c r="SNW42" s="0"/>
      <c r="SNX42" s="0"/>
      <c r="SNY42" s="0"/>
      <c r="SNZ42" s="0"/>
      <c r="SOA42" s="0"/>
      <c r="SOB42" s="0"/>
      <c r="SOC42" s="0"/>
      <c r="SOD42" s="0"/>
      <c r="SOE42" s="0"/>
      <c r="SOF42" s="0"/>
      <c r="SOG42" s="0"/>
      <c r="SOH42" s="0"/>
      <c r="SOI42" s="0"/>
      <c r="SOJ42" s="0"/>
      <c r="SOK42" s="0"/>
      <c r="SOL42" s="0"/>
      <c r="SOM42" s="0"/>
      <c r="SON42" s="0"/>
      <c r="SOO42" s="0"/>
      <c r="SOP42" s="0"/>
      <c r="SOQ42" s="0"/>
      <c r="SOR42" s="0"/>
      <c r="SOS42" s="0"/>
      <c r="SOT42" s="0"/>
      <c r="SOU42" s="0"/>
      <c r="SOV42" s="0"/>
      <c r="SOW42" s="0"/>
      <c r="SOX42" s="0"/>
      <c r="SOY42" s="0"/>
      <c r="SOZ42" s="0"/>
      <c r="SPA42" s="0"/>
      <c r="SPB42" s="0"/>
      <c r="SPC42" s="0"/>
      <c r="SPD42" s="0"/>
      <c r="SPE42" s="0"/>
      <c r="SPF42" s="0"/>
      <c r="SPG42" s="0"/>
      <c r="SPH42" s="0"/>
      <c r="SPI42" s="0"/>
      <c r="SPJ42" s="0"/>
      <c r="SPK42" s="0"/>
      <c r="SPL42" s="0"/>
      <c r="SPM42" s="0"/>
      <c r="SPN42" s="0"/>
      <c r="SPO42" s="0"/>
      <c r="SPP42" s="0"/>
      <c r="SPQ42" s="0"/>
      <c r="SPR42" s="0"/>
      <c r="SPS42" s="0"/>
      <c r="SPT42" s="0"/>
      <c r="SPU42" s="0"/>
      <c r="SPV42" s="0"/>
      <c r="SPW42" s="0"/>
      <c r="SPX42" s="0"/>
      <c r="SPY42" s="0"/>
      <c r="SPZ42" s="0"/>
      <c r="SQA42" s="0"/>
      <c r="SQB42" s="0"/>
      <c r="SQC42" s="0"/>
      <c r="SQD42" s="0"/>
      <c r="SQE42" s="0"/>
      <c r="SQF42" s="0"/>
      <c r="SQG42" s="0"/>
      <c r="SQH42" s="0"/>
      <c r="SQI42" s="0"/>
      <c r="SQJ42" s="0"/>
      <c r="SQK42" s="0"/>
      <c r="SQL42" s="0"/>
      <c r="SQM42" s="0"/>
      <c r="SQN42" s="0"/>
      <c r="SQO42" s="0"/>
      <c r="SQP42" s="0"/>
      <c r="SQQ42" s="0"/>
      <c r="SQR42" s="0"/>
      <c r="SQS42" s="0"/>
      <c r="SQT42" s="0"/>
      <c r="SQU42" s="0"/>
      <c r="SQV42" s="0"/>
      <c r="SQW42" s="0"/>
      <c r="SQX42" s="0"/>
      <c r="SQY42" s="0"/>
      <c r="SQZ42" s="0"/>
      <c r="SRA42" s="0"/>
      <c r="SRB42" s="0"/>
      <c r="SRC42" s="0"/>
      <c r="SRD42" s="0"/>
      <c r="SRE42" s="0"/>
      <c r="SRF42" s="0"/>
      <c r="SRG42" s="0"/>
      <c r="SRH42" s="0"/>
      <c r="SRI42" s="0"/>
      <c r="SRJ42" s="0"/>
      <c r="SRK42" s="0"/>
      <c r="SRL42" s="0"/>
      <c r="SRM42" s="0"/>
      <c r="SRN42" s="0"/>
      <c r="SRO42" s="0"/>
      <c r="SRP42" s="0"/>
      <c r="SRQ42" s="0"/>
      <c r="SRR42" s="0"/>
      <c r="SRS42" s="0"/>
      <c r="SRT42" s="0"/>
      <c r="SRU42" s="0"/>
      <c r="SRV42" s="0"/>
      <c r="SRW42" s="0"/>
      <c r="SRX42" s="0"/>
      <c r="SRY42" s="0"/>
      <c r="SRZ42" s="0"/>
      <c r="SSA42" s="0"/>
      <c r="SSB42" s="0"/>
      <c r="SSC42" s="0"/>
      <c r="SSD42" s="0"/>
      <c r="SSE42" s="0"/>
      <c r="SSF42" s="0"/>
      <c r="SSG42" s="0"/>
      <c r="SSH42" s="0"/>
      <c r="SSI42" s="0"/>
      <c r="SSJ42" s="0"/>
      <c r="SSK42" s="0"/>
      <c r="SSL42" s="0"/>
      <c r="SSM42" s="0"/>
      <c r="SSN42" s="0"/>
      <c r="SSO42" s="0"/>
      <c r="SSP42" s="0"/>
      <c r="SSQ42" s="0"/>
      <c r="SSR42" s="0"/>
      <c r="SSS42" s="0"/>
      <c r="SST42" s="0"/>
      <c r="SSU42" s="0"/>
      <c r="SSV42" s="0"/>
      <c r="SSW42" s="0"/>
      <c r="SSX42" s="0"/>
      <c r="SSY42" s="0"/>
      <c r="SSZ42" s="0"/>
      <c r="STA42" s="0"/>
      <c r="STB42" s="0"/>
      <c r="STC42" s="0"/>
      <c r="STD42" s="0"/>
      <c r="STE42" s="0"/>
      <c r="STF42" s="0"/>
      <c r="STG42" s="0"/>
      <c r="STH42" s="0"/>
      <c r="STI42" s="0"/>
      <c r="STJ42" s="0"/>
      <c r="STK42" s="0"/>
      <c r="STL42" s="0"/>
      <c r="STM42" s="0"/>
      <c r="STN42" s="0"/>
      <c r="STO42" s="0"/>
      <c r="STP42" s="0"/>
      <c r="STQ42" s="0"/>
      <c r="STR42" s="0"/>
      <c r="STS42" s="0"/>
      <c r="STT42" s="0"/>
      <c r="STU42" s="0"/>
      <c r="STV42" s="0"/>
      <c r="STW42" s="0"/>
      <c r="STX42" s="0"/>
      <c r="STY42" s="0"/>
      <c r="STZ42" s="0"/>
      <c r="SUA42" s="0"/>
      <c r="SUB42" s="0"/>
      <c r="SUC42" s="0"/>
      <c r="SUD42" s="0"/>
      <c r="SUE42" s="0"/>
      <c r="SUF42" s="0"/>
      <c r="SUG42" s="0"/>
      <c r="SUH42" s="0"/>
      <c r="SUI42" s="0"/>
      <c r="SUJ42" s="0"/>
      <c r="SUK42" s="0"/>
      <c r="SUL42" s="0"/>
      <c r="SUM42" s="0"/>
      <c r="SUN42" s="0"/>
      <c r="SUO42" s="0"/>
      <c r="SUP42" s="0"/>
      <c r="SUQ42" s="0"/>
      <c r="SUR42" s="0"/>
      <c r="SUS42" s="0"/>
      <c r="SUT42" s="0"/>
      <c r="SUU42" s="0"/>
      <c r="SUV42" s="0"/>
      <c r="SUW42" s="0"/>
      <c r="SUX42" s="0"/>
      <c r="SUY42" s="0"/>
      <c r="SUZ42" s="0"/>
      <c r="SVA42" s="0"/>
      <c r="SVB42" s="0"/>
      <c r="SVC42" s="0"/>
      <c r="SVD42" s="0"/>
      <c r="SVE42" s="0"/>
      <c r="SVF42" s="0"/>
      <c r="SVG42" s="0"/>
      <c r="SVH42" s="0"/>
      <c r="SVI42" s="0"/>
      <c r="SVJ42" s="0"/>
      <c r="SVK42" s="0"/>
      <c r="SVL42" s="0"/>
      <c r="SVM42" s="0"/>
      <c r="SVN42" s="0"/>
      <c r="SVO42" s="0"/>
      <c r="SVP42" s="0"/>
      <c r="SVQ42" s="0"/>
      <c r="SVR42" s="0"/>
      <c r="SVS42" s="0"/>
      <c r="SVT42" s="0"/>
      <c r="SVU42" s="0"/>
      <c r="SVV42" s="0"/>
      <c r="SVW42" s="0"/>
      <c r="SVX42" s="0"/>
      <c r="SVY42" s="0"/>
      <c r="SVZ42" s="0"/>
      <c r="SWA42" s="0"/>
      <c r="SWB42" s="0"/>
      <c r="SWC42" s="0"/>
      <c r="SWD42" s="0"/>
      <c r="SWE42" s="0"/>
      <c r="SWF42" s="0"/>
      <c r="SWG42" s="0"/>
      <c r="SWH42" s="0"/>
      <c r="SWI42" s="0"/>
      <c r="SWJ42" s="0"/>
      <c r="SWK42" s="0"/>
      <c r="SWL42" s="0"/>
      <c r="SWM42" s="0"/>
      <c r="SWN42" s="0"/>
      <c r="SWO42" s="0"/>
      <c r="SWP42" s="0"/>
      <c r="SWQ42" s="0"/>
      <c r="SWR42" s="0"/>
      <c r="SWS42" s="0"/>
      <c r="SWT42" s="0"/>
      <c r="SWU42" s="0"/>
      <c r="SWV42" s="0"/>
      <c r="SWW42" s="0"/>
      <c r="SWX42" s="0"/>
      <c r="SWY42" s="0"/>
      <c r="SWZ42" s="0"/>
      <c r="SXA42" s="0"/>
      <c r="SXB42" s="0"/>
      <c r="SXC42" s="0"/>
      <c r="SXD42" s="0"/>
      <c r="SXE42" s="0"/>
      <c r="SXF42" s="0"/>
      <c r="SXG42" s="0"/>
      <c r="SXH42" s="0"/>
      <c r="SXI42" s="0"/>
      <c r="SXJ42" s="0"/>
      <c r="SXK42" s="0"/>
      <c r="SXL42" s="0"/>
      <c r="SXM42" s="0"/>
      <c r="SXN42" s="0"/>
      <c r="SXO42" s="0"/>
      <c r="SXP42" s="0"/>
      <c r="SXQ42" s="0"/>
      <c r="SXR42" s="0"/>
      <c r="SXS42" s="0"/>
      <c r="SXT42" s="0"/>
      <c r="SXU42" s="0"/>
      <c r="SXV42" s="0"/>
      <c r="SXW42" s="0"/>
      <c r="SXX42" s="0"/>
      <c r="SXY42" s="0"/>
      <c r="SXZ42" s="0"/>
      <c r="SYA42" s="0"/>
      <c r="SYB42" s="0"/>
      <c r="SYC42" s="0"/>
      <c r="SYD42" s="0"/>
      <c r="SYE42" s="0"/>
      <c r="SYF42" s="0"/>
      <c r="SYG42" s="0"/>
      <c r="SYH42" s="0"/>
      <c r="SYI42" s="0"/>
      <c r="SYJ42" s="0"/>
      <c r="SYK42" s="0"/>
      <c r="SYL42" s="0"/>
      <c r="SYM42" s="0"/>
      <c r="SYN42" s="0"/>
      <c r="SYO42" s="0"/>
      <c r="SYP42" s="0"/>
      <c r="SYQ42" s="0"/>
      <c r="SYR42" s="0"/>
      <c r="SYS42" s="0"/>
      <c r="SYT42" s="0"/>
      <c r="SYU42" s="0"/>
      <c r="SYV42" s="0"/>
      <c r="SYW42" s="0"/>
      <c r="SYX42" s="0"/>
      <c r="SYY42" s="0"/>
      <c r="SYZ42" s="0"/>
      <c r="SZA42" s="0"/>
      <c r="SZB42" s="0"/>
      <c r="SZC42" s="0"/>
      <c r="SZD42" s="0"/>
      <c r="SZE42" s="0"/>
      <c r="SZF42" s="0"/>
      <c r="SZG42" s="0"/>
      <c r="SZH42" s="0"/>
      <c r="SZI42" s="0"/>
      <c r="SZJ42" s="0"/>
      <c r="SZK42" s="0"/>
      <c r="SZL42" s="0"/>
      <c r="SZM42" s="0"/>
      <c r="SZN42" s="0"/>
      <c r="SZO42" s="0"/>
      <c r="SZP42" s="0"/>
      <c r="SZQ42" s="0"/>
      <c r="SZR42" s="0"/>
      <c r="SZS42" s="0"/>
      <c r="SZT42" s="0"/>
      <c r="SZU42" s="0"/>
      <c r="SZV42" s="0"/>
      <c r="SZW42" s="0"/>
      <c r="SZX42" s="0"/>
      <c r="SZY42" s="0"/>
      <c r="SZZ42" s="0"/>
      <c r="TAA42" s="0"/>
      <c r="TAB42" s="0"/>
      <c r="TAC42" s="0"/>
      <c r="TAD42" s="0"/>
      <c r="TAE42" s="0"/>
      <c r="TAF42" s="0"/>
      <c r="TAG42" s="0"/>
      <c r="TAH42" s="0"/>
      <c r="TAI42" s="0"/>
      <c r="TAJ42" s="0"/>
      <c r="TAK42" s="0"/>
      <c r="TAL42" s="0"/>
      <c r="TAM42" s="0"/>
      <c r="TAN42" s="0"/>
      <c r="TAO42" s="0"/>
      <c r="TAP42" s="0"/>
      <c r="TAQ42" s="0"/>
      <c r="TAR42" s="0"/>
      <c r="TAS42" s="0"/>
      <c r="TAT42" s="0"/>
      <c r="TAU42" s="0"/>
      <c r="TAV42" s="0"/>
      <c r="TAW42" s="0"/>
      <c r="TAX42" s="0"/>
      <c r="TAY42" s="0"/>
      <c r="TAZ42" s="0"/>
      <c r="TBA42" s="0"/>
      <c r="TBB42" s="0"/>
      <c r="TBC42" s="0"/>
      <c r="TBD42" s="0"/>
      <c r="TBE42" s="0"/>
      <c r="TBF42" s="0"/>
      <c r="TBG42" s="0"/>
      <c r="TBH42" s="0"/>
      <c r="TBI42" s="0"/>
      <c r="TBJ42" s="0"/>
      <c r="TBK42" s="0"/>
      <c r="TBL42" s="0"/>
      <c r="TBM42" s="0"/>
      <c r="TBN42" s="0"/>
      <c r="TBO42" s="0"/>
      <c r="TBP42" s="0"/>
      <c r="TBQ42" s="0"/>
      <c r="TBR42" s="0"/>
      <c r="TBS42" s="0"/>
      <c r="TBT42" s="0"/>
      <c r="TBU42" s="0"/>
      <c r="TBV42" s="0"/>
      <c r="TBW42" s="0"/>
      <c r="TBX42" s="0"/>
      <c r="TBY42" s="0"/>
      <c r="TBZ42" s="0"/>
      <c r="TCA42" s="0"/>
      <c r="TCB42" s="0"/>
      <c r="TCC42" s="0"/>
      <c r="TCD42" s="0"/>
      <c r="TCE42" s="0"/>
      <c r="TCF42" s="0"/>
      <c r="TCG42" s="0"/>
      <c r="TCH42" s="0"/>
      <c r="TCI42" s="0"/>
      <c r="TCJ42" s="0"/>
      <c r="TCK42" s="0"/>
      <c r="TCL42" s="0"/>
      <c r="TCM42" s="0"/>
      <c r="TCN42" s="0"/>
      <c r="TCO42" s="0"/>
      <c r="TCP42" s="0"/>
      <c r="TCQ42" s="0"/>
      <c r="TCR42" s="0"/>
      <c r="TCS42" s="0"/>
      <c r="TCT42" s="0"/>
      <c r="TCU42" s="0"/>
      <c r="TCV42" s="0"/>
      <c r="TCW42" s="0"/>
      <c r="TCX42" s="0"/>
      <c r="TCY42" s="0"/>
      <c r="TCZ42" s="0"/>
      <c r="TDA42" s="0"/>
      <c r="TDB42" s="0"/>
      <c r="TDC42" s="0"/>
      <c r="TDD42" s="0"/>
      <c r="TDE42" s="0"/>
      <c r="TDF42" s="0"/>
      <c r="TDG42" s="0"/>
      <c r="TDH42" s="0"/>
      <c r="TDI42" s="0"/>
      <c r="TDJ42" s="0"/>
      <c r="TDK42" s="0"/>
      <c r="TDL42" s="0"/>
      <c r="TDM42" s="0"/>
      <c r="TDN42" s="0"/>
      <c r="TDO42" s="0"/>
      <c r="TDP42" s="0"/>
      <c r="TDQ42" s="0"/>
      <c r="TDR42" s="0"/>
      <c r="TDS42" s="0"/>
      <c r="TDT42" s="0"/>
      <c r="TDU42" s="0"/>
      <c r="TDV42" s="0"/>
      <c r="TDW42" s="0"/>
      <c r="TDX42" s="0"/>
      <c r="TDY42" s="0"/>
      <c r="TDZ42" s="0"/>
      <c r="TEA42" s="0"/>
      <c r="TEB42" s="0"/>
      <c r="TEC42" s="0"/>
      <c r="TED42" s="0"/>
      <c r="TEE42" s="0"/>
      <c r="TEF42" s="0"/>
      <c r="TEG42" s="0"/>
      <c r="TEH42" s="0"/>
      <c r="TEI42" s="0"/>
      <c r="TEJ42" s="0"/>
      <c r="TEK42" s="0"/>
      <c r="TEL42" s="0"/>
      <c r="TEM42" s="0"/>
      <c r="TEN42" s="0"/>
      <c r="TEO42" s="0"/>
      <c r="TEP42" s="0"/>
      <c r="TEQ42" s="0"/>
      <c r="TER42" s="0"/>
      <c r="TES42" s="0"/>
      <c r="TET42" s="0"/>
      <c r="TEU42" s="0"/>
      <c r="TEV42" s="0"/>
      <c r="TEW42" s="0"/>
      <c r="TEX42" s="0"/>
      <c r="TEY42" s="0"/>
      <c r="TEZ42" s="0"/>
      <c r="TFA42" s="0"/>
      <c r="TFB42" s="0"/>
      <c r="TFC42" s="0"/>
      <c r="TFD42" s="0"/>
      <c r="TFE42" s="0"/>
      <c r="TFF42" s="0"/>
      <c r="TFG42" s="0"/>
      <c r="TFH42" s="0"/>
      <c r="TFI42" s="0"/>
      <c r="TFJ42" s="0"/>
      <c r="TFK42" s="0"/>
      <c r="TFL42" s="0"/>
      <c r="TFM42" s="0"/>
      <c r="TFN42" s="0"/>
      <c r="TFO42" s="0"/>
      <c r="TFP42" s="0"/>
      <c r="TFQ42" s="0"/>
      <c r="TFR42" s="0"/>
      <c r="TFS42" s="0"/>
      <c r="TFT42" s="0"/>
      <c r="TFU42" s="0"/>
      <c r="TFV42" s="0"/>
      <c r="TFW42" s="0"/>
      <c r="TFX42" s="0"/>
      <c r="TFY42" s="0"/>
      <c r="TFZ42" s="0"/>
      <c r="TGA42" s="0"/>
      <c r="TGB42" s="0"/>
      <c r="TGC42" s="0"/>
      <c r="TGD42" s="0"/>
      <c r="TGE42" s="0"/>
      <c r="TGF42" s="0"/>
      <c r="TGG42" s="0"/>
      <c r="TGH42" s="0"/>
      <c r="TGI42" s="0"/>
      <c r="TGJ42" s="0"/>
      <c r="TGK42" s="0"/>
      <c r="TGL42" s="0"/>
      <c r="TGM42" s="0"/>
      <c r="TGN42" s="0"/>
      <c r="TGO42" s="0"/>
      <c r="TGP42" s="0"/>
      <c r="TGQ42" s="0"/>
      <c r="TGR42" s="0"/>
      <c r="TGS42" s="0"/>
      <c r="TGT42" s="0"/>
      <c r="TGU42" s="0"/>
      <c r="TGV42" s="0"/>
      <c r="TGW42" s="0"/>
      <c r="TGX42" s="0"/>
      <c r="TGY42" s="0"/>
      <c r="TGZ42" s="0"/>
      <c r="THA42" s="0"/>
      <c r="THB42" s="0"/>
      <c r="THC42" s="0"/>
      <c r="THD42" s="0"/>
      <c r="THE42" s="0"/>
      <c r="THF42" s="0"/>
      <c r="THG42" s="0"/>
      <c r="THH42" s="0"/>
      <c r="THI42" s="0"/>
      <c r="THJ42" s="0"/>
      <c r="THK42" s="0"/>
      <c r="THL42" s="0"/>
      <c r="THM42" s="0"/>
      <c r="THN42" s="0"/>
      <c r="THO42" s="0"/>
      <c r="THP42" s="0"/>
      <c r="THQ42" s="0"/>
      <c r="THR42" s="0"/>
      <c r="THS42" s="0"/>
      <c r="THT42" s="0"/>
      <c r="THU42" s="0"/>
      <c r="THV42" s="0"/>
      <c r="THW42" s="0"/>
      <c r="THX42" s="0"/>
      <c r="THY42" s="0"/>
      <c r="THZ42" s="0"/>
      <c r="TIA42" s="0"/>
      <c r="TIB42" s="0"/>
      <c r="TIC42" s="0"/>
      <c r="TID42" s="0"/>
      <c r="TIE42" s="0"/>
      <c r="TIF42" s="0"/>
      <c r="TIG42" s="0"/>
      <c r="TIH42" s="0"/>
      <c r="TII42" s="0"/>
      <c r="TIJ42" s="0"/>
      <c r="TIK42" s="0"/>
      <c r="TIL42" s="0"/>
      <c r="TIM42" s="0"/>
      <c r="TIN42" s="0"/>
      <c r="TIO42" s="0"/>
      <c r="TIP42" s="0"/>
      <c r="TIQ42" s="0"/>
      <c r="TIR42" s="0"/>
      <c r="TIS42" s="0"/>
      <c r="TIT42" s="0"/>
      <c r="TIU42" s="0"/>
      <c r="TIV42" s="0"/>
      <c r="TIW42" s="0"/>
      <c r="TIX42" s="0"/>
      <c r="TIY42" s="0"/>
      <c r="TIZ42" s="0"/>
      <c r="TJA42" s="0"/>
      <c r="TJB42" s="0"/>
      <c r="TJC42" s="0"/>
      <c r="TJD42" s="0"/>
      <c r="TJE42" s="0"/>
      <c r="TJF42" s="0"/>
      <c r="TJG42" s="0"/>
      <c r="TJH42" s="0"/>
      <c r="TJI42" s="0"/>
      <c r="TJJ42" s="0"/>
      <c r="TJK42" s="0"/>
      <c r="TJL42" s="0"/>
      <c r="TJM42" s="0"/>
      <c r="TJN42" s="0"/>
      <c r="TJO42" s="0"/>
      <c r="TJP42" s="0"/>
      <c r="TJQ42" s="0"/>
      <c r="TJR42" s="0"/>
      <c r="TJS42" s="0"/>
      <c r="TJT42" s="0"/>
      <c r="TJU42" s="0"/>
      <c r="TJV42" s="0"/>
      <c r="TJW42" s="0"/>
      <c r="TJX42" s="0"/>
      <c r="TJY42" s="0"/>
      <c r="TJZ42" s="0"/>
      <c r="TKA42" s="0"/>
      <c r="TKB42" s="0"/>
      <c r="TKC42" s="0"/>
      <c r="TKD42" s="0"/>
      <c r="TKE42" s="0"/>
      <c r="TKF42" s="0"/>
      <c r="TKG42" s="0"/>
      <c r="TKH42" s="0"/>
      <c r="TKI42" s="0"/>
      <c r="TKJ42" s="0"/>
      <c r="TKK42" s="0"/>
      <c r="TKL42" s="0"/>
      <c r="TKM42" s="0"/>
      <c r="TKN42" s="0"/>
      <c r="TKO42" s="0"/>
      <c r="TKP42" s="0"/>
      <c r="TKQ42" s="0"/>
      <c r="TKR42" s="0"/>
      <c r="TKS42" s="0"/>
      <c r="TKT42" s="0"/>
      <c r="TKU42" s="0"/>
      <c r="TKV42" s="0"/>
      <c r="TKW42" s="0"/>
      <c r="TKX42" s="0"/>
      <c r="TKY42" s="0"/>
      <c r="TKZ42" s="0"/>
      <c r="TLA42" s="0"/>
      <c r="TLB42" s="0"/>
      <c r="TLC42" s="0"/>
      <c r="TLD42" s="0"/>
      <c r="TLE42" s="0"/>
      <c r="TLF42" s="0"/>
      <c r="TLG42" s="0"/>
      <c r="TLH42" s="0"/>
      <c r="TLI42" s="0"/>
      <c r="TLJ42" s="0"/>
      <c r="TLK42" s="0"/>
      <c r="TLL42" s="0"/>
      <c r="TLM42" s="0"/>
      <c r="TLN42" s="0"/>
      <c r="TLO42" s="0"/>
      <c r="TLP42" s="0"/>
      <c r="TLQ42" s="0"/>
      <c r="TLR42" s="0"/>
      <c r="TLS42" s="0"/>
      <c r="TLT42" s="0"/>
      <c r="TLU42" s="0"/>
      <c r="TLV42" s="0"/>
      <c r="TLW42" s="0"/>
      <c r="TLX42" s="0"/>
      <c r="TLY42" s="0"/>
      <c r="TLZ42" s="0"/>
      <c r="TMA42" s="0"/>
      <c r="TMB42" s="0"/>
      <c r="TMC42" s="0"/>
      <c r="TMD42" s="0"/>
      <c r="TME42" s="0"/>
      <c r="TMF42" s="0"/>
      <c r="TMG42" s="0"/>
      <c r="TMH42" s="0"/>
      <c r="TMI42" s="0"/>
      <c r="TMJ42" s="0"/>
      <c r="TMK42" s="0"/>
      <c r="TML42" s="0"/>
      <c r="TMM42" s="0"/>
      <c r="TMN42" s="0"/>
      <c r="TMO42" s="0"/>
      <c r="TMP42" s="0"/>
      <c r="TMQ42" s="0"/>
      <c r="TMR42" s="0"/>
      <c r="TMS42" s="0"/>
      <c r="TMT42" s="0"/>
      <c r="TMU42" s="0"/>
      <c r="TMV42" s="0"/>
      <c r="TMW42" s="0"/>
      <c r="TMX42" s="0"/>
      <c r="TMY42" s="0"/>
      <c r="TMZ42" s="0"/>
      <c r="TNA42" s="0"/>
      <c r="TNB42" s="0"/>
      <c r="TNC42" s="0"/>
      <c r="TND42" s="0"/>
      <c r="TNE42" s="0"/>
      <c r="TNF42" s="0"/>
      <c r="TNG42" s="0"/>
      <c r="TNH42" s="0"/>
      <c r="TNI42" s="0"/>
      <c r="TNJ42" s="0"/>
      <c r="TNK42" s="0"/>
      <c r="TNL42" s="0"/>
      <c r="TNM42" s="0"/>
      <c r="TNN42" s="0"/>
      <c r="TNO42" s="0"/>
      <c r="TNP42" s="0"/>
      <c r="TNQ42" s="0"/>
      <c r="TNR42" s="0"/>
      <c r="TNS42" s="0"/>
      <c r="TNT42" s="0"/>
      <c r="TNU42" s="0"/>
      <c r="TNV42" s="0"/>
      <c r="TNW42" s="0"/>
      <c r="TNX42" s="0"/>
      <c r="TNY42" s="0"/>
      <c r="TNZ42" s="0"/>
      <c r="TOA42" s="0"/>
      <c r="TOB42" s="0"/>
      <c r="TOC42" s="0"/>
      <c r="TOD42" s="0"/>
      <c r="TOE42" s="0"/>
      <c r="TOF42" s="0"/>
      <c r="TOG42" s="0"/>
      <c r="TOH42" s="0"/>
      <c r="TOI42" s="0"/>
      <c r="TOJ42" s="0"/>
      <c r="TOK42" s="0"/>
      <c r="TOL42" s="0"/>
      <c r="TOM42" s="0"/>
      <c r="TON42" s="0"/>
      <c r="TOO42" s="0"/>
      <c r="TOP42" s="0"/>
      <c r="TOQ42" s="0"/>
      <c r="TOR42" s="0"/>
      <c r="TOS42" s="0"/>
      <c r="TOT42" s="0"/>
      <c r="TOU42" s="0"/>
      <c r="TOV42" s="0"/>
      <c r="TOW42" s="0"/>
      <c r="TOX42" s="0"/>
      <c r="TOY42" s="0"/>
      <c r="TOZ42" s="0"/>
      <c r="TPA42" s="0"/>
      <c r="TPB42" s="0"/>
      <c r="TPC42" s="0"/>
      <c r="TPD42" s="0"/>
      <c r="TPE42" s="0"/>
      <c r="TPF42" s="0"/>
      <c r="TPG42" s="0"/>
      <c r="TPH42" s="0"/>
      <c r="TPI42" s="0"/>
      <c r="TPJ42" s="0"/>
      <c r="TPK42" s="0"/>
      <c r="TPL42" s="0"/>
      <c r="TPM42" s="0"/>
      <c r="TPN42" s="0"/>
      <c r="TPO42" s="0"/>
      <c r="TPP42" s="0"/>
      <c r="TPQ42" s="0"/>
      <c r="TPR42" s="0"/>
      <c r="TPS42" s="0"/>
      <c r="TPT42" s="0"/>
      <c r="TPU42" s="0"/>
      <c r="TPV42" s="0"/>
      <c r="TPW42" s="0"/>
      <c r="TPX42" s="0"/>
      <c r="TPY42" s="0"/>
      <c r="TPZ42" s="0"/>
      <c r="TQA42" s="0"/>
      <c r="TQB42" s="0"/>
      <c r="TQC42" s="0"/>
      <c r="TQD42" s="0"/>
      <c r="TQE42" s="0"/>
      <c r="TQF42" s="0"/>
      <c r="TQG42" s="0"/>
      <c r="TQH42" s="0"/>
      <c r="TQI42" s="0"/>
      <c r="TQJ42" s="0"/>
      <c r="TQK42" s="0"/>
      <c r="TQL42" s="0"/>
      <c r="TQM42" s="0"/>
      <c r="TQN42" s="0"/>
      <c r="TQO42" s="0"/>
      <c r="TQP42" s="0"/>
      <c r="TQQ42" s="0"/>
      <c r="TQR42" s="0"/>
      <c r="TQS42" s="0"/>
      <c r="TQT42" s="0"/>
      <c r="TQU42" s="0"/>
      <c r="TQV42" s="0"/>
      <c r="TQW42" s="0"/>
      <c r="TQX42" s="0"/>
      <c r="TQY42" s="0"/>
      <c r="TQZ42" s="0"/>
      <c r="TRA42" s="0"/>
      <c r="TRB42" s="0"/>
      <c r="TRC42" s="0"/>
      <c r="TRD42" s="0"/>
      <c r="TRE42" s="0"/>
      <c r="TRF42" s="0"/>
      <c r="TRG42" s="0"/>
      <c r="TRH42" s="0"/>
      <c r="TRI42" s="0"/>
      <c r="TRJ42" s="0"/>
      <c r="TRK42" s="0"/>
      <c r="TRL42" s="0"/>
      <c r="TRM42" s="0"/>
      <c r="TRN42" s="0"/>
      <c r="TRO42" s="0"/>
      <c r="TRP42" s="0"/>
      <c r="TRQ42" s="0"/>
      <c r="TRR42" s="0"/>
      <c r="TRS42" s="0"/>
      <c r="TRT42" s="0"/>
      <c r="TRU42" s="0"/>
      <c r="TRV42" s="0"/>
      <c r="TRW42" s="0"/>
      <c r="TRX42" s="0"/>
      <c r="TRY42" s="0"/>
      <c r="TRZ42" s="0"/>
      <c r="TSA42" s="0"/>
      <c r="TSB42" s="0"/>
      <c r="TSC42" s="0"/>
      <c r="TSD42" s="0"/>
      <c r="TSE42" s="0"/>
      <c r="TSF42" s="0"/>
      <c r="TSG42" s="0"/>
      <c r="TSH42" s="0"/>
      <c r="TSI42" s="0"/>
      <c r="TSJ42" s="0"/>
      <c r="TSK42" s="0"/>
      <c r="TSL42" s="0"/>
      <c r="TSM42" s="0"/>
      <c r="TSN42" s="0"/>
      <c r="TSO42" s="0"/>
      <c r="TSP42" s="0"/>
      <c r="TSQ42" s="0"/>
      <c r="TSR42" s="0"/>
      <c r="TSS42" s="0"/>
      <c r="TST42" s="0"/>
      <c r="TSU42" s="0"/>
      <c r="TSV42" s="0"/>
      <c r="TSW42" s="0"/>
      <c r="TSX42" s="0"/>
      <c r="TSY42" s="0"/>
      <c r="TSZ42" s="0"/>
      <c r="TTA42" s="0"/>
      <c r="TTB42" s="0"/>
      <c r="TTC42" s="0"/>
      <c r="TTD42" s="0"/>
      <c r="TTE42" s="0"/>
      <c r="TTF42" s="0"/>
      <c r="TTG42" s="0"/>
      <c r="TTH42" s="0"/>
      <c r="TTI42" s="0"/>
      <c r="TTJ42" s="0"/>
      <c r="TTK42" s="0"/>
      <c r="TTL42" s="0"/>
      <c r="TTM42" s="0"/>
      <c r="TTN42" s="0"/>
      <c r="TTO42" s="0"/>
      <c r="TTP42" s="0"/>
      <c r="TTQ42" s="0"/>
      <c r="TTR42" s="0"/>
      <c r="TTS42" s="0"/>
      <c r="TTT42" s="0"/>
      <c r="TTU42" s="0"/>
      <c r="TTV42" s="0"/>
      <c r="TTW42" s="0"/>
      <c r="TTX42" s="0"/>
      <c r="TTY42" s="0"/>
      <c r="TTZ42" s="0"/>
      <c r="TUA42" s="0"/>
      <c r="TUB42" s="0"/>
      <c r="TUC42" s="0"/>
      <c r="TUD42" s="0"/>
      <c r="TUE42" s="0"/>
      <c r="TUF42" s="0"/>
      <c r="TUG42" s="0"/>
      <c r="TUH42" s="0"/>
      <c r="TUI42" s="0"/>
      <c r="TUJ42" s="0"/>
      <c r="TUK42" s="0"/>
      <c r="TUL42" s="0"/>
      <c r="TUM42" s="0"/>
      <c r="TUN42" s="0"/>
      <c r="TUO42" s="0"/>
      <c r="TUP42" s="0"/>
      <c r="TUQ42" s="0"/>
      <c r="TUR42" s="0"/>
      <c r="TUS42" s="0"/>
      <c r="TUT42" s="0"/>
      <c r="TUU42" s="0"/>
      <c r="TUV42" s="0"/>
      <c r="TUW42" s="0"/>
      <c r="TUX42" s="0"/>
      <c r="TUY42" s="0"/>
      <c r="TUZ42" s="0"/>
      <c r="TVA42" s="0"/>
      <c r="TVB42" s="0"/>
      <c r="TVC42" s="0"/>
      <c r="TVD42" s="0"/>
      <c r="TVE42" s="0"/>
      <c r="TVF42" s="0"/>
      <c r="TVG42" s="0"/>
      <c r="TVH42" s="0"/>
      <c r="TVI42" s="0"/>
      <c r="TVJ42" s="0"/>
      <c r="TVK42" s="0"/>
      <c r="TVL42" s="0"/>
      <c r="TVM42" s="0"/>
      <c r="TVN42" s="0"/>
      <c r="TVO42" s="0"/>
      <c r="TVP42" s="0"/>
      <c r="TVQ42" s="0"/>
      <c r="TVR42" s="0"/>
      <c r="TVS42" s="0"/>
      <c r="TVT42" s="0"/>
      <c r="TVU42" s="0"/>
      <c r="TVV42" s="0"/>
      <c r="TVW42" s="0"/>
      <c r="TVX42" s="0"/>
      <c r="TVY42" s="0"/>
      <c r="TVZ42" s="0"/>
      <c r="TWA42" s="0"/>
      <c r="TWB42" s="0"/>
      <c r="TWC42" s="0"/>
      <c r="TWD42" s="0"/>
      <c r="TWE42" s="0"/>
      <c r="TWF42" s="0"/>
      <c r="TWG42" s="0"/>
      <c r="TWH42" s="0"/>
      <c r="TWI42" s="0"/>
      <c r="TWJ42" s="0"/>
      <c r="TWK42" s="0"/>
      <c r="TWL42" s="0"/>
      <c r="TWM42" s="0"/>
      <c r="TWN42" s="0"/>
      <c r="TWO42" s="0"/>
      <c r="TWP42" s="0"/>
      <c r="TWQ42" s="0"/>
      <c r="TWR42" s="0"/>
      <c r="TWS42" s="0"/>
      <c r="TWT42" s="0"/>
      <c r="TWU42" s="0"/>
      <c r="TWV42" s="0"/>
      <c r="TWW42" s="0"/>
      <c r="TWX42" s="0"/>
      <c r="TWY42" s="0"/>
      <c r="TWZ42" s="0"/>
      <c r="TXA42" s="0"/>
      <c r="TXB42" s="0"/>
      <c r="TXC42" s="0"/>
      <c r="TXD42" s="0"/>
      <c r="TXE42" s="0"/>
      <c r="TXF42" s="0"/>
      <c r="TXG42" s="0"/>
      <c r="TXH42" s="0"/>
      <c r="TXI42" s="0"/>
      <c r="TXJ42" s="0"/>
      <c r="TXK42" s="0"/>
      <c r="TXL42" s="0"/>
      <c r="TXM42" s="0"/>
      <c r="TXN42" s="0"/>
      <c r="TXO42" s="0"/>
      <c r="TXP42" s="0"/>
      <c r="TXQ42" s="0"/>
      <c r="TXR42" s="0"/>
      <c r="TXS42" s="0"/>
      <c r="TXT42" s="0"/>
      <c r="TXU42" s="0"/>
      <c r="TXV42" s="0"/>
      <c r="TXW42" s="0"/>
      <c r="TXX42" s="0"/>
      <c r="TXY42" s="0"/>
      <c r="TXZ42" s="0"/>
      <c r="TYA42" s="0"/>
      <c r="TYB42" s="0"/>
      <c r="TYC42" s="0"/>
      <c r="TYD42" s="0"/>
      <c r="TYE42" s="0"/>
      <c r="TYF42" s="0"/>
      <c r="TYG42" s="0"/>
      <c r="TYH42" s="0"/>
      <c r="TYI42" s="0"/>
      <c r="TYJ42" s="0"/>
      <c r="TYK42" s="0"/>
      <c r="TYL42" s="0"/>
      <c r="TYM42" s="0"/>
      <c r="TYN42" s="0"/>
      <c r="TYO42" s="0"/>
      <c r="TYP42" s="0"/>
      <c r="TYQ42" s="0"/>
      <c r="TYR42" s="0"/>
      <c r="TYS42" s="0"/>
      <c r="TYT42" s="0"/>
      <c r="TYU42" s="0"/>
      <c r="TYV42" s="0"/>
      <c r="TYW42" s="0"/>
      <c r="TYX42" s="0"/>
      <c r="TYY42" s="0"/>
      <c r="TYZ42" s="0"/>
      <c r="TZA42" s="0"/>
      <c r="TZB42" s="0"/>
      <c r="TZC42" s="0"/>
      <c r="TZD42" s="0"/>
      <c r="TZE42" s="0"/>
      <c r="TZF42" s="0"/>
      <c r="TZG42" s="0"/>
      <c r="TZH42" s="0"/>
      <c r="TZI42" s="0"/>
      <c r="TZJ42" s="0"/>
      <c r="TZK42" s="0"/>
      <c r="TZL42" s="0"/>
      <c r="TZM42" s="0"/>
      <c r="TZN42" s="0"/>
      <c r="TZO42" s="0"/>
      <c r="TZP42" s="0"/>
      <c r="TZQ42" s="0"/>
      <c r="TZR42" s="0"/>
      <c r="TZS42" s="0"/>
      <c r="TZT42" s="0"/>
      <c r="TZU42" s="0"/>
      <c r="TZV42" s="0"/>
      <c r="TZW42" s="0"/>
      <c r="TZX42" s="0"/>
      <c r="TZY42" s="0"/>
      <c r="TZZ42" s="0"/>
      <c r="UAA42" s="0"/>
      <c r="UAB42" s="0"/>
      <c r="UAC42" s="0"/>
      <c r="UAD42" s="0"/>
      <c r="UAE42" s="0"/>
      <c r="UAF42" s="0"/>
      <c r="UAG42" s="0"/>
      <c r="UAH42" s="0"/>
      <c r="UAI42" s="0"/>
      <c r="UAJ42" s="0"/>
      <c r="UAK42" s="0"/>
      <c r="UAL42" s="0"/>
      <c r="UAM42" s="0"/>
      <c r="UAN42" s="0"/>
      <c r="UAO42" s="0"/>
      <c r="UAP42" s="0"/>
      <c r="UAQ42" s="0"/>
      <c r="UAR42" s="0"/>
      <c r="UAS42" s="0"/>
      <c r="UAT42" s="0"/>
      <c r="UAU42" s="0"/>
      <c r="UAV42" s="0"/>
      <c r="UAW42" s="0"/>
      <c r="UAX42" s="0"/>
      <c r="UAY42" s="0"/>
      <c r="UAZ42" s="0"/>
      <c r="UBA42" s="0"/>
      <c r="UBB42" s="0"/>
      <c r="UBC42" s="0"/>
      <c r="UBD42" s="0"/>
      <c r="UBE42" s="0"/>
      <c r="UBF42" s="0"/>
      <c r="UBG42" s="0"/>
      <c r="UBH42" s="0"/>
      <c r="UBI42" s="0"/>
      <c r="UBJ42" s="0"/>
      <c r="UBK42" s="0"/>
      <c r="UBL42" s="0"/>
      <c r="UBM42" s="0"/>
      <c r="UBN42" s="0"/>
      <c r="UBO42" s="0"/>
      <c r="UBP42" s="0"/>
      <c r="UBQ42" s="0"/>
      <c r="UBR42" s="0"/>
      <c r="UBS42" s="0"/>
      <c r="UBT42" s="0"/>
      <c r="UBU42" s="0"/>
      <c r="UBV42" s="0"/>
      <c r="UBW42" s="0"/>
      <c r="UBX42" s="0"/>
      <c r="UBY42" s="0"/>
      <c r="UBZ42" s="0"/>
      <c r="UCA42" s="0"/>
      <c r="UCB42" s="0"/>
      <c r="UCC42" s="0"/>
      <c r="UCD42" s="0"/>
      <c r="UCE42" s="0"/>
      <c r="UCF42" s="0"/>
      <c r="UCG42" s="0"/>
      <c r="UCH42" s="0"/>
      <c r="UCI42" s="0"/>
      <c r="UCJ42" s="0"/>
      <c r="UCK42" s="0"/>
      <c r="UCL42" s="0"/>
      <c r="UCM42" s="0"/>
      <c r="UCN42" s="0"/>
      <c r="UCO42" s="0"/>
      <c r="UCP42" s="0"/>
      <c r="UCQ42" s="0"/>
      <c r="UCR42" s="0"/>
      <c r="UCS42" s="0"/>
      <c r="UCT42" s="0"/>
      <c r="UCU42" s="0"/>
      <c r="UCV42" s="0"/>
      <c r="UCW42" s="0"/>
      <c r="UCX42" s="0"/>
      <c r="UCY42" s="0"/>
      <c r="UCZ42" s="0"/>
      <c r="UDA42" s="0"/>
      <c r="UDB42" s="0"/>
      <c r="UDC42" s="0"/>
      <c r="UDD42" s="0"/>
      <c r="UDE42" s="0"/>
      <c r="UDF42" s="0"/>
      <c r="UDG42" s="0"/>
      <c r="UDH42" s="0"/>
      <c r="UDI42" s="0"/>
      <c r="UDJ42" s="0"/>
      <c r="UDK42" s="0"/>
      <c r="UDL42" s="0"/>
      <c r="UDM42" s="0"/>
      <c r="UDN42" s="0"/>
      <c r="UDO42" s="0"/>
      <c r="UDP42" s="0"/>
      <c r="UDQ42" s="0"/>
      <c r="UDR42" s="0"/>
      <c r="UDS42" s="0"/>
      <c r="UDT42" s="0"/>
      <c r="UDU42" s="0"/>
      <c r="UDV42" s="0"/>
      <c r="UDW42" s="0"/>
      <c r="UDX42" s="0"/>
      <c r="UDY42" s="0"/>
      <c r="UDZ42" s="0"/>
      <c r="UEA42" s="0"/>
      <c r="UEB42" s="0"/>
      <c r="UEC42" s="0"/>
      <c r="UED42" s="0"/>
      <c r="UEE42" s="0"/>
      <c r="UEF42" s="0"/>
      <c r="UEG42" s="0"/>
      <c r="UEH42" s="0"/>
      <c r="UEI42" s="0"/>
      <c r="UEJ42" s="0"/>
      <c r="UEK42" s="0"/>
      <c r="UEL42" s="0"/>
      <c r="UEM42" s="0"/>
      <c r="UEN42" s="0"/>
      <c r="UEO42" s="0"/>
      <c r="UEP42" s="0"/>
      <c r="UEQ42" s="0"/>
      <c r="UER42" s="0"/>
      <c r="UES42" s="0"/>
      <c r="UET42" s="0"/>
      <c r="UEU42" s="0"/>
      <c r="UEV42" s="0"/>
      <c r="UEW42" s="0"/>
      <c r="UEX42" s="0"/>
      <c r="UEY42" s="0"/>
      <c r="UEZ42" s="0"/>
      <c r="UFA42" s="0"/>
      <c r="UFB42" s="0"/>
      <c r="UFC42" s="0"/>
      <c r="UFD42" s="0"/>
      <c r="UFE42" s="0"/>
      <c r="UFF42" s="0"/>
      <c r="UFG42" s="0"/>
      <c r="UFH42" s="0"/>
      <c r="UFI42" s="0"/>
      <c r="UFJ42" s="0"/>
      <c r="UFK42" s="0"/>
      <c r="UFL42" s="0"/>
      <c r="UFM42" s="0"/>
      <c r="UFN42" s="0"/>
      <c r="UFO42" s="0"/>
      <c r="UFP42" s="0"/>
      <c r="UFQ42" s="0"/>
      <c r="UFR42" s="0"/>
      <c r="UFS42" s="0"/>
      <c r="UFT42" s="0"/>
      <c r="UFU42" s="0"/>
      <c r="UFV42" s="0"/>
      <c r="UFW42" s="0"/>
      <c r="UFX42" s="0"/>
      <c r="UFY42" s="0"/>
      <c r="UFZ42" s="0"/>
      <c r="UGA42" s="0"/>
      <c r="UGB42" s="0"/>
      <c r="UGC42" s="0"/>
      <c r="UGD42" s="0"/>
      <c r="UGE42" s="0"/>
      <c r="UGF42" s="0"/>
      <c r="UGG42" s="0"/>
      <c r="UGH42" s="0"/>
      <c r="UGI42" s="0"/>
      <c r="UGJ42" s="0"/>
      <c r="UGK42" s="0"/>
      <c r="UGL42" s="0"/>
      <c r="UGM42" s="0"/>
      <c r="UGN42" s="0"/>
      <c r="UGO42" s="0"/>
      <c r="UGP42" s="0"/>
      <c r="UGQ42" s="0"/>
      <c r="UGR42" s="0"/>
      <c r="UGS42" s="0"/>
      <c r="UGT42" s="0"/>
      <c r="UGU42" s="0"/>
      <c r="UGV42" s="0"/>
      <c r="UGW42" s="0"/>
      <c r="UGX42" s="0"/>
      <c r="UGY42" s="0"/>
      <c r="UGZ42" s="0"/>
      <c r="UHA42" s="0"/>
      <c r="UHB42" s="0"/>
      <c r="UHC42" s="0"/>
      <c r="UHD42" s="0"/>
      <c r="UHE42" s="0"/>
      <c r="UHF42" s="0"/>
      <c r="UHG42" s="0"/>
      <c r="UHH42" s="0"/>
      <c r="UHI42" s="0"/>
      <c r="UHJ42" s="0"/>
      <c r="UHK42" s="0"/>
      <c r="UHL42" s="0"/>
      <c r="UHM42" s="0"/>
      <c r="UHN42" s="0"/>
      <c r="UHO42" s="0"/>
      <c r="UHP42" s="0"/>
      <c r="UHQ42" s="0"/>
      <c r="UHR42" s="0"/>
      <c r="UHS42" s="0"/>
      <c r="UHT42" s="0"/>
      <c r="UHU42" s="0"/>
      <c r="UHV42" s="0"/>
      <c r="UHW42" s="0"/>
      <c r="UHX42" s="0"/>
      <c r="UHY42" s="0"/>
      <c r="UHZ42" s="0"/>
      <c r="UIA42" s="0"/>
      <c r="UIB42" s="0"/>
      <c r="UIC42" s="0"/>
      <c r="UID42" s="0"/>
      <c r="UIE42" s="0"/>
      <c r="UIF42" s="0"/>
      <c r="UIG42" s="0"/>
      <c r="UIH42" s="0"/>
      <c r="UII42" s="0"/>
      <c r="UIJ42" s="0"/>
      <c r="UIK42" s="0"/>
      <c r="UIL42" s="0"/>
      <c r="UIM42" s="0"/>
      <c r="UIN42" s="0"/>
      <c r="UIO42" s="0"/>
      <c r="UIP42" s="0"/>
      <c r="UIQ42" s="0"/>
      <c r="UIR42" s="0"/>
      <c r="UIS42" s="0"/>
      <c r="UIT42" s="0"/>
      <c r="UIU42" s="0"/>
      <c r="UIV42" s="0"/>
      <c r="UIW42" s="0"/>
      <c r="UIX42" s="0"/>
      <c r="UIY42" s="0"/>
      <c r="UIZ42" s="0"/>
      <c r="UJA42" s="0"/>
      <c r="UJB42" s="0"/>
      <c r="UJC42" s="0"/>
      <c r="UJD42" s="0"/>
      <c r="UJE42" s="0"/>
      <c r="UJF42" s="0"/>
      <c r="UJG42" s="0"/>
      <c r="UJH42" s="0"/>
      <c r="UJI42" s="0"/>
      <c r="UJJ42" s="0"/>
      <c r="UJK42" s="0"/>
      <c r="UJL42" s="0"/>
      <c r="UJM42" s="0"/>
      <c r="UJN42" s="0"/>
      <c r="UJO42" s="0"/>
      <c r="UJP42" s="0"/>
      <c r="UJQ42" s="0"/>
      <c r="UJR42" s="0"/>
      <c r="UJS42" s="0"/>
      <c r="UJT42" s="0"/>
      <c r="UJU42" s="0"/>
      <c r="UJV42" s="0"/>
      <c r="UJW42" s="0"/>
      <c r="UJX42" s="0"/>
      <c r="UJY42" s="0"/>
      <c r="UJZ42" s="0"/>
      <c r="UKA42" s="0"/>
      <c r="UKB42" s="0"/>
      <c r="UKC42" s="0"/>
      <c r="UKD42" s="0"/>
      <c r="UKE42" s="0"/>
      <c r="UKF42" s="0"/>
      <c r="UKG42" s="0"/>
      <c r="UKH42" s="0"/>
      <c r="UKI42" s="0"/>
      <c r="UKJ42" s="0"/>
      <c r="UKK42" s="0"/>
      <c r="UKL42" s="0"/>
      <c r="UKM42" s="0"/>
      <c r="UKN42" s="0"/>
      <c r="UKO42" s="0"/>
      <c r="UKP42" s="0"/>
      <c r="UKQ42" s="0"/>
      <c r="UKR42" s="0"/>
      <c r="UKS42" s="0"/>
      <c r="UKT42" s="0"/>
      <c r="UKU42" s="0"/>
      <c r="UKV42" s="0"/>
      <c r="UKW42" s="0"/>
      <c r="UKX42" s="0"/>
      <c r="UKY42" s="0"/>
      <c r="UKZ42" s="0"/>
      <c r="ULA42" s="0"/>
      <c r="ULB42" s="0"/>
      <c r="ULC42" s="0"/>
      <c r="ULD42" s="0"/>
      <c r="ULE42" s="0"/>
      <c r="ULF42" s="0"/>
      <c r="ULG42" s="0"/>
      <c r="ULH42" s="0"/>
      <c r="ULI42" s="0"/>
      <c r="ULJ42" s="0"/>
      <c r="ULK42" s="0"/>
      <c r="ULL42" s="0"/>
      <c r="ULM42" s="0"/>
      <c r="ULN42" s="0"/>
      <c r="ULO42" s="0"/>
      <c r="ULP42" s="0"/>
      <c r="ULQ42" s="0"/>
      <c r="ULR42" s="0"/>
      <c r="ULS42" s="0"/>
      <c r="ULT42" s="0"/>
      <c r="ULU42" s="0"/>
      <c r="ULV42" s="0"/>
      <c r="ULW42" s="0"/>
      <c r="ULX42" s="0"/>
      <c r="ULY42" s="0"/>
      <c r="ULZ42" s="0"/>
      <c r="UMA42" s="0"/>
      <c r="UMB42" s="0"/>
      <c r="UMC42" s="0"/>
      <c r="UMD42" s="0"/>
      <c r="UME42" s="0"/>
      <c r="UMF42" s="0"/>
      <c r="UMG42" s="0"/>
      <c r="UMH42" s="0"/>
      <c r="UMI42" s="0"/>
      <c r="UMJ42" s="0"/>
      <c r="UMK42" s="0"/>
      <c r="UML42" s="0"/>
      <c r="UMM42" s="0"/>
      <c r="UMN42" s="0"/>
      <c r="UMO42" s="0"/>
      <c r="UMP42" s="0"/>
      <c r="UMQ42" s="0"/>
      <c r="UMR42" s="0"/>
      <c r="UMS42" s="0"/>
      <c r="UMT42" s="0"/>
      <c r="UMU42" s="0"/>
      <c r="UMV42" s="0"/>
      <c r="UMW42" s="0"/>
      <c r="UMX42" s="0"/>
      <c r="UMY42" s="0"/>
      <c r="UMZ42" s="0"/>
      <c r="UNA42" s="0"/>
      <c r="UNB42" s="0"/>
      <c r="UNC42" s="0"/>
      <c r="UND42" s="0"/>
      <c r="UNE42" s="0"/>
      <c r="UNF42" s="0"/>
      <c r="UNG42" s="0"/>
      <c r="UNH42" s="0"/>
      <c r="UNI42" s="0"/>
      <c r="UNJ42" s="0"/>
      <c r="UNK42" s="0"/>
      <c r="UNL42" s="0"/>
      <c r="UNM42" s="0"/>
      <c r="UNN42" s="0"/>
      <c r="UNO42" s="0"/>
      <c r="UNP42" s="0"/>
      <c r="UNQ42" s="0"/>
      <c r="UNR42" s="0"/>
      <c r="UNS42" s="0"/>
      <c r="UNT42" s="0"/>
      <c r="UNU42" s="0"/>
      <c r="UNV42" s="0"/>
      <c r="UNW42" s="0"/>
      <c r="UNX42" s="0"/>
      <c r="UNY42" s="0"/>
      <c r="UNZ42" s="0"/>
      <c r="UOA42" s="0"/>
      <c r="UOB42" s="0"/>
      <c r="UOC42" s="0"/>
      <c r="UOD42" s="0"/>
      <c r="UOE42" s="0"/>
      <c r="UOF42" s="0"/>
      <c r="UOG42" s="0"/>
      <c r="UOH42" s="0"/>
      <c r="UOI42" s="0"/>
      <c r="UOJ42" s="0"/>
      <c r="UOK42" s="0"/>
      <c r="UOL42" s="0"/>
      <c r="UOM42" s="0"/>
      <c r="UON42" s="0"/>
      <c r="UOO42" s="0"/>
      <c r="UOP42" s="0"/>
      <c r="UOQ42" s="0"/>
      <c r="UOR42" s="0"/>
      <c r="UOS42" s="0"/>
      <c r="UOT42" s="0"/>
      <c r="UOU42" s="0"/>
      <c r="UOV42" s="0"/>
      <c r="UOW42" s="0"/>
      <c r="UOX42" s="0"/>
      <c r="UOY42" s="0"/>
      <c r="UOZ42" s="0"/>
      <c r="UPA42" s="0"/>
      <c r="UPB42" s="0"/>
      <c r="UPC42" s="0"/>
      <c r="UPD42" s="0"/>
      <c r="UPE42" s="0"/>
      <c r="UPF42" s="0"/>
      <c r="UPG42" s="0"/>
      <c r="UPH42" s="0"/>
      <c r="UPI42" s="0"/>
      <c r="UPJ42" s="0"/>
      <c r="UPK42" s="0"/>
      <c r="UPL42" s="0"/>
      <c r="UPM42" s="0"/>
      <c r="UPN42" s="0"/>
      <c r="UPO42" s="0"/>
      <c r="UPP42" s="0"/>
      <c r="UPQ42" s="0"/>
      <c r="UPR42" s="0"/>
      <c r="UPS42" s="0"/>
      <c r="UPT42" s="0"/>
      <c r="UPU42" s="0"/>
      <c r="UPV42" s="0"/>
      <c r="UPW42" s="0"/>
      <c r="UPX42" s="0"/>
      <c r="UPY42" s="0"/>
      <c r="UPZ42" s="0"/>
      <c r="UQA42" s="0"/>
      <c r="UQB42" s="0"/>
      <c r="UQC42" s="0"/>
      <c r="UQD42" s="0"/>
      <c r="UQE42" s="0"/>
      <c r="UQF42" s="0"/>
      <c r="UQG42" s="0"/>
      <c r="UQH42" s="0"/>
      <c r="UQI42" s="0"/>
      <c r="UQJ42" s="0"/>
      <c r="UQK42" s="0"/>
      <c r="UQL42" s="0"/>
      <c r="UQM42" s="0"/>
      <c r="UQN42" s="0"/>
      <c r="UQO42" s="0"/>
      <c r="UQP42" s="0"/>
      <c r="UQQ42" s="0"/>
      <c r="UQR42" s="0"/>
      <c r="UQS42" s="0"/>
      <c r="UQT42" s="0"/>
      <c r="UQU42" s="0"/>
      <c r="UQV42" s="0"/>
      <c r="UQW42" s="0"/>
      <c r="UQX42" s="0"/>
      <c r="UQY42" s="0"/>
      <c r="UQZ42" s="0"/>
      <c r="URA42" s="0"/>
      <c r="URB42" s="0"/>
      <c r="URC42" s="0"/>
      <c r="URD42" s="0"/>
      <c r="URE42" s="0"/>
      <c r="URF42" s="0"/>
      <c r="URG42" s="0"/>
      <c r="URH42" s="0"/>
      <c r="URI42" s="0"/>
      <c r="URJ42" s="0"/>
      <c r="URK42" s="0"/>
      <c r="URL42" s="0"/>
      <c r="URM42" s="0"/>
      <c r="URN42" s="0"/>
      <c r="URO42" s="0"/>
      <c r="URP42" s="0"/>
      <c r="URQ42" s="0"/>
      <c r="URR42" s="0"/>
      <c r="URS42" s="0"/>
      <c r="URT42" s="0"/>
      <c r="URU42" s="0"/>
      <c r="URV42" s="0"/>
      <c r="URW42" s="0"/>
      <c r="URX42" s="0"/>
      <c r="URY42" s="0"/>
      <c r="URZ42" s="0"/>
      <c r="USA42" s="0"/>
      <c r="USB42" s="0"/>
      <c r="USC42" s="0"/>
      <c r="USD42" s="0"/>
      <c r="USE42" s="0"/>
      <c r="USF42" s="0"/>
      <c r="USG42" s="0"/>
      <c r="USH42" s="0"/>
      <c r="USI42" s="0"/>
      <c r="USJ42" s="0"/>
      <c r="USK42" s="0"/>
      <c r="USL42" s="0"/>
      <c r="USM42" s="0"/>
      <c r="USN42" s="0"/>
      <c r="USO42" s="0"/>
      <c r="USP42" s="0"/>
      <c r="USQ42" s="0"/>
      <c r="USR42" s="0"/>
      <c r="USS42" s="0"/>
      <c r="UST42" s="0"/>
      <c r="USU42" s="0"/>
      <c r="USV42" s="0"/>
      <c r="USW42" s="0"/>
      <c r="USX42" s="0"/>
      <c r="USY42" s="0"/>
      <c r="USZ42" s="0"/>
      <c r="UTA42" s="0"/>
      <c r="UTB42" s="0"/>
      <c r="UTC42" s="0"/>
      <c r="UTD42" s="0"/>
      <c r="UTE42" s="0"/>
      <c r="UTF42" s="0"/>
      <c r="UTG42" s="0"/>
      <c r="UTH42" s="0"/>
      <c r="UTI42" s="0"/>
      <c r="UTJ42" s="0"/>
      <c r="UTK42" s="0"/>
      <c r="UTL42" s="0"/>
      <c r="UTM42" s="0"/>
      <c r="UTN42" s="0"/>
      <c r="UTO42" s="0"/>
      <c r="UTP42" s="0"/>
      <c r="UTQ42" s="0"/>
      <c r="UTR42" s="0"/>
      <c r="UTS42" s="0"/>
      <c r="UTT42" s="0"/>
      <c r="UTU42" s="0"/>
      <c r="UTV42" s="0"/>
      <c r="UTW42" s="0"/>
      <c r="UTX42" s="0"/>
      <c r="UTY42" s="0"/>
      <c r="UTZ42" s="0"/>
      <c r="UUA42" s="0"/>
      <c r="UUB42" s="0"/>
      <c r="UUC42" s="0"/>
      <c r="UUD42" s="0"/>
      <c r="UUE42" s="0"/>
      <c r="UUF42" s="0"/>
      <c r="UUG42" s="0"/>
      <c r="UUH42" s="0"/>
      <c r="UUI42" s="0"/>
      <c r="UUJ42" s="0"/>
      <c r="UUK42" s="0"/>
      <c r="UUL42" s="0"/>
      <c r="UUM42" s="0"/>
      <c r="UUN42" s="0"/>
      <c r="UUO42" s="0"/>
      <c r="UUP42" s="0"/>
      <c r="UUQ42" s="0"/>
      <c r="UUR42" s="0"/>
      <c r="UUS42" s="0"/>
      <c r="UUT42" s="0"/>
      <c r="UUU42" s="0"/>
      <c r="UUV42" s="0"/>
      <c r="UUW42" s="0"/>
      <c r="UUX42" s="0"/>
      <c r="UUY42" s="0"/>
      <c r="UUZ42" s="0"/>
      <c r="UVA42" s="0"/>
      <c r="UVB42" s="0"/>
      <c r="UVC42" s="0"/>
      <c r="UVD42" s="0"/>
      <c r="UVE42" s="0"/>
      <c r="UVF42" s="0"/>
      <c r="UVG42" s="0"/>
      <c r="UVH42" s="0"/>
      <c r="UVI42" s="0"/>
      <c r="UVJ42" s="0"/>
      <c r="UVK42" s="0"/>
      <c r="UVL42" s="0"/>
      <c r="UVM42" s="0"/>
      <c r="UVN42" s="0"/>
      <c r="UVO42" s="0"/>
      <c r="UVP42" s="0"/>
      <c r="UVQ42" s="0"/>
      <c r="UVR42" s="0"/>
      <c r="UVS42" s="0"/>
      <c r="UVT42" s="0"/>
      <c r="UVU42" s="0"/>
      <c r="UVV42" s="0"/>
      <c r="UVW42" s="0"/>
      <c r="UVX42" s="0"/>
      <c r="UVY42" s="0"/>
      <c r="UVZ42" s="0"/>
      <c r="UWA42" s="0"/>
      <c r="UWB42" s="0"/>
      <c r="UWC42" s="0"/>
      <c r="UWD42" s="0"/>
      <c r="UWE42" s="0"/>
      <c r="UWF42" s="0"/>
      <c r="UWG42" s="0"/>
      <c r="UWH42" s="0"/>
      <c r="UWI42" s="0"/>
      <c r="UWJ42" s="0"/>
      <c r="UWK42" s="0"/>
      <c r="UWL42" s="0"/>
      <c r="UWM42" s="0"/>
      <c r="UWN42" s="0"/>
      <c r="UWO42" s="0"/>
      <c r="UWP42" s="0"/>
      <c r="UWQ42" s="0"/>
      <c r="UWR42" s="0"/>
      <c r="UWS42" s="0"/>
      <c r="UWT42" s="0"/>
      <c r="UWU42" s="0"/>
      <c r="UWV42" s="0"/>
      <c r="UWW42" s="0"/>
      <c r="UWX42" s="0"/>
      <c r="UWY42" s="0"/>
      <c r="UWZ42" s="0"/>
      <c r="UXA42" s="0"/>
      <c r="UXB42" s="0"/>
      <c r="UXC42" s="0"/>
      <c r="UXD42" s="0"/>
      <c r="UXE42" s="0"/>
      <c r="UXF42" s="0"/>
      <c r="UXG42" s="0"/>
      <c r="UXH42" s="0"/>
      <c r="UXI42" s="0"/>
      <c r="UXJ42" s="0"/>
      <c r="UXK42" s="0"/>
      <c r="UXL42" s="0"/>
      <c r="UXM42" s="0"/>
      <c r="UXN42" s="0"/>
      <c r="UXO42" s="0"/>
      <c r="UXP42" s="0"/>
      <c r="UXQ42" s="0"/>
      <c r="UXR42" s="0"/>
      <c r="UXS42" s="0"/>
      <c r="UXT42" s="0"/>
      <c r="UXU42" s="0"/>
      <c r="UXV42" s="0"/>
      <c r="UXW42" s="0"/>
      <c r="UXX42" s="0"/>
      <c r="UXY42" s="0"/>
      <c r="UXZ42" s="0"/>
      <c r="UYA42" s="0"/>
      <c r="UYB42" s="0"/>
      <c r="UYC42" s="0"/>
      <c r="UYD42" s="0"/>
      <c r="UYE42" s="0"/>
      <c r="UYF42" s="0"/>
      <c r="UYG42" s="0"/>
      <c r="UYH42" s="0"/>
      <c r="UYI42" s="0"/>
      <c r="UYJ42" s="0"/>
      <c r="UYK42" s="0"/>
      <c r="UYL42" s="0"/>
      <c r="UYM42" s="0"/>
      <c r="UYN42" s="0"/>
      <c r="UYO42" s="0"/>
      <c r="UYP42" s="0"/>
      <c r="UYQ42" s="0"/>
      <c r="UYR42" s="0"/>
      <c r="UYS42" s="0"/>
      <c r="UYT42" s="0"/>
      <c r="UYU42" s="0"/>
      <c r="UYV42" s="0"/>
      <c r="UYW42" s="0"/>
      <c r="UYX42" s="0"/>
      <c r="UYY42" s="0"/>
      <c r="UYZ42" s="0"/>
      <c r="UZA42" s="0"/>
      <c r="UZB42" s="0"/>
      <c r="UZC42" s="0"/>
      <c r="UZD42" s="0"/>
      <c r="UZE42" s="0"/>
      <c r="UZF42" s="0"/>
      <c r="UZG42" s="0"/>
      <c r="UZH42" s="0"/>
      <c r="UZI42" s="0"/>
      <c r="UZJ42" s="0"/>
      <c r="UZK42" s="0"/>
      <c r="UZL42" s="0"/>
      <c r="UZM42" s="0"/>
      <c r="UZN42" s="0"/>
      <c r="UZO42" s="0"/>
      <c r="UZP42" s="0"/>
      <c r="UZQ42" s="0"/>
      <c r="UZR42" s="0"/>
      <c r="UZS42" s="0"/>
      <c r="UZT42" s="0"/>
      <c r="UZU42" s="0"/>
      <c r="UZV42" s="0"/>
      <c r="UZW42" s="0"/>
      <c r="UZX42" s="0"/>
      <c r="UZY42" s="0"/>
      <c r="UZZ42" s="0"/>
      <c r="VAA42" s="0"/>
      <c r="VAB42" s="0"/>
      <c r="VAC42" s="0"/>
      <c r="VAD42" s="0"/>
      <c r="VAE42" s="0"/>
      <c r="VAF42" s="0"/>
      <c r="VAG42" s="0"/>
      <c r="VAH42" s="0"/>
      <c r="VAI42" s="0"/>
      <c r="VAJ42" s="0"/>
      <c r="VAK42" s="0"/>
      <c r="VAL42" s="0"/>
      <c r="VAM42" s="0"/>
      <c r="VAN42" s="0"/>
      <c r="VAO42" s="0"/>
      <c r="VAP42" s="0"/>
      <c r="VAQ42" s="0"/>
      <c r="VAR42" s="0"/>
      <c r="VAS42" s="0"/>
      <c r="VAT42" s="0"/>
      <c r="VAU42" s="0"/>
      <c r="VAV42" s="0"/>
      <c r="VAW42" s="0"/>
      <c r="VAX42" s="0"/>
      <c r="VAY42" s="0"/>
      <c r="VAZ42" s="0"/>
      <c r="VBA42" s="0"/>
      <c r="VBB42" s="0"/>
      <c r="VBC42" s="0"/>
      <c r="VBD42" s="0"/>
      <c r="VBE42" s="0"/>
      <c r="VBF42" s="0"/>
      <c r="VBG42" s="0"/>
      <c r="VBH42" s="0"/>
      <c r="VBI42" s="0"/>
      <c r="VBJ42" s="0"/>
      <c r="VBK42" s="0"/>
      <c r="VBL42" s="0"/>
      <c r="VBM42" s="0"/>
      <c r="VBN42" s="0"/>
      <c r="VBO42" s="0"/>
      <c r="VBP42" s="0"/>
      <c r="VBQ42" s="0"/>
      <c r="VBR42" s="0"/>
      <c r="VBS42" s="0"/>
      <c r="VBT42" s="0"/>
      <c r="VBU42" s="0"/>
      <c r="VBV42" s="0"/>
      <c r="VBW42" s="0"/>
      <c r="VBX42" s="0"/>
      <c r="VBY42" s="0"/>
      <c r="VBZ42" s="0"/>
      <c r="VCA42" s="0"/>
      <c r="VCB42" s="0"/>
      <c r="VCC42" s="0"/>
      <c r="VCD42" s="0"/>
      <c r="VCE42" s="0"/>
      <c r="VCF42" s="0"/>
      <c r="VCG42" s="0"/>
      <c r="VCH42" s="0"/>
      <c r="VCI42" s="0"/>
      <c r="VCJ42" s="0"/>
      <c r="VCK42" s="0"/>
      <c r="VCL42" s="0"/>
      <c r="VCM42" s="0"/>
      <c r="VCN42" s="0"/>
      <c r="VCO42" s="0"/>
      <c r="VCP42" s="0"/>
      <c r="VCQ42" s="0"/>
      <c r="VCR42" s="0"/>
      <c r="VCS42" s="0"/>
      <c r="VCT42" s="0"/>
      <c r="VCU42" s="0"/>
      <c r="VCV42" s="0"/>
      <c r="VCW42" s="0"/>
      <c r="VCX42" s="0"/>
      <c r="VCY42" s="0"/>
      <c r="VCZ42" s="0"/>
      <c r="VDA42" s="0"/>
      <c r="VDB42" s="0"/>
      <c r="VDC42" s="0"/>
      <c r="VDD42" s="0"/>
      <c r="VDE42" s="0"/>
      <c r="VDF42" s="0"/>
      <c r="VDG42" s="0"/>
      <c r="VDH42" s="0"/>
      <c r="VDI42" s="0"/>
      <c r="VDJ42" s="0"/>
      <c r="VDK42" s="0"/>
      <c r="VDL42" s="0"/>
      <c r="VDM42" s="0"/>
      <c r="VDN42" s="0"/>
      <c r="VDO42" s="0"/>
      <c r="VDP42" s="0"/>
      <c r="VDQ42" s="0"/>
      <c r="VDR42" s="0"/>
      <c r="VDS42" s="0"/>
      <c r="VDT42" s="0"/>
      <c r="VDU42" s="0"/>
      <c r="VDV42" s="0"/>
      <c r="VDW42" s="0"/>
      <c r="VDX42" s="0"/>
      <c r="VDY42" s="0"/>
      <c r="VDZ42" s="0"/>
      <c r="VEA42" s="0"/>
      <c r="VEB42" s="0"/>
      <c r="VEC42" s="0"/>
      <c r="VED42" s="0"/>
      <c r="VEE42" s="0"/>
      <c r="VEF42" s="0"/>
      <c r="VEG42" s="0"/>
      <c r="VEH42" s="0"/>
      <c r="VEI42" s="0"/>
      <c r="VEJ42" s="0"/>
      <c r="VEK42" s="0"/>
      <c r="VEL42" s="0"/>
      <c r="VEM42" s="0"/>
      <c r="VEN42" s="0"/>
      <c r="VEO42" s="0"/>
      <c r="VEP42" s="0"/>
      <c r="VEQ42" s="0"/>
      <c r="VER42" s="0"/>
      <c r="VES42" s="0"/>
      <c r="VET42" s="0"/>
      <c r="VEU42" s="0"/>
      <c r="VEV42" s="0"/>
      <c r="VEW42" s="0"/>
      <c r="VEX42" s="0"/>
      <c r="VEY42" s="0"/>
      <c r="VEZ42" s="0"/>
      <c r="VFA42" s="0"/>
      <c r="VFB42" s="0"/>
      <c r="VFC42" s="0"/>
      <c r="VFD42" s="0"/>
      <c r="VFE42" s="0"/>
      <c r="VFF42" s="0"/>
      <c r="VFG42" s="0"/>
      <c r="VFH42" s="0"/>
      <c r="VFI42" s="0"/>
      <c r="VFJ42" s="0"/>
      <c r="VFK42" s="0"/>
      <c r="VFL42" s="0"/>
      <c r="VFM42" s="0"/>
      <c r="VFN42" s="0"/>
      <c r="VFO42" s="0"/>
      <c r="VFP42" s="0"/>
      <c r="VFQ42" s="0"/>
      <c r="VFR42" s="0"/>
      <c r="VFS42" s="0"/>
      <c r="VFT42" s="0"/>
      <c r="VFU42" s="0"/>
      <c r="VFV42" s="0"/>
      <c r="VFW42" s="0"/>
      <c r="VFX42" s="0"/>
      <c r="VFY42" s="0"/>
      <c r="VFZ42" s="0"/>
      <c r="VGA42" s="0"/>
      <c r="VGB42" s="0"/>
      <c r="VGC42" s="0"/>
      <c r="VGD42" s="0"/>
      <c r="VGE42" s="0"/>
      <c r="VGF42" s="0"/>
      <c r="VGG42" s="0"/>
      <c r="VGH42" s="0"/>
      <c r="VGI42" s="0"/>
      <c r="VGJ42" s="0"/>
      <c r="VGK42" s="0"/>
      <c r="VGL42" s="0"/>
      <c r="VGM42" s="0"/>
      <c r="VGN42" s="0"/>
      <c r="VGO42" s="0"/>
      <c r="VGP42" s="0"/>
      <c r="VGQ42" s="0"/>
      <c r="VGR42" s="0"/>
      <c r="VGS42" s="0"/>
      <c r="VGT42" s="0"/>
      <c r="VGU42" s="0"/>
      <c r="VGV42" s="0"/>
      <c r="VGW42" s="0"/>
      <c r="VGX42" s="0"/>
      <c r="VGY42" s="0"/>
      <c r="VGZ42" s="0"/>
      <c r="VHA42" s="0"/>
      <c r="VHB42" s="0"/>
      <c r="VHC42" s="0"/>
      <c r="VHD42" s="0"/>
      <c r="VHE42" s="0"/>
      <c r="VHF42" s="0"/>
      <c r="VHG42" s="0"/>
      <c r="VHH42" s="0"/>
      <c r="VHI42" s="0"/>
      <c r="VHJ42" s="0"/>
      <c r="VHK42" s="0"/>
      <c r="VHL42" s="0"/>
      <c r="VHM42" s="0"/>
      <c r="VHN42" s="0"/>
      <c r="VHO42" s="0"/>
      <c r="VHP42" s="0"/>
      <c r="VHQ42" s="0"/>
      <c r="VHR42" s="0"/>
      <c r="VHS42" s="0"/>
      <c r="VHT42" s="0"/>
      <c r="VHU42" s="0"/>
      <c r="VHV42" s="0"/>
      <c r="VHW42" s="0"/>
      <c r="VHX42" s="0"/>
      <c r="VHY42" s="0"/>
      <c r="VHZ42" s="0"/>
      <c r="VIA42" s="0"/>
      <c r="VIB42" s="0"/>
      <c r="VIC42" s="0"/>
      <c r="VID42" s="0"/>
      <c r="VIE42" s="0"/>
      <c r="VIF42" s="0"/>
      <c r="VIG42" s="0"/>
      <c r="VIH42" s="0"/>
      <c r="VII42" s="0"/>
      <c r="VIJ42" s="0"/>
      <c r="VIK42" s="0"/>
      <c r="VIL42" s="0"/>
      <c r="VIM42" s="0"/>
      <c r="VIN42" s="0"/>
      <c r="VIO42" s="0"/>
      <c r="VIP42" s="0"/>
      <c r="VIQ42" s="0"/>
      <c r="VIR42" s="0"/>
      <c r="VIS42" s="0"/>
      <c r="VIT42" s="0"/>
      <c r="VIU42" s="0"/>
      <c r="VIV42" s="0"/>
      <c r="VIW42" s="0"/>
      <c r="VIX42" s="0"/>
      <c r="VIY42" s="0"/>
      <c r="VIZ42" s="0"/>
      <c r="VJA42" s="0"/>
      <c r="VJB42" s="0"/>
      <c r="VJC42" s="0"/>
      <c r="VJD42" s="0"/>
      <c r="VJE42" s="0"/>
      <c r="VJF42" s="0"/>
      <c r="VJG42" s="0"/>
      <c r="VJH42" s="0"/>
      <c r="VJI42" s="0"/>
      <c r="VJJ42" s="0"/>
      <c r="VJK42" s="0"/>
      <c r="VJL42" s="0"/>
      <c r="VJM42" s="0"/>
      <c r="VJN42" s="0"/>
      <c r="VJO42" s="0"/>
      <c r="VJP42" s="0"/>
      <c r="VJQ42" s="0"/>
      <c r="VJR42" s="0"/>
      <c r="VJS42" s="0"/>
      <c r="VJT42" s="0"/>
      <c r="VJU42" s="0"/>
      <c r="VJV42" s="0"/>
      <c r="VJW42" s="0"/>
      <c r="VJX42" s="0"/>
      <c r="VJY42" s="0"/>
      <c r="VJZ42" s="0"/>
      <c r="VKA42" s="0"/>
      <c r="VKB42" s="0"/>
      <c r="VKC42" s="0"/>
      <c r="VKD42" s="0"/>
      <c r="VKE42" s="0"/>
      <c r="VKF42" s="0"/>
      <c r="VKG42" s="0"/>
      <c r="VKH42" s="0"/>
      <c r="VKI42" s="0"/>
      <c r="VKJ42" s="0"/>
      <c r="VKK42" s="0"/>
      <c r="VKL42" s="0"/>
      <c r="VKM42" s="0"/>
      <c r="VKN42" s="0"/>
      <c r="VKO42" s="0"/>
      <c r="VKP42" s="0"/>
      <c r="VKQ42" s="0"/>
      <c r="VKR42" s="0"/>
      <c r="VKS42" s="0"/>
      <c r="VKT42" s="0"/>
      <c r="VKU42" s="0"/>
      <c r="VKV42" s="0"/>
      <c r="VKW42" s="0"/>
      <c r="VKX42" s="0"/>
      <c r="VKY42" s="0"/>
      <c r="VKZ42" s="0"/>
      <c r="VLA42" s="0"/>
      <c r="VLB42" s="0"/>
      <c r="VLC42" s="0"/>
      <c r="VLD42" s="0"/>
      <c r="VLE42" s="0"/>
      <c r="VLF42" s="0"/>
      <c r="VLG42" s="0"/>
      <c r="VLH42" s="0"/>
      <c r="VLI42" s="0"/>
      <c r="VLJ42" s="0"/>
      <c r="VLK42" s="0"/>
      <c r="VLL42" s="0"/>
      <c r="VLM42" s="0"/>
      <c r="VLN42" s="0"/>
      <c r="VLO42" s="0"/>
      <c r="VLP42" s="0"/>
      <c r="VLQ42" s="0"/>
      <c r="VLR42" s="0"/>
      <c r="VLS42" s="0"/>
      <c r="VLT42" s="0"/>
      <c r="VLU42" s="0"/>
      <c r="VLV42" s="0"/>
      <c r="VLW42" s="0"/>
      <c r="VLX42" s="0"/>
      <c r="VLY42" s="0"/>
      <c r="VLZ42" s="0"/>
      <c r="VMA42" s="0"/>
      <c r="VMB42" s="0"/>
      <c r="VMC42" s="0"/>
      <c r="VMD42" s="0"/>
      <c r="VME42" s="0"/>
      <c r="VMF42" s="0"/>
      <c r="VMG42" s="0"/>
      <c r="VMH42" s="0"/>
      <c r="VMI42" s="0"/>
      <c r="VMJ42" s="0"/>
      <c r="VMK42" s="0"/>
      <c r="VML42" s="0"/>
      <c r="VMM42" s="0"/>
      <c r="VMN42" s="0"/>
      <c r="VMO42" s="0"/>
      <c r="VMP42" s="0"/>
      <c r="VMQ42" s="0"/>
      <c r="VMR42" s="0"/>
      <c r="VMS42" s="0"/>
      <c r="VMT42" s="0"/>
      <c r="VMU42" s="0"/>
      <c r="VMV42" s="0"/>
      <c r="VMW42" s="0"/>
      <c r="VMX42" s="0"/>
      <c r="VMY42" s="0"/>
      <c r="VMZ42" s="0"/>
      <c r="VNA42" s="0"/>
      <c r="VNB42" s="0"/>
      <c r="VNC42" s="0"/>
      <c r="VND42" s="0"/>
      <c r="VNE42" s="0"/>
      <c r="VNF42" s="0"/>
      <c r="VNG42" s="0"/>
      <c r="VNH42" s="0"/>
      <c r="VNI42" s="0"/>
      <c r="VNJ42" s="0"/>
      <c r="VNK42" s="0"/>
      <c r="VNL42" s="0"/>
      <c r="VNM42" s="0"/>
      <c r="VNN42" s="0"/>
      <c r="VNO42" s="0"/>
      <c r="VNP42" s="0"/>
      <c r="VNQ42" s="0"/>
      <c r="VNR42" s="0"/>
      <c r="VNS42" s="0"/>
      <c r="VNT42" s="0"/>
      <c r="VNU42" s="0"/>
      <c r="VNV42" s="0"/>
      <c r="VNW42" s="0"/>
      <c r="VNX42" s="0"/>
      <c r="VNY42" s="0"/>
      <c r="VNZ42" s="0"/>
      <c r="VOA42" s="0"/>
      <c r="VOB42" s="0"/>
      <c r="VOC42" s="0"/>
      <c r="VOD42" s="0"/>
      <c r="VOE42" s="0"/>
      <c r="VOF42" s="0"/>
      <c r="VOG42" s="0"/>
      <c r="VOH42" s="0"/>
      <c r="VOI42" s="0"/>
      <c r="VOJ42" s="0"/>
      <c r="VOK42" s="0"/>
      <c r="VOL42" s="0"/>
      <c r="VOM42" s="0"/>
      <c r="VON42" s="0"/>
      <c r="VOO42" s="0"/>
      <c r="VOP42" s="0"/>
      <c r="VOQ42" s="0"/>
      <c r="VOR42" s="0"/>
      <c r="VOS42" s="0"/>
      <c r="VOT42" s="0"/>
      <c r="VOU42" s="0"/>
      <c r="VOV42" s="0"/>
      <c r="VOW42" s="0"/>
      <c r="VOX42" s="0"/>
      <c r="VOY42" s="0"/>
      <c r="VOZ42" s="0"/>
      <c r="VPA42" s="0"/>
      <c r="VPB42" s="0"/>
      <c r="VPC42" s="0"/>
      <c r="VPD42" s="0"/>
      <c r="VPE42" s="0"/>
      <c r="VPF42" s="0"/>
      <c r="VPG42" s="0"/>
      <c r="VPH42" s="0"/>
      <c r="VPI42" s="0"/>
      <c r="VPJ42" s="0"/>
      <c r="VPK42" s="0"/>
      <c r="VPL42" s="0"/>
      <c r="VPM42" s="0"/>
      <c r="VPN42" s="0"/>
      <c r="VPO42" s="0"/>
      <c r="VPP42" s="0"/>
      <c r="VPQ42" s="0"/>
      <c r="VPR42" s="0"/>
      <c r="VPS42" s="0"/>
      <c r="VPT42" s="0"/>
      <c r="VPU42" s="0"/>
      <c r="VPV42" s="0"/>
      <c r="VPW42" s="0"/>
      <c r="VPX42" s="0"/>
      <c r="VPY42" s="0"/>
      <c r="VPZ42" s="0"/>
      <c r="VQA42" s="0"/>
      <c r="VQB42" s="0"/>
      <c r="VQC42" s="0"/>
      <c r="VQD42" s="0"/>
      <c r="VQE42" s="0"/>
      <c r="VQF42" s="0"/>
      <c r="VQG42" s="0"/>
      <c r="VQH42" s="0"/>
      <c r="VQI42" s="0"/>
      <c r="VQJ42" s="0"/>
      <c r="VQK42" s="0"/>
      <c r="VQL42" s="0"/>
      <c r="VQM42" s="0"/>
      <c r="VQN42" s="0"/>
      <c r="VQO42" s="0"/>
      <c r="VQP42" s="0"/>
      <c r="VQQ42" s="0"/>
      <c r="VQR42" s="0"/>
      <c r="VQS42" s="0"/>
      <c r="VQT42" s="0"/>
      <c r="VQU42" s="0"/>
      <c r="VQV42" s="0"/>
      <c r="VQW42" s="0"/>
      <c r="VQX42" s="0"/>
      <c r="VQY42" s="0"/>
      <c r="VQZ42" s="0"/>
      <c r="VRA42" s="0"/>
      <c r="VRB42" s="0"/>
      <c r="VRC42" s="0"/>
      <c r="VRD42" s="0"/>
      <c r="VRE42" s="0"/>
      <c r="VRF42" s="0"/>
      <c r="VRG42" s="0"/>
      <c r="VRH42" s="0"/>
      <c r="VRI42" s="0"/>
      <c r="VRJ42" s="0"/>
      <c r="VRK42" s="0"/>
      <c r="VRL42" s="0"/>
      <c r="VRM42" s="0"/>
      <c r="VRN42" s="0"/>
      <c r="VRO42" s="0"/>
      <c r="VRP42" s="0"/>
      <c r="VRQ42" s="0"/>
      <c r="VRR42" s="0"/>
      <c r="VRS42" s="0"/>
      <c r="VRT42" s="0"/>
      <c r="VRU42" s="0"/>
      <c r="VRV42" s="0"/>
      <c r="VRW42" s="0"/>
      <c r="VRX42" s="0"/>
      <c r="VRY42" s="0"/>
      <c r="VRZ42" s="0"/>
      <c r="VSA42" s="0"/>
      <c r="VSB42" s="0"/>
      <c r="VSC42" s="0"/>
      <c r="VSD42" s="0"/>
      <c r="VSE42" s="0"/>
      <c r="VSF42" s="0"/>
      <c r="VSG42" s="0"/>
      <c r="VSH42" s="0"/>
      <c r="VSI42" s="0"/>
      <c r="VSJ42" s="0"/>
      <c r="VSK42" s="0"/>
      <c r="VSL42" s="0"/>
      <c r="VSM42" s="0"/>
      <c r="VSN42" s="0"/>
      <c r="VSO42" s="0"/>
      <c r="VSP42" s="0"/>
      <c r="VSQ42" s="0"/>
      <c r="VSR42" s="0"/>
      <c r="VSS42" s="0"/>
      <c r="VST42" s="0"/>
      <c r="VSU42" s="0"/>
      <c r="VSV42" s="0"/>
      <c r="VSW42" s="0"/>
      <c r="VSX42" s="0"/>
      <c r="VSY42" s="0"/>
      <c r="VSZ42" s="0"/>
      <c r="VTA42" s="0"/>
      <c r="VTB42" s="0"/>
      <c r="VTC42" s="0"/>
      <c r="VTD42" s="0"/>
      <c r="VTE42" s="0"/>
      <c r="VTF42" s="0"/>
      <c r="VTG42" s="0"/>
      <c r="VTH42" s="0"/>
      <c r="VTI42" s="0"/>
      <c r="VTJ42" s="0"/>
      <c r="VTK42" s="0"/>
      <c r="VTL42" s="0"/>
      <c r="VTM42" s="0"/>
      <c r="VTN42" s="0"/>
      <c r="VTO42" s="0"/>
      <c r="VTP42" s="0"/>
      <c r="VTQ42" s="0"/>
      <c r="VTR42" s="0"/>
      <c r="VTS42" s="0"/>
      <c r="VTT42" s="0"/>
      <c r="VTU42" s="0"/>
      <c r="VTV42" s="0"/>
      <c r="VTW42" s="0"/>
      <c r="VTX42" s="0"/>
      <c r="VTY42" s="0"/>
      <c r="VTZ42" s="0"/>
      <c r="VUA42" s="0"/>
      <c r="VUB42" s="0"/>
      <c r="VUC42" s="0"/>
      <c r="VUD42" s="0"/>
      <c r="VUE42" s="0"/>
      <c r="VUF42" s="0"/>
      <c r="VUG42" s="0"/>
      <c r="VUH42" s="0"/>
      <c r="VUI42" s="0"/>
      <c r="VUJ42" s="0"/>
      <c r="VUK42" s="0"/>
      <c r="VUL42" s="0"/>
      <c r="VUM42" s="0"/>
      <c r="VUN42" s="0"/>
      <c r="VUO42" s="0"/>
      <c r="VUP42" s="0"/>
      <c r="VUQ42" s="0"/>
      <c r="VUR42" s="0"/>
      <c r="VUS42" s="0"/>
      <c r="VUT42" s="0"/>
      <c r="VUU42" s="0"/>
      <c r="VUV42" s="0"/>
      <c r="VUW42" s="0"/>
      <c r="VUX42" s="0"/>
      <c r="VUY42" s="0"/>
      <c r="VUZ42" s="0"/>
      <c r="VVA42" s="0"/>
      <c r="VVB42" s="0"/>
      <c r="VVC42" s="0"/>
      <c r="VVD42" s="0"/>
      <c r="VVE42" s="0"/>
      <c r="VVF42" s="0"/>
      <c r="VVG42" s="0"/>
      <c r="VVH42" s="0"/>
      <c r="VVI42" s="0"/>
      <c r="VVJ42" s="0"/>
      <c r="VVK42" s="0"/>
      <c r="VVL42" s="0"/>
      <c r="VVM42" s="0"/>
      <c r="VVN42" s="0"/>
      <c r="VVO42" s="0"/>
      <c r="VVP42" s="0"/>
      <c r="VVQ42" s="0"/>
      <c r="VVR42" s="0"/>
      <c r="VVS42" s="0"/>
      <c r="VVT42" s="0"/>
      <c r="VVU42" s="0"/>
      <c r="VVV42" s="0"/>
      <c r="VVW42" s="0"/>
      <c r="VVX42" s="0"/>
      <c r="VVY42" s="0"/>
      <c r="VVZ42" s="0"/>
      <c r="VWA42" s="0"/>
      <c r="VWB42" s="0"/>
      <c r="VWC42" s="0"/>
      <c r="VWD42" s="0"/>
      <c r="VWE42" s="0"/>
      <c r="VWF42" s="0"/>
      <c r="VWG42" s="0"/>
      <c r="VWH42" s="0"/>
      <c r="VWI42" s="0"/>
      <c r="VWJ42" s="0"/>
      <c r="VWK42" s="0"/>
      <c r="VWL42" s="0"/>
      <c r="VWM42" s="0"/>
      <c r="VWN42" s="0"/>
      <c r="VWO42" s="0"/>
      <c r="VWP42" s="0"/>
      <c r="VWQ42" s="0"/>
      <c r="VWR42" s="0"/>
      <c r="VWS42" s="0"/>
      <c r="VWT42" s="0"/>
      <c r="VWU42" s="0"/>
      <c r="VWV42" s="0"/>
      <c r="VWW42" s="0"/>
      <c r="VWX42" s="0"/>
      <c r="VWY42" s="0"/>
      <c r="VWZ42" s="0"/>
      <c r="VXA42" s="0"/>
      <c r="VXB42" s="0"/>
      <c r="VXC42" s="0"/>
      <c r="VXD42" s="0"/>
      <c r="VXE42" s="0"/>
      <c r="VXF42" s="0"/>
      <c r="VXG42" s="0"/>
      <c r="VXH42" s="0"/>
      <c r="VXI42" s="0"/>
      <c r="VXJ42" s="0"/>
      <c r="VXK42" s="0"/>
      <c r="VXL42" s="0"/>
      <c r="VXM42" s="0"/>
      <c r="VXN42" s="0"/>
      <c r="VXO42" s="0"/>
      <c r="VXP42" s="0"/>
      <c r="VXQ42" s="0"/>
      <c r="VXR42" s="0"/>
      <c r="VXS42" s="0"/>
      <c r="VXT42" s="0"/>
      <c r="VXU42" s="0"/>
      <c r="VXV42" s="0"/>
      <c r="VXW42" s="0"/>
      <c r="VXX42" s="0"/>
      <c r="VXY42" s="0"/>
      <c r="VXZ42" s="0"/>
      <c r="VYA42" s="0"/>
      <c r="VYB42" s="0"/>
      <c r="VYC42" s="0"/>
      <c r="VYD42" s="0"/>
      <c r="VYE42" s="0"/>
      <c r="VYF42" s="0"/>
      <c r="VYG42" s="0"/>
      <c r="VYH42" s="0"/>
      <c r="VYI42" s="0"/>
      <c r="VYJ42" s="0"/>
      <c r="VYK42" s="0"/>
      <c r="VYL42" s="0"/>
      <c r="VYM42" s="0"/>
      <c r="VYN42" s="0"/>
      <c r="VYO42" s="0"/>
      <c r="VYP42" s="0"/>
      <c r="VYQ42" s="0"/>
      <c r="VYR42" s="0"/>
      <c r="VYS42" s="0"/>
      <c r="VYT42" s="0"/>
      <c r="VYU42" s="0"/>
      <c r="VYV42" s="0"/>
      <c r="VYW42" s="0"/>
      <c r="VYX42" s="0"/>
      <c r="VYY42" s="0"/>
      <c r="VYZ42" s="0"/>
      <c r="VZA42" s="0"/>
      <c r="VZB42" s="0"/>
      <c r="VZC42" s="0"/>
      <c r="VZD42" s="0"/>
      <c r="VZE42" s="0"/>
      <c r="VZF42" s="0"/>
      <c r="VZG42" s="0"/>
      <c r="VZH42" s="0"/>
      <c r="VZI42" s="0"/>
      <c r="VZJ42" s="0"/>
      <c r="VZK42" s="0"/>
      <c r="VZL42" s="0"/>
      <c r="VZM42" s="0"/>
      <c r="VZN42" s="0"/>
      <c r="VZO42" s="0"/>
      <c r="VZP42" s="0"/>
      <c r="VZQ42" s="0"/>
      <c r="VZR42" s="0"/>
      <c r="VZS42" s="0"/>
      <c r="VZT42" s="0"/>
      <c r="VZU42" s="0"/>
      <c r="VZV42" s="0"/>
      <c r="VZW42" s="0"/>
      <c r="VZX42" s="0"/>
      <c r="VZY42" s="0"/>
      <c r="VZZ42" s="0"/>
      <c r="WAA42" s="0"/>
      <c r="WAB42" s="0"/>
      <c r="WAC42" s="0"/>
      <c r="WAD42" s="0"/>
      <c r="WAE42" s="0"/>
      <c r="WAF42" s="0"/>
      <c r="WAG42" s="0"/>
      <c r="WAH42" s="0"/>
      <c r="WAI42" s="0"/>
      <c r="WAJ42" s="0"/>
      <c r="WAK42" s="0"/>
      <c r="WAL42" s="0"/>
      <c r="WAM42" s="0"/>
      <c r="WAN42" s="0"/>
      <c r="WAO42" s="0"/>
      <c r="WAP42" s="0"/>
      <c r="WAQ42" s="0"/>
      <c r="WAR42" s="0"/>
      <c r="WAS42" s="0"/>
      <c r="WAT42" s="0"/>
      <c r="WAU42" s="0"/>
      <c r="WAV42" s="0"/>
      <c r="WAW42" s="0"/>
      <c r="WAX42" s="0"/>
      <c r="WAY42" s="0"/>
      <c r="WAZ42" s="0"/>
      <c r="WBA42" s="0"/>
      <c r="WBB42" s="0"/>
      <c r="WBC42" s="0"/>
      <c r="WBD42" s="0"/>
      <c r="WBE42" s="0"/>
      <c r="WBF42" s="0"/>
      <c r="WBG42" s="0"/>
      <c r="WBH42" s="0"/>
      <c r="WBI42" s="0"/>
      <c r="WBJ42" s="0"/>
      <c r="WBK42" s="0"/>
      <c r="WBL42" s="0"/>
      <c r="WBM42" s="0"/>
      <c r="WBN42" s="0"/>
      <c r="WBO42" s="0"/>
      <c r="WBP42" s="0"/>
      <c r="WBQ42" s="0"/>
      <c r="WBR42" s="0"/>
      <c r="WBS42" s="0"/>
      <c r="WBT42" s="0"/>
      <c r="WBU42" s="0"/>
      <c r="WBV42" s="0"/>
      <c r="WBW42" s="0"/>
      <c r="WBX42" s="0"/>
      <c r="WBY42" s="0"/>
      <c r="WBZ42" s="0"/>
      <c r="WCA42" s="0"/>
      <c r="WCB42" s="0"/>
      <c r="WCC42" s="0"/>
      <c r="WCD42" s="0"/>
      <c r="WCE42" s="0"/>
      <c r="WCF42" s="0"/>
      <c r="WCG42" s="0"/>
      <c r="WCH42" s="0"/>
      <c r="WCI42" s="0"/>
      <c r="WCJ42" s="0"/>
      <c r="WCK42" s="0"/>
      <c r="WCL42" s="0"/>
      <c r="WCM42" s="0"/>
      <c r="WCN42" s="0"/>
      <c r="WCO42" s="0"/>
      <c r="WCP42" s="0"/>
      <c r="WCQ42" s="0"/>
      <c r="WCR42" s="0"/>
      <c r="WCS42" s="0"/>
      <c r="WCT42" s="0"/>
      <c r="WCU42" s="0"/>
      <c r="WCV42" s="0"/>
      <c r="WCW42" s="0"/>
      <c r="WCX42" s="0"/>
      <c r="WCY42" s="0"/>
      <c r="WCZ42" s="0"/>
      <c r="WDA42" s="0"/>
      <c r="WDB42" s="0"/>
      <c r="WDC42" s="0"/>
      <c r="WDD42" s="0"/>
      <c r="WDE42" s="0"/>
      <c r="WDF42" s="0"/>
      <c r="WDG42" s="0"/>
      <c r="WDH42" s="0"/>
      <c r="WDI42" s="0"/>
      <c r="WDJ42" s="0"/>
      <c r="WDK42" s="0"/>
      <c r="WDL42" s="0"/>
      <c r="WDM42" s="0"/>
      <c r="WDN42" s="0"/>
      <c r="WDO42" s="0"/>
      <c r="WDP42" s="0"/>
      <c r="WDQ42" s="0"/>
      <c r="WDR42" s="0"/>
      <c r="WDS42" s="0"/>
      <c r="WDT42" s="0"/>
      <c r="WDU42" s="0"/>
      <c r="WDV42" s="0"/>
      <c r="WDW42" s="0"/>
      <c r="WDX42" s="0"/>
      <c r="WDY42" s="0"/>
      <c r="WDZ42" s="0"/>
      <c r="WEA42" s="0"/>
      <c r="WEB42" s="0"/>
      <c r="WEC42" s="0"/>
      <c r="WED42" s="0"/>
      <c r="WEE42" s="0"/>
      <c r="WEF42" s="0"/>
      <c r="WEG42" s="0"/>
      <c r="WEH42" s="0"/>
      <c r="WEI42" s="0"/>
      <c r="WEJ42" s="0"/>
      <c r="WEK42" s="0"/>
      <c r="WEL42" s="0"/>
      <c r="WEM42" s="0"/>
      <c r="WEN42" s="0"/>
      <c r="WEO42" s="0"/>
      <c r="WEP42" s="0"/>
      <c r="WEQ42" s="0"/>
      <c r="WER42" s="0"/>
      <c r="WES42" s="0"/>
      <c r="WET42" s="0"/>
      <c r="WEU42" s="0"/>
      <c r="WEV42" s="0"/>
      <c r="WEW42" s="0"/>
      <c r="WEX42" s="0"/>
      <c r="WEY42" s="0"/>
      <c r="WEZ42" s="0"/>
      <c r="WFA42" s="0"/>
      <c r="WFB42" s="0"/>
      <c r="WFC42" s="0"/>
      <c r="WFD42" s="0"/>
      <c r="WFE42" s="0"/>
      <c r="WFF42" s="0"/>
      <c r="WFG42" s="0"/>
      <c r="WFH42" s="0"/>
      <c r="WFI42" s="0"/>
      <c r="WFJ42" s="0"/>
      <c r="WFK42" s="0"/>
      <c r="WFL42" s="0"/>
      <c r="WFM42" s="0"/>
      <c r="WFN42" s="0"/>
      <c r="WFO42" s="0"/>
      <c r="WFP42" s="0"/>
      <c r="WFQ42" s="0"/>
      <c r="WFR42" s="0"/>
      <c r="WFS42" s="0"/>
      <c r="WFT42" s="0"/>
      <c r="WFU42" s="0"/>
      <c r="WFV42" s="0"/>
      <c r="WFW42" s="0"/>
      <c r="WFX42" s="0"/>
      <c r="WFY42" s="0"/>
      <c r="WFZ42" s="0"/>
      <c r="WGA42" s="0"/>
      <c r="WGB42" s="0"/>
      <c r="WGC42" s="0"/>
      <c r="WGD42" s="0"/>
      <c r="WGE42" s="0"/>
      <c r="WGF42" s="0"/>
      <c r="WGG42" s="0"/>
      <c r="WGH42" s="0"/>
      <c r="WGI42" s="0"/>
      <c r="WGJ42" s="0"/>
      <c r="WGK42" s="0"/>
      <c r="WGL42" s="0"/>
      <c r="WGM42" s="0"/>
      <c r="WGN42" s="0"/>
      <c r="WGO42" s="0"/>
      <c r="WGP42" s="0"/>
      <c r="WGQ42" s="0"/>
      <c r="WGR42" s="0"/>
      <c r="WGS42" s="0"/>
      <c r="WGT42" s="0"/>
      <c r="WGU42" s="0"/>
      <c r="WGV42" s="0"/>
      <c r="WGW42" s="0"/>
      <c r="WGX42" s="0"/>
      <c r="WGY42" s="0"/>
      <c r="WGZ42" s="0"/>
      <c r="WHA42" s="0"/>
      <c r="WHB42" s="0"/>
      <c r="WHC42" s="0"/>
      <c r="WHD42" s="0"/>
      <c r="WHE42" s="0"/>
      <c r="WHF42" s="0"/>
      <c r="WHG42" s="0"/>
      <c r="WHH42" s="0"/>
      <c r="WHI42" s="0"/>
      <c r="WHJ42" s="0"/>
      <c r="WHK42" s="0"/>
      <c r="WHL42" s="0"/>
      <c r="WHM42" s="0"/>
      <c r="WHN42" s="0"/>
      <c r="WHO42" s="0"/>
      <c r="WHP42" s="0"/>
      <c r="WHQ42" s="0"/>
      <c r="WHR42" s="0"/>
      <c r="WHS42" s="0"/>
      <c r="WHT42" s="0"/>
      <c r="WHU42" s="0"/>
      <c r="WHV42" s="0"/>
      <c r="WHW42" s="0"/>
      <c r="WHX42" s="0"/>
      <c r="WHY42" s="0"/>
      <c r="WHZ42" s="0"/>
      <c r="WIA42" s="0"/>
      <c r="WIB42" s="0"/>
      <c r="WIC42" s="0"/>
      <c r="WID42" s="0"/>
      <c r="WIE42" s="0"/>
      <c r="WIF42" s="0"/>
      <c r="WIG42" s="0"/>
      <c r="WIH42" s="0"/>
      <c r="WII42" s="0"/>
      <c r="WIJ42" s="0"/>
      <c r="WIK42" s="0"/>
      <c r="WIL42" s="0"/>
      <c r="WIM42" s="0"/>
      <c r="WIN42" s="0"/>
      <c r="WIO42" s="0"/>
      <c r="WIP42" s="0"/>
      <c r="WIQ42" s="0"/>
      <c r="WIR42" s="0"/>
      <c r="WIS42" s="0"/>
      <c r="WIT42" s="0"/>
      <c r="WIU42" s="0"/>
      <c r="WIV42" s="0"/>
      <c r="WIW42" s="0"/>
      <c r="WIX42" s="0"/>
      <c r="WIY42" s="0"/>
      <c r="WIZ42" s="0"/>
      <c r="WJA42" s="0"/>
      <c r="WJB42" s="0"/>
      <c r="WJC42" s="0"/>
      <c r="WJD42" s="0"/>
      <c r="WJE42" s="0"/>
      <c r="WJF42" s="0"/>
      <c r="WJG42" s="0"/>
      <c r="WJH42" s="0"/>
      <c r="WJI42" s="0"/>
      <c r="WJJ42" s="0"/>
      <c r="WJK42" s="0"/>
      <c r="WJL42" s="0"/>
      <c r="WJM42" s="0"/>
      <c r="WJN42" s="0"/>
      <c r="WJO42" s="0"/>
      <c r="WJP42" s="0"/>
      <c r="WJQ42" s="0"/>
      <c r="WJR42" s="0"/>
      <c r="WJS42" s="0"/>
      <c r="WJT42" s="0"/>
      <c r="WJU42" s="0"/>
      <c r="WJV42" s="0"/>
      <c r="WJW42" s="0"/>
      <c r="WJX42" s="0"/>
      <c r="WJY42" s="0"/>
      <c r="WJZ42" s="0"/>
      <c r="WKA42" s="0"/>
      <c r="WKB42" s="0"/>
      <c r="WKC42" s="0"/>
      <c r="WKD42" s="0"/>
      <c r="WKE42" s="0"/>
      <c r="WKF42" s="0"/>
      <c r="WKG42" s="0"/>
      <c r="WKH42" s="0"/>
      <c r="WKI42" s="0"/>
      <c r="WKJ42" s="0"/>
      <c r="WKK42" s="0"/>
      <c r="WKL42" s="0"/>
      <c r="WKM42" s="0"/>
      <c r="WKN42" s="0"/>
      <c r="WKO42" s="0"/>
      <c r="WKP42" s="0"/>
      <c r="WKQ42" s="0"/>
      <c r="WKR42" s="0"/>
      <c r="WKS42" s="0"/>
      <c r="WKT42" s="0"/>
      <c r="WKU42" s="0"/>
      <c r="WKV42" s="0"/>
      <c r="WKW42" s="0"/>
      <c r="WKX42" s="0"/>
      <c r="WKY42" s="0"/>
      <c r="WKZ42" s="0"/>
      <c r="WLA42" s="0"/>
      <c r="WLB42" s="0"/>
      <c r="WLC42" s="0"/>
      <c r="WLD42" s="0"/>
      <c r="WLE42" s="0"/>
      <c r="WLF42" s="0"/>
      <c r="WLG42" s="0"/>
      <c r="WLH42" s="0"/>
      <c r="WLI42" s="0"/>
      <c r="WLJ42" s="0"/>
      <c r="WLK42" s="0"/>
      <c r="WLL42" s="0"/>
      <c r="WLM42" s="0"/>
      <c r="WLN42" s="0"/>
      <c r="WLO42" s="0"/>
      <c r="WLP42" s="0"/>
      <c r="WLQ42" s="0"/>
      <c r="WLR42" s="0"/>
      <c r="WLS42" s="0"/>
      <c r="WLT42" s="0"/>
      <c r="WLU42" s="0"/>
      <c r="WLV42" s="0"/>
      <c r="WLW42" s="0"/>
      <c r="WLX42" s="0"/>
      <c r="WLY42" s="0"/>
      <c r="WLZ42" s="0"/>
      <c r="WMA42" s="0"/>
      <c r="WMB42" s="0"/>
      <c r="WMC42" s="0"/>
      <c r="WMD42" s="0"/>
      <c r="WME42" s="0"/>
      <c r="WMF42" s="0"/>
      <c r="WMG42" s="0"/>
      <c r="WMH42" s="0"/>
      <c r="WMI42" s="0"/>
      <c r="WMJ42" s="0"/>
      <c r="WMK42" s="0"/>
      <c r="WML42" s="0"/>
      <c r="WMM42" s="0"/>
      <c r="WMN42" s="0"/>
      <c r="WMO42" s="0"/>
      <c r="WMP42" s="0"/>
      <c r="WMQ42" s="0"/>
      <c r="WMR42" s="0"/>
      <c r="WMS42" s="0"/>
      <c r="WMT42" s="0"/>
      <c r="WMU42" s="0"/>
      <c r="WMV42" s="0"/>
      <c r="WMW42" s="0"/>
      <c r="WMX42" s="0"/>
      <c r="WMY42" s="0"/>
      <c r="WMZ42" s="0"/>
      <c r="WNA42" s="0"/>
      <c r="WNB42" s="0"/>
      <c r="WNC42" s="0"/>
      <c r="WND42" s="0"/>
      <c r="WNE42" s="0"/>
      <c r="WNF42" s="0"/>
      <c r="WNG42" s="0"/>
      <c r="WNH42" s="0"/>
      <c r="WNI42" s="0"/>
      <c r="WNJ42" s="0"/>
      <c r="WNK42" s="0"/>
      <c r="WNL42" s="0"/>
      <c r="WNM42" s="0"/>
      <c r="WNN42" s="0"/>
      <c r="WNO42" s="0"/>
      <c r="WNP42" s="0"/>
      <c r="WNQ42" s="0"/>
      <c r="WNR42" s="0"/>
      <c r="WNS42" s="0"/>
      <c r="WNT42" s="0"/>
      <c r="WNU42" s="0"/>
      <c r="WNV42" s="0"/>
      <c r="WNW42" s="0"/>
      <c r="WNX42" s="0"/>
      <c r="WNY42" s="0"/>
      <c r="WNZ42" s="0"/>
      <c r="WOA42" s="0"/>
      <c r="WOB42" s="0"/>
      <c r="WOC42" s="0"/>
      <c r="WOD42" s="0"/>
      <c r="WOE42" s="0"/>
      <c r="WOF42" s="0"/>
      <c r="WOG42" s="0"/>
      <c r="WOH42" s="0"/>
      <c r="WOI42" s="0"/>
      <c r="WOJ42" s="0"/>
      <c r="WOK42" s="0"/>
      <c r="WOL42" s="0"/>
      <c r="WOM42" s="0"/>
      <c r="WON42" s="0"/>
      <c r="WOO42" s="0"/>
      <c r="WOP42" s="0"/>
      <c r="WOQ42" s="0"/>
      <c r="WOR42" s="0"/>
      <c r="WOS42" s="0"/>
      <c r="WOT42" s="0"/>
      <c r="WOU42" s="0"/>
      <c r="WOV42" s="0"/>
      <c r="WOW42" s="0"/>
      <c r="WOX42" s="0"/>
      <c r="WOY42" s="0"/>
      <c r="WOZ42" s="0"/>
      <c r="WPA42" s="0"/>
      <c r="WPB42" s="0"/>
      <c r="WPC42" s="0"/>
      <c r="WPD42" s="0"/>
      <c r="WPE42" s="0"/>
      <c r="WPF42" s="0"/>
      <c r="WPG42" s="0"/>
      <c r="WPH42" s="0"/>
      <c r="WPI42" s="0"/>
      <c r="WPJ42" s="0"/>
      <c r="WPK42" s="0"/>
      <c r="WPL42" s="0"/>
      <c r="WPM42" s="0"/>
      <c r="WPN42" s="0"/>
      <c r="WPO42" s="0"/>
      <c r="WPP42" s="0"/>
      <c r="WPQ42" s="0"/>
      <c r="WPR42" s="0"/>
      <c r="WPS42" s="0"/>
      <c r="WPT42" s="0"/>
      <c r="WPU42" s="0"/>
      <c r="WPV42" s="0"/>
      <c r="WPW42" s="0"/>
      <c r="WPX42" s="0"/>
      <c r="WPY42" s="0"/>
      <c r="WPZ42" s="0"/>
      <c r="WQA42" s="0"/>
      <c r="WQB42" s="0"/>
      <c r="WQC42" s="0"/>
      <c r="WQD42" s="0"/>
      <c r="WQE42" s="0"/>
      <c r="WQF42" s="0"/>
      <c r="WQG42" s="0"/>
      <c r="WQH42" s="0"/>
      <c r="WQI42" s="0"/>
      <c r="WQJ42" s="0"/>
      <c r="WQK42" s="0"/>
      <c r="WQL42" s="0"/>
      <c r="WQM42" s="0"/>
      <c r="WQN42" s="0"/>
      <c r="WQO42" s="0"/>
      <c r="WQP42" s="0"/>
      <c r="WQQ42" s="0"/>
      <c r="WQR42" s="0"/>
      <c r="WQS42" s="0"/>
      <c r="WQT42" s="0"/>
      <c r="WQU42" s="0"/>
      <c r="WQV42" s="0"/>
      <c r="WQW42" s="0"/>
      <c r="WQX42" s="0"/>
      <c r="WQY42" s="0"/>
      <c r="WQZ42" s="0"/>
      <c r="WRA42" s="0"/>
      <c r="WRB42" s="0"/>
      <c r="WRC42" s="0"/>
      <c r="WRD42" s="0"/>
      <c r="WRE42" s="0"/>
      <c r="WRF42" s="0"/>
      <c r="WRG42" s="0"/>
      <c r="WRH42" s="0"/>
      <c r="WRI42" s="0"/>
      <c r="WRJ42" s="0"/>
      <c r="WRK42" s="0"/>
      <c r="WRL42" s="0"/>
      <c r="WRM42" s="0"/>
      <c r="WRN42" s="0"/>
      <c r="WRO42" s="0"/>
      <c r="WRP42" s="0"/>
      <c r="WRQ42" s="0"/>
      <c r="WRR42" s="0"/>
      <c r="WRS42" s="0"/>
      <c r="WRT42" s="0"/>
      <c r="WRU42" s="0"/>
      <c r="WRV42" s="0"/>
      <c r="WRW42" s="0"/>
      <c r="WRX42" s="0"/>
      <c r="WRY42" s="0"/>
      <c r="WRZ42" s="0"/>
      <c r="WSA42" s="0"/>
      <c r="WSB42" s="0"/>
      <c r="WSC42" s="0"/>
      <c r="WSD42" s="0"/>
      <c r="WSE42" s="0"/>
      <c r="WSF42" s="0"/>
      <c r="WSG42" s="0"/>
      <c r="WSH42" s="0"/>
      <c r="WSI42" s="0"/>
      <c r="WSJ42" s="0"/>
      <c r="WSK42" s="0"/>
      <c r="WSL42" s="0"/>
      <c r="WSM42" s="0"/>
      <c r="WSN42" s="0"/>
      <c r="WSO42" s="0"/>
      <c r="WSP42" s="0"/>
      <c r="WSQ42" s="0"/>
      <c r="WSR42" s="0"/>
      <c r="WSS42" s="0"/>
      <c r="WST42" s="0"/>
      <c r="WSU42" s="0"/>
      <c r="WSV42" s="0"/>
      <c r="WSW42" s="0"/>
      <c r="WSX42" s="0"/>
      <c r="WSY42" s="0"/>
      <c r="WSZ42" s="0"/>
      <c r="WTA42" s="0"/>
      <c r="WTB42" s="0"/>
      <c r="WTC42" s="0"/>
      <c r="WTD42" s="0"/>
      <c r="WTE42" s="0"/>
      <c r="WTF42" s="0"/>
      <c r="WTG42" s="0"/>
      <c r="WTH42" s="0"/>
      <c r="WTI42" s="0"/>
      <c r="WTJ42" s="0"/>
      <c r="WTK42" s="0"/>
      <c r="WTL42" s="0"/>
      <c r="WTM42" s="0"/>
      <c r="WTN42" s="0"/>
      <c r="WTO42" s="0"/>
      <c r="WTP42" s="0"/>
      <c r="WTQ42" s="0"/>
      <c r="WTR42" s="0"/>
      <c r="WTS42" s="0"/>
      <c r="WTT42" s="0"/>
      <c r="WTU42" s="0"/>
      <c r="WTV42" s="0"/>
      <c r="WTW42" s="0"/>
      <c r="WTX42" s="0"/>
      <c r="WTY42" s="0"/>
      <c r="WTZ42" s="0"/>
      <c r="WUA42" s="0"/>
      <c r="WUB42" s="0"/>
      <c r="WUC42" s="0"/>
      <c r="WUD42" s="0"/>
      <c r="WUE42" s="0"/>
      <c r="WUF42" s="0"/>
      <c r="WUG42" s="0"/>
      <c r="WUH42" s="0"/>
      <c r="WUI42" s="0"/>
      <c r="WUJ42" s="0"/>
      <c r="WUK42" s="0"/>
      <c r="WUL42" s="0"/>
      <c r="WUM42" s="0"/>
      <c r="WUN42" s="0"/>
      <c r="WUO42" s="0"/>
      <c r="WUP42" s="0"/>
      <c r="WUQ42" s="0"/>
      <c r="WUR42" s="0"/>
      <c r="WUS42" s="0"/>
      <c r="WUT42" s="0"/>
      <c r="WUU42" s="0"/>
      <c r="WUV42" s="0"/>
      <c r="WUW42" s="0"/>
      <c r="WUX42" s="0"/>
      <c r="WUY42" s="0"/>
      <c r="WUZ42" s="0"/>
      <c r="WVA42" s="0"/>
      <c r="WVB42" s="0"/>
      <c r="WVC42" s="0"/>
      <c r="WVD42" s="0"/>
      <c r="WVE42" s="0"/>
      <c r="WVF42" s="0"/>
      <c r="WVG42" s="0"/>
      <c r="WVH42" s="0"/>
      <c r="WVI42" s="0"/>
      <c r="WVJ42" s="0"/>
      <c r="WVK42" s="0"/>
      <c r="WVL42" s="0"/>
      <c r="WVM42" s="0"/>
      <c r="WVN42" s="0"/>
      <c r="WVO42" s="0"/>
      <c r="WVP42" s="0"/>
      <c r="WVQ42" s="0"/>
      <c r="WVR42" s="0"/>
      <c r="WVS42" s="0"/>
      <c r="WVT42" s="0"/>
      <c r="WVU42" s="0"/>
      <c r="WVV42" s="0"/>
      <c r="WVW42" s="0"/>
      <c r="WVX42" s="0"/>
      <c r="WVY42" s="0"/>
      <c r="WVZ42" s="0"/>
      <c r="WWA42" s="0"/>
      <c r="WWB42" s="0"/>
      <c r="WWC42" s="0"/>
      <c r="WWD42" s="0"/>
      <c r="WWE42" s="0"/>
      <c r="WWF42" s="0"/>
      <c r="WWG42" s="0"/>
      <c r="WWH42" s="0"/>
      <c r="WWI42" s="0"/>
      <c r="WWJ42" s="0"/>
      <c r="WWK42" s="0"/>
      <c r="WWL42" s="0"/>
      <c r="WWM42" s="0"/>
      <c r="WWN42" s="0"/>
      <c r="WWO42" s="0"/>
      <c r="WWP42" s="0"/>
      <c r="WWQ42" s="0"/>
      <c r="WWR42" s="0"/>
      <c r="WWS42" s="0"/>
      <c r="WWT42" s="0"/>
      <c r="WWU42" s="0"/>
      <c r="WWV42" s="0"/>
      <c r="WWW42" s="0"/>
      <c r="WWX42" s="0"/>
      <c r="WWY42" s="0"/>
      <c r="WWZ42" s="0"/>
      <c r="WXA42" s="0"/>
      <c r="WXB42" s="0"/>
      <c r="WXC42" s="0"/>
      <c r="WXD42" s="0"/>
      <c r="WXE42" s="0"/>
      <c r="WXF42" s="0"/>
      <c r="WXG42" s="0"/>
      <c r="WXH42" s="0"/>
      <c r="WXI42" s="0"/>
      <c r="WXJ42" s="0"/>
      <c r="WXK42" s="0"/>
      <c r="WXL42" s="0"/>
      <c r="WXM42" s="0"/>
      <c r="WXN42" s="0"/>
      <c r="WXO42" s="0"/>
      <c r="WXP42" s="0"/>
      <c r="WXQ42" s="0"/>
      <c r="WXR42" s="0"/>
      <c r="WXS42" s="0"/>
      <c r="WXT42" s="0"/>
      <c r="WXU42" s="0"/>
      <c r="WXV42" s="0"/>
      <c r="WXW42" s="0"/>
      <c r="WXX42" s="0"/>
      <c r="WXY42" s="0"/>
      <c r="WXZ42" s="0"/>
      <c r="WYA42" s="0"/>
      <c r="WYB42" s="0"/>
      <c r="WYC42" s="0"/>
      <c r="WYD42" s="0"/>
      <c r="WYE42" s="0"/>
      <c r="WYF42" s="0"/>
      <c r="WYG42" s="0"/>
      <c r="WYH42" s="0"/>
      <c r="WYI42" s="0"/>
      <c r="WYJ42" s="0"/>
      <c r="WYK42" s="0"/>
      <c r="WYL42" s="0"/>
      <c r="WYM42" s="0"/>
      <c r="WYN42" s="0"/>
      <c r="WYO42" s="0"/>
      <c r="WYP42" s="0"/>
      <c r="WYQ42" s="0"/>
      <c r="WYR42" s="0"/>
      <c r="WYS42" s="0"/>
      <c r="WYT42" s="0"/>
      <c r="WYU42" s="0"/>
      <c r="WYV42" s="0"/>
      <c r="WYW42" s="0"/>
      <c r="WYX42" s="0"/>
      <c r="WYY42" s="0"/>
      <c r="WYZ42" s="0"/>
      <c r="WZA42" s="0"/>
      <c r="WZB42" s="0"/>
      <c r="WZC42" s="0"/>
      <c r="WZD42" s="0"/>
      <c r="WZE42" s="0"/>
      <c r="WZF42" s="0"/>
      <c r="WZG42" s="0"/>
      <c r="WZH42" s="0"/>
      <c r="WZI42" s="0"/>
      <c r="WZJ42" s="0"/>
      <c r="WZK42" s="0"/>
      <c r="WZL42" s="0"/>
      <c r="WZM42" s="0"/>
      <c r="WZN42" s="0"/>
      <c r="WZO42" s="0"/>
      <c r="WZP42" s="0"/>
      <c r="WZQ42" s="0"/>
      <c r="WZR42" s="0"/>
      <c r="WZS42" s="0"/>
      <c r="WZT42" s="0"/>
      <c r="WZU42" s="0"/>
      <c r="WZV42" s="0"/>
      <c r="WZW42" s="0"/>
      <c r="WZX42" s="0"/>
      <c r="WZY42" s="0"/>
      <c r="WZZ42" s="0"/>
      <c r="XAA42" s="0"/>
      <c r="XAB42" s="0"/>
      <c r="XAC42" s="0"/>
      <c r="XAD42" s="0"/>
      <c r="XAE42" s="0"/>
      <c r="XAF42" s="0"/>
      <c r="XAG42" s="0"/>
      <c r="XAH42" s="0"/>
      <c r="XAI42" s="0"/>
      <c r="XAJ42" s="0"/>
      <c r="XAK42" s="0"/>
      <c r="XAL42" s="0"/>
      <c r="XAM42" s="0"/>
      <c r="XAN42" s="0"/>
      <c r="XAO42" s="0"/>
      <c r="XAP42" s="0"/>
      <c r="XAQ42" s="0"/>
      <c r="XAR42" s="0"/>
      <c r="XAS42" s="0"/>
      <c r="XAT42" s="0"/>
      <c r="XAU42" s="0"/>
      <c r="XAV42" s="0"/>
      <c r="XAW42" s="0"/>
      <c r="XAX42" s="0"/>
      <c r="XAY42" s="0"/>
      <c r="XAZ42" s="0"/>
      <c r="XBA42" s="0"/>
      <c r="XBB42" s="0"/>
      <c r="XBC42" s="0"/>
      <c r="XBD42" s="0"/>
      <c r="XBE42" s="0"/>
      <c r="XBF42" s="0"/>
      <c r="XBG42" s="0"/>
      <c r="XBH42" s="0"/>
      <c r="XBI42" s="0"/>
      <c r="XBJ42" s="0"/>
      <c r="XBK42" s="0"/>
      <c r="XBL42" s="0"/>
      <c r="XBM42" s="0"/>
      <c r="XBN42" s="0"/>
      <c r="XBO42" s="0"/>
      <c r="XBP42" s="0"/>
      <c r="XBQ42" s="0"/>
      <c r="XBR42" s="0"/>
      <c r="XBS42" s="0"/>
      <c r="XBT42" s="0"/>
      <c r="XBU42" s="0"/>
      <c r="XBV42" s="0"/>
      <c r="XBW42" s="0"/>
      <c r="XBX42" s="0"/>
      <c r="XBY42" s="0"/>
      <c r="XBZ42" s="0"/>
      <c r="XCA42" s="0"/>
      <c r="XCB42" s="0"/>
      <c r="XCC42" s="0"/>
      <c r="XCD42" s="0"/>
      <c r="XCE42" s="0"/>
      <c r="XCF42" s="0"/>
      <c r="XCG42" s="0"/>
      <c r="XCH42" s="0"/>
      <c r="XCI42" s="0"/>
      <c r="XCJ42" s="0"/>
      <c r="XCK42" s="0"/>
      <c r="XCL42" s="0"/>
      <c r="XCM42" s="0"/>
      <c r="XCN42" s="0"/>
      <c r="XCO42" s="0"/>
      <c r="XCP42" s="0"/>
      <c r="XCQ42" s="0"/>
      <c r="XCR42" s="0"/>
      <c r="XCS42" s="0"/>
      <c r="XCT42" s="0"/>
      <c r="XCU42" s="0"/>
      <c r="XCV42" s="0"/>
      <c r="XCW42" s="0"/>
      <c r="XCX42" s="0"/>
      <c r="XCY42" s="0"/>
      <c r="XCZ42" s="0"/>
      <c r="XDA42" s="0"/>
      <c r="XDB42" s="0"/>
      <c r="XDC42" s="0"/>
      <c r="XDD42" s="0"/>
      <c r="XDE42" s="0"/>
      <c r="XDF42" s="0"/>
      <c r="XDG42" s="0"/>
      <c r="XDH42" s="0"/>
      <c r="XDI42" s="0"/>
      <c r="XDJ42" s="0"/>
      <c r="XDK42" s="0"/>
      <c r="XDL42" s="0"/>
      <c r="XDM42" s="0"/>
      <c r="XDN42" s="0"/>
      <c r="XDO42" s="0"/>
      <c r="XDP42" s="0"/>
      <c r="XDQ42" s="0"/>
      <c r="XDR42" s="0"/>
      <c r="XDS42" s="0"/>
      <c r="XDT42" s="0"/>
      <c r="XDU42" s="0"/>
      <c r="XDV42" s="0"/>
      <c r="XDW42" s="0"/>
      <c r="XDX42" s="0"/>
      <c r="XDY42" s="0"/>
      <c r="XDZ42" s="0"/>
      <c r="XEA42" s="0"/>
      <c r="XEB42" s="0"/>
      <c r="XEC42" s="0"/>
      <c r="XED42" s="0"/>
      <c r="XEE42" s="0"/>
      <c r="XEF42" s="0"/>
      <c r="XEG42" s="0"/>
      <c r="XEH42" s="0"/>
      <c r="XEI42" s="0"/>
      <c r="XEJ42" s="0"/>
      <c r="XEK42" s="0"/>
      <c r="XEL42" s="0"/>
      <c r="XEM42" s="0"/>
      <c r="XEN42" s="0"/>
      <c r="XEO42" s="0"/>
      <c r="XEP42" s="0"/>
      <c r="XEQ42" s="0"/>
      <c r="XER42" s="0"/>
      <c r="XES42" s="0"/>
      <c r="XET42" s="0"/>
      <c r="XEU42" s="0"/>
      <c r="XEV42" s="0"/>
      <c r="XEW42" s="0"/>
      <c r="XEX42" s="0"/>
      <c r="XEY42" s="0"/>
      <c r="XEZ42" s="0"/>
      <c r="XFA42" s="0"/>
      <c r="XFB42" s="0"/>
      <c r="XFC42" s="0"/>
    </row>
    <row r="43" customFormat="false" ht="13.8" hidden="false" customHeight="false" outlineLevel="0" collapsed="false">
      <c r="A43" s="139" t="str">
        <f aca="false">"Deposit " &amp; '⚙️ Assumptions'!B11&amp; " month rent"</f>
        <v>Deposit 6 month rent</v>
      </c>
      <c r="B43" s="140"/>
      <c r="C43" s="140" t="n">
        <f aca="false">-'⚙️ Assumptions'!$B$17</f>
        <v>-345000000</v>
      </c>
      <c r="D43" s="137"/>
      <c r="E43" s="137"/>
      <c r="F43" s="137"/>
      <c r="G43" s="137"/>
      <c r="H43" s="137"/>
      <c r="I43" s="137"/>
      <c r="J43" s="137"/>
      <c r="K43" s="137"/>
      <c r="L43" s="137"/>
      <c r="M43" s="137"/>
      <c r="N43" s="137"/>
      <c r="O43" s="137"/>
      <c r="P43" s="137"/>
      <c r="Q43" s="137"/>
      <c r="R43" s="137"/>
      <c r="S43" s="137"/>
      <c r="T43" s="137"/>
      <c r="U43" s="137"/>
      <c r="V43" s="137"/>
      <c r="W43" s="137"/>
      <c r="X43" s="137"/>
      <c r="Y43" s="137"/>
      <c r="Z43" s="137"/>
      <c r="AA43" s="137"/>
      <c r="AB43" s="137"/>
      <c r="AC43" s="137"/>
      <c r="AD43" s="137"/>
      <c r="AE43" s="137"/>
      <c r="AF43" s="137"/>
      <c r="AG43" s="137"/>
      <c r="AH43" s="137"/>
      <c r="AI43" s="137"/>
      <c r="AJ43" s="137"/>
      <c r="AK43" s="137"/>
      <c r="AL43" s="137"/>
      <c r="AM43" s="137"/>
      <c r="AN43" s="137"/>
      <c r="AO43" s="137"/>
      <c r="AP43" s="137"/>
      <c r="AQ43" s="137"/>
      <c r="AR43" s="137"/>
      <c r="AS43" s="137"/>
      <c r="AT43" s="137"/>
      <c r="AU43" s="137"/>
      <c r="AV43" s="137"/>
      <c r="AW43" s="137"/>
      <c r="AX43" s="137"/>
      <c r="AY43" s="137"/>
      <c r="AZ43" s="137"/>
      <c r="BA43" s="137"/>
      <c r="BB43" s="137"/>
      <c r="BC43" s="137"/>
      <c r="BD43" s="137"/>
      <c r="BE43" s="137"/>
      <c r="BF43" s="137"/>
      <c r="BG43" s="137"/>
      <c r="BH43" s="137"/>
      <c r="BI43" s="137"/>
      <c r="BJ43" s="137"/>
    </row>
    <row r="44" customFormat="false" ht="13.8" hidden="false" customHeight="false" outlineLevel="0" collapsed="false">
      <c r="A44" s="139" t="s">
        <v>442</v>
      </c>
      <c r="B44" s="140"/>
      <c r="C44" s="140" t="n">
        <f aca="false">-'⚙️ Assumptions'!$B$16</f>
        <v>-300000000</v>
      </c>
      <c r="D44" s="137"/>
      <c r="E44" s="137"/>
      <c r="F44" s="137"/>
      <c r="G44" s="137"/>
      <c r="H44" s="137"/>
      <c r="I44" s="137"/>
      <c r="J44" s="137"/>
      <c r="K44" s="137"/>
      <c r="L44" s="137"/>
      <c r="M44" s="137"/>
      <c r="N44" s="137"/>
      <c r="O44" s="137"/>
      <c r="P44" s="137"/>
      <c r="Q44" s="137"/>
      <c r="R44" s="137"/>
      <c r="S44" s="137"/>
      <c r="T44" s="137"/>
      <c r="U44" s="137"/>
      <c r="V44" s="137"/>
      <c r="W44" s="137"/>
      <c r="X44" s="137"/>
      <c r="Y44" s="137"/>
      <c r="Z44" s="137"/>
      <c r="AA44" s="137"/>
      <c r="AB44" s="137"/>
      <c r="AC44" s="137"/>
      <c r="AD44" s="137"/>
      <c r="AE44" s="137"/>
      <c r="AF44" s="137"/>
      <c r="AG44" s="137"/>
      <c r="AH44" s="137"/>
      <c r="AI44" s="137"/>
      <c r="AJ44" s="137"/>
      <c r="AK44" s="137"/>
      <c r="AL44" s="137"/>
      <c r="AM44" s="137"/>
      <c r="AN44" s="137"/>
      <c r="AO44" s="137"/>
      <c r="AP44" s="137"/>
      <c r="AQ44" s="137"/>
      <c r="AR44" s="137"/>
      <c r="AS44" s="137"/>
      <c r="AT44" s="137"/>
      <c r="AU44" s="137"/>
      <c r="AV44" s="137"/>
      <c r="AW44" s="137"/>
      <c r="AX44" s="137"/>
      <c r="AY44" s="137"/>
      <c r="AZ44" s="137"/>
      <c r="BA44" s="137"/>
      <c r="BB44" s="137"/>
      <c r="BC44" s="137"/>
      <c r="BD44" s="137"/>
      <c r="BE44" s="137"/>
      <c r="BF44" s="137"/>
      <c r="BG44" s="137"/>
      <c r="BH44" s="137"/>
      <c r="BI44" s="137"/>
      <c r="BJ44" s="137"/>
    </row>
    <row r="45" customFormat="false" ht="13.8" hidden="false" customHeight="false" outlineLevel="0" collapsed="false">
      <c r="A45" s="137" t="s">
        <v>443</v>
      </c>
      <c r="B45" s="137"/>
      <c r="C45" s="140" t="n">
        <f aca="false">INDEX('📦 COGS &amp; OpEx'!$C$32:$BJ$32,MATCH(C5,'📦 COGS &amp; OpEx'!$C$3:$BJ$3,0))*-1</f>
        <v>-60375000</v>
      </c>
      <c r="D45" s="140" t="n">
        <f aca="false">INDEX('📦 COGS &amp; OpEx'!$C$32:$BJ$32,MATCH(D5,'📦 COGS &amp; OpEx'!$C$3:$BJ$3,0))*-1</f>
        <v>-60375000</v>
      </c>
      <c r="E45" s="140" t="n">
        <f aca="false">INDEX('📦 COGS &amp; OpEx'!$C$32:$BJ$32,MATCH(E5,'📦 COGS &amp; OpEx'!$C$3:$BJ$3,0))*-1</f>
        <v>-159625777.5</v>
      </c>
      <c r="F45" s="140" t="n">
        <f aca="false">INDEX('📦 COGS &amp; OpEx'!$C$32:$BJ$32,MATCH(F5,'📦 COGS &amp; OpEx'!$C$3:$BJ$3,0))*-1</f>
        <v>-157616977.5</v>
      </c>
      <c r="G45" s="140" t="n">
        <f aca="false">INDEX('📦 COGS &amp; OpEx'!$C$32:$BJ$32,MATCH(G5,'📦 COGS &amp; OpEx'!$C$3:$BJ$3,0))*-1</f>
        <v>-146948864.0625</v>
      </c>
      <c r="H45" s="140" t="n">
        <f aca="false">INDEX('📦 COGS &amp; OpEx'!$C$32:$BJ$32,MATCH(H5,'📦 COGS &amp; OpEx'!$C$3:$BJ$3,0))*-1</f>
        <v>-159019214.0625</v>
      </c>
      <c r="I45" s="140" t="n">
        <f aca="false">INDEX('📦 COGS &amp; OpEx'!$C$32:$BJ$32,MATCH(I5,'📦 COGS &amp; OpEx'!$C$3:$BJ$3,0))*-1</f>
        <v>-217053773.4375</v>
      </c>
      <c r="J45" s="140" t="n">
        <f aca="false">INDEX('📦 COGS &amp; OpEx'!$C$32:$BJ$32,MATCH(J5,'📦 COGS &amp; OpEx'!$C$3:$BJ$3,0))*-1</f>
        <v>-210828860.15625</v>
      </c>
      <c r="K45" s="140" t="n">
        <f aca="false">INDEX('📦 COGS &amp; OpEx'!$C$32:$BJ$32,MATCH(K5,'📦 COGS &amp; OpEx'!$C$3:$BJ$3,0))*-1</f>
        <v>-237555000</v>
      </c>
      <c r="L45" s="140" t="n">
        <f aca="false">INDEX('📦 COGS &amp; OpEx'!$C$32:$BJ$32,MATCH(L5,'📦 COGS &amp; OpEx'!$C$3:$BJ$3,0))*-1</f>
        <v>-239177657.8125</v>
      </c>
      <c r="M45" s="140" t="n">
        <f aca="false">INDEX('📦 COGS &amp; OpEx'!$C$32:$BJ$32,MATCH(M5,'📦 COGS &amp; OpEx'!$C$3:$BJ$3,0))*-1</f>
        <v>-220568793.75</v>
      </c>
      <c r="N45" s="140" t="n">
        <f aca="false">INDEX('📦 COGS &amp; OpEx'!$C$32:$BJ$32,MATCH(N5,'📦 COGS &amp; OpEx'!$C$3:$BJ$3,0))*-1</f>
        <v>-216276679.6875</v>
      </c>
      <c r="O45" s="140" t="n">
        <f aca="false">INDEX('📦 COGS &amp; OpEx'!$C$32:$BJ$32,MATCH(O5,'📦 COGS &amp; OpEx'!$C$3:$BJ$3,0))*-1</f>
        <v>-220913402.34375</v>
      </c>
      <c r="P45" s="140" t="n">
        <f aca="false">INDEX('📦 COGS &amp; OpEx'!$C$32:$BJ$32,MATCH(P5,'📦 COGS &amp; OpEx'!$C$3:$BJ$3,0))*-1</f>
        <v>-223301531.25</v>
      </c>
      <c r="Q45" s="140" t="n">
        <f aca="false">INDEX('📦 COGS &amp; OpEx'!$C$32:$BJ$32,MATCH(Q5,'📦 COGS &amp; OpEx'!$C$3:$BJ$3,0))*-1</f>
        <v>-246981375</v>
      </c>
      <c r="R45" s="140" t="n">
        <f aca="false">INDEX('📦 COGS &amp; OpEx'!$C$32:$BJ$32,MATCH(R5,'📦 COGS &amp; OpEx'!$C$3:$BJ$3,0))*-1</f>
        <v>-245725875</v>
      </c>
      <c r="S45" s="140" t="n">
        <f aca="false">INDEX('📦 COGS &amp; OpEx'!$C$32:$BJ$32,MATCH(S5,'📦 COGS &amp; OpEx'!$C$3:$BJ$3,0))*-1</f>
        <v>-216368775</v>
      </c>
      <c r="T45" s="140" t="n">
        <f aca="false">INDEX('📦 COGS &amp; OpEx'!$C$32:$BJ$32,MATCH(T5,'📦 COGS &amp; OpEx'!$C$3:$BJ$3,0))*-1</f>
        <v>-246379781.25</v>
      </c>
      <c r="U45" s="140" t="n">
        <f aca="false">INDEX('📦 COGS &amp; OpEx'!$C$32:$BJ$32,MATCH(U5,'📦 COGS &amp; OpEx'!$C$3:$BJ$3,0))*-1</f>
        <v>-270142312.5</v>
      </c>
      <c r="V45" s="140" t="n">
        <f aca="false">INDEX('📦 COGS &amp; OpEx'!$C$32:$BJ$32,MATCH(V5,'📦 COGS &amp; OpEx'!$C$3:$BJ$3,0))*-1</f>
        <v>-261477168.75</v>
      </c>
      <c r="W45" s="140" t="n">
        <f aca="false">INDEX('📦 COGS &amp; OpEx'!$C$32:$BJ$32,MATCH(W5,'📦 COGS &amp; OpEx'!$C$3:$BJ$3,0))*-1</f>
        <v>-287653500</v>
      </c>
      <c r="X45" s="140" t="n">
        <f aca="false">INDEX('📦 COGS &amp; OpEx'!$C$32:$BJ$32,MATCH(X5,'📦 COGS &amp; OpEx'!$C$3:$BJ$3,0))*-1</f>
        <v>-286681331.25</v>
      </c>
      <c r="Y45" s="140" t="n">
        <f aca="false">INDEX('📦 COGS &amp; OpEx'!$C$32:$BJ$32,MATCH(Y5,'📦 COGS &amp; OpEx'!$C$3:$BJ$3,0))*-1</f>
        <v>-262716975</v>
      </c>
      <c r="Z45" s="140" t="n">
        <f aca="false">INDEX('📦 COGS &amp; OpEx'!$C$32:$BJ$32,MATCH(Z5,'📦 COGS &amp; OpEx'!$C$3:$BJ$3,0))*-1</f>
        <v>-249001312.5</v>
      </c>
      <c r="AA45" s="140" t="n">
        <f aca="false">INDEX('📦 COGS &amp; OpEx'!$C$32:$BJ$32,MATCH(AA5,'📦 COGS &amp; OpEx'!$C$3:$BJ$3,0))*-1</f>
        <v>-254728856.25</v>
      </c>
      <c r="AB45" s="140" t="n">
        <f aca="false">INDEX('📦 COGS &amp; OpEx'!$C$32:$BJ$32,MATCH(AB5,'📦 COGS &amp; OpEx'!$C$3:$BJ$3,0))*-1</f>
        <v>-253745887.5</v>
      </c>
      <c r="AC45" s="140" t="n">
        <f aca="false">INDEX('📦 COGS &amp; OpEx'!$C$32:$BJ$32,MATCH(AC5,'📦 COGS &amp; OpEx'!$C$3:$BJ$3,0))*-1</f>
        <v>-282014010</v>
      </c>
      <c r="AD45" s="140" t="n">
        <f aca="false">INDEX('📦 COGS &amp; OpEx'!$C$32:$BJ$32,MATCH(AD5,'📦 COGS &amp; OpEx'!$C$3:$BJ$3,0))*-1</f>
        <v>-277996410</v>
      </c>
      <c r="AE45" s="140" t="n">
        <f aca="false">INDEX('📦 COGS &amp; OpEx'!$C$32:$BJ$32,MATCH(AE5,'📦 COGS &amp; OpEx'!$C$3:$BJ$3,0))*-1</f>
        <v>-213798375</v>
      </c>
      <c r="AF45" s="140" t="n">
        <f aca="false">INDEX('📦 COGS &amp; OpEx'!$C$32:$BJ$32,MATCH(AF5,'📦 COGS &amp; OpEx'!$C$3:$BJ$3,0))*-1</f>
        <v>-243199181.25</v>
      </c>
      <c r="AG45" s="140" t="n">
        <f aca="false">INDEX('📦 COGS &amp; OpEx'!$C$32:$BJ$32,MATCH(AG5,'📦 COGS &amp; OpEx'!$C$3:$BJ$3,0))*-1</f>
        <v>-266416312.5</v>
      </c>
      <c r="AH45" s="140" t="n">
        <f aca="false">INDEX('📦 COGS &amp; OpEx'!$C$32:$BJ$32,MATCH(AH5,'📦 COGS &amp; OpEx'!$C$3:$BJ$3,0))*-1</f>
        <v>-257961768.75</v>
      </c>
      <c r="AI45" s="140" t="n">
        <f aca="false">INDEX('📦 COGS &amp; OpEx'!$C$32:$BJ$32,MATCH(AI5,'📦 COGS &amp; OpEx'!$C$3:$BJ$3,0))*-1</f>
        <v>-283765500</v>
      </c>
      <c r="AJ45" s="140" t="n">
        <f aca="false">INDEX('📦 COGS &amp; OpEx'!$C$32:$BJ$32,MATCH(AJ5,'📦 COGS &amp; OpEx'!$C$3:$BJ$3,0))*-1</f>
        <v>-282831131.25</v>
      </c>
      <c r="AK45" s="140" t="n">
        <f aca="false">INDEX('📦 COGS &amp; OpEx'!$C$32:$BJ$32,MATCH(AK5,'📦 COGS &amp; OpEx'!$C$3:$BJ$3,0))*-1</f>
        <v>-259368975</v>
      </c>
      <c r="AL45" s="140" t="n">
        <f aca="false">INDEX('📦 COGS &amp; OpEx'!$C$32:$BJ$32,MATCH(AL5,'📦 COGS &amp; OpEx'!$C$3:$BJ$3,0))*-1</f>
        <v>-245923312.5</v>
      </c>
      <c r="AM45" s="140" t="n">
        <f aca="false">INDEX('📦 COGS &amp; OpEx'!$C$32:$BJ$32,MATCH(AM5,'📦 COGS &amp; OpEx'!$C$3:$BJ$3,0))*-1</f>
        <v>-251548256.25</v>
      </c>
      <c r="AN45" s="140" t="n">
        <f aca="false">INDEX('📦 COGS &amp; OpEx'!$C$32:$BJ$32,MATCH(AN5,'📦 COGS &amp; OpEx'!$C$3:$BJ$3,0))*-1</f>
        <v>-250343887.5</v>
      </c>
      <c r="AO45" s="140" t="n">
        <f aca="false">INDEX('📦 COGS &amp; OpEx'!$C$32:$BJ$32,MATCH(AO5,'📦 COGS &amp; OpEx'!$C$3:$BJ$3,0))*-1</f>
        <v>-277996410</v>
      </c>
      <c r="AP45" s="140" t="n">
        <f aca="false">INDEX('📦 COGS &amp; OpEx'!$C$32:$BJ$32,MATCH(AP5,'📦 COGS &amp; OpEx'!$C$3:$BJ$3,0))*-1</f>
        <v>-283269510</v>
      </c>
      <c r="AQ45" s="140" t="n">
        <f aca="false">INDEX('📦 COGS &amp; OpEx'!$C$32:$BJ$32,MATCH(AQ5,'📦 COGS &amp; OpEx'!$C$3:$BJ$3,0))*-1</f>
        <v>-217172025</v>
      </c>
      <c r="AR45" s="140" t="n">
        <f aca="false">INDEX('📦 COGS &amp; OpEx'!$C$32:$BJ$32,MATCH(AR5,'📦 COGS &amp; OpEx'!$C$3:$BJ$3,0))*-1</f>
        <v>-247373718.75</v>
      </c>
      <c r="AS45" s="140" t="n">
        <f aca="false">INDEX('📦 COGS &amp; OpEx'!$C$32:$BJ$32,MATCH(AS5,'📦 COGS &amp; OpEx'!$C$3:$BJ$3,0))*-1</f>
        <v>-271306687.5</v>
      </c>
      <c r="AT45" s="140" t="n">
        <f aca="false">INDEX('📦 COGS &amp; OpEx'!$C$32:$BJ$32,MATCH(AT5,'📦 COGS &amp; OpEx'!$C$3:$BJ$3,0))*-1</f>
        <v>-262575731.25</v>
      </c>
      <c r="AU45" s="140" t="n">
        <f aca="false">INDEX('📦 COGS &amp; OpEx'!$C$32:$BJ$32,MATCH(AU5,'📦 COGS &amp; OpEx'!$C$3:$BJ$3,0))*-1</f>
        <v>-288868500</v>
      </c>
      <c r="AV45" s="140" t="n">
        <f aca="false">INDEX('📦 COGS &amp; OpEx'!$C$32:$BJ$32,MATCH(AV5,'📦 COGS &amp; OpEx'!$C$3:$BJ$3,0))*-1</f>
        <v>-287884518.75</v>
      </c>
      <c r="AW45" s="140" t="n">
        <f aca="false">INDEX('📦 COGS &amp; OpEx'!$C$32:$BJ$32,MATCH(AW5,'📦 COGS &amp; OpEx'!$C$3:$BJ$3,0))*-1</f>
        <v>-263763225</v>
      </c>
      <c r="AX45" s="140" t="n">
        <f aca="false">INDEX('📦 COGS &amp; OpEx'!$C$32:$BJ$32,MATCH(AX5,'📦 COGS &amp; OpEx'!$C$3:$BJ$3,0))*-1</f>
        <v>-249963187.5</v>
      </c>
      <c r="AY45" s="140" t="n">
        <f aca="false">INDEX('📦 COGS &amp; OpEx'!$C$32:$BJ$32,MATCH(AY5,'📦 COGS &amp; OpEx'!$C$3:$BJ$3,0))*-1</f>
        <v>-255722793.75</v>
      </c>
      <c r="AZ45" s="140" t="n">
        <f aca="false">INDEX('📦 COGS &amp; OpEx'!$C$32:$BJ$32,MATCH(AZ5,'📦 COGS &amp; OpEx'!$C$3:$BJ$3,0))*-1</f>
        <v>-254809012.5</v>
      </c>
      <c r="BA45" s="140" t="n">
        <f aca="false">INDEX('📦 COGS &amp; OpEx'!$C$32:$BJ$32,MATCH(BA5,'📦 COGS &amp; OpEx'!$C$3:$BJ$3,0))*-1</f>
        <v>-283269510</v>
      </c>
      <c r="BB45" s="140" t="n">
        <f aca="false">INDEX('📦 COGS &amp; OpEx'!$C$32:$BJ$32,MATCH(BB5,'📦 COGS &amp; OpEx'!$C$3:$BJ$3,0))*-1</f>
        <v>-281371194</v>
      </c>
      <c r="BC45" s="140" t="n">
        <f aca="false">INDEX('📦 COGS &amp; OpEx'!$C$32:$BJ$32,MATCH(BC5,'📦 COGS &amp; OpEx'!$C$3:$BJ$3,0))*-1</f>
        <v>-220774263.75</v>
      </c>
      <c r="BD45" s="140" t="n">
        <f aca="false">INDEX('📦 COGS &amp; OpEx'!$C$32:$BJ$32,MATCH(BD5,'📦 COGS &amp; OpEx'!$C$3:$BJ$3,0))*-1</f>
        <v>-245703903.75</v>
      </c>
      <c r="BE45" s="140" t="n">
        <f aca="false">INDEX('📦 COGS &amp; OpEx'!$C$32:$BJ$32,MATCH(BE5,'📦 COGS &amp; OpEx'!$C$3:$BJ$3,0))*-1</f>
        <v>-269350537.5</v>
      </c>
      <c r="BF45" s="140" t="n">
        <f aca="false">INDEX('📦 COGS &amp; OpEx'!$C$32:$BJ$32,MATCH(BF5,'📦 COGS &amp; OpEx'!$C$3:$BJ$3,0))*-1</f>
        <v>-260730146.25</v>
      </c>
      <c r="BG45" s="140" t="n">
        <f aca="false">INDEX('📦 COGS &amp; OpEx'!$C$32:$BJ$32,MATCH(BG5,'📦 COGS &amp; OpEx'!$C$3:$BJ$3,0))*-1</f>
        <v>-285806700</v>
      </c>
      <c r="BH45" s="140" t="n">
        <f aca="false">INDEX('📦 COGS &amp; OpEx'!$C$32:$BJ$32,MATCH(BH5,'📦 COGS &amp; OpEx'!$C$3:$BJ$3,0))*-1</f>
        <v>-284852486.25</v>
      </c>
      <c r="BI45" s="140" t="n">
        <f aca="false">INDEX('📦 COGS &amp; OpEx'!$C$32:$BJ$32,MATCH(BI5,'📦 COGS &amp; OpEx'!$C$3:$BJ$3,0))*-1</f>
        <v>-261126675</v>
      </c>
      <c r="BJ45" s="140" t="n">
        <f aca="false">INDEX('📦 COGS &amp; OpEx'!$C$32:$BJ$32,MATCH(BJ5,'📦 COGS &amp; OpEx'!$C$3:$BJ$3,0))*-1</f>
        <v>-247539262.5</v>
      </c>
    </row>
    <row r="46" customFormat="false" ht="13.8" hidden="false" customHeight="false" outlineLevel="0" collapsed="false">
      <c r="A46" s="137" t="s">
        <v>444</v>
      </c>
      <c r="B46" s="137"/>
      <c r="C46" s="140" t="n">
        <f aca="false">_xlfn.IFNA(INDEX('🏦 Loan Schedule'!$D$14:$D$49,MATCH(C5,'🏦 Loan Schedule'!$B$14:$B$49,0))*-1,0)</f>
        <v>-3386250</v>
      </c>
      <c r="D46" s="140" t="n">
        <f aca="false">_xlfn.IFNA(INDEX('🏦 Loan Schedule'!$D$14:$D$49,MATCH(D5,'🏦 Loan Schedule'!$B$14:$B$49,0))*-1,0)</f>
        <v>-3303965.03028028</v>
      </c>
      <c r="E46" s="140" t="n">
        <f aca="false">_xlfn.IFNA(INDEX('🏦 Loan Schedule'!$D$14:$D$49,MATCH(E5,'🏦 Loan Schedule'!$B$14:$B$49,0))*-1,0)</f>
        <v>-3221062.92328765</v>
      </c>
      <c r="F46" s="140" t="n">
        <f aca="false">_xlfn.IFNA(INDEX('🏦 Loan Schedule'!$D$14:$D$49,MATCH(F5,'🏦 Loan Schedule'!$B$14:$B$49,0))*-1,0)</f>
        <v>-3137539.05049259</v>
      </c>
      <c r="G46" s="140" t="n">
        <f aca="false">_xlfn.IFNA(INDEX('🏦 Loan Schedule'!$D$14:$D$49,MATCH(G5,'🏦 Loan Schedule'!$B$14:$B$49,0))*-1,0)</f>
        <v>-3053388.74865156</v>
      </c>
      <c r="H46" s="140" t="n">
        <f aca="false">_xlfn.IFNA(INDEX('🏦 Loan Schedule'!$D$14:$D$49,MATCH(H5,'🏦 Loan Schedule'!$B$14:$B$49,0))*-1,0)</f>
        <v>-2968607.31954672</v>
      </c>
      <c r="I46" s="140" t="n">
        <f aca="false">_xlfn.IFNA(INDEX('🏦 Loan Schedule'!$D$14:$D$49,MATCH(I5,'🏦 Loan Schedule'!$B$14:$B$49,0))*-1,0)</f>
        <v>-2883190.0297236</v>
      </c>
      <c r="J46" s="140" t="n">
        <f aca="false">_xlfn.IFNA(INDEX('🏦 Loan Schedule'!$D$14:$D$49,MATCH(J5,'🏦 Loan Schedule'!$B$14:$B$49,0))*-1,0)</f>
        <v>-2797132.1102268</v>
      </c>
      <c r="K46" s="140" t="n">
        <f aca="false">_xlfn.IFNA(INDEX('🏦 Loan Schedule'!$D$14:$D$49,MATCH(K5,'🏦 Loan Schedule'!$B$14:$B$49,0))*-1,0)</f>
        <v>-2710428.75633378</v>
      </c>
      <c r="L46" s="140" t="n">
        <f aca="false">_xlfn.IFNA(INDEX('🏦 Loan Schedule'!$D$14:$D$49,MATCH(L5,'🏦 Loan Schedule'!$B$14:$B$49,0))*-1,0)</f>
        <v>-2623075.12728655</v>
      </c>
      <c r="M46" s="140" t="n">
        <f aca="false">_xlfn.IFNA(INDEX('🏦 Loan Schedule'!$D$14:$D$49,MATCH(M5,'🏦 Loan Schedule'!$B$14:$B$49,0))*-1,0)</f>
        <v>-2535066.34602148</v>
      </c>
      <c r="N46" s="140" t="n">
        <f aca="false">_xlfn.IFNA(INDEX('🏦 Loan Schedule'!$D$14:$D$49,MATCH(N5,'🏦 Loan Schedule'!$B$14:$B$49,0))*-1,0)</f>
        <v>-2446397.49889692</v>
      </c>
      <c r="O46" s="140" t="n">
        <f aca="false">_xlfn.IFNA(INDEX('🏦 Loan Schedule'!$D$14:$D$49,MATCH(O5,'🏦 Loan Schedule'!$B$14:$B$49,0))*-1,0)</f>
        <v>-2357063.63541892</v>
      </c>
      <c r="P46" s="140" t="n">
        <f aca="false">_xlfn.IFNA(INDEX('🏦 Loan Schedule'!$D$14:$D$49,MATCH(P5,'🏦 Loan Schedule'!$B$14:$B$49,0))*-1,0)</f>
        <v>-2267059.76796484</v>
      </c>
      <c r="Q46" s="140" t="n">
        <f aca="false">_xlfn.IFNA(INDEX('🏦 Loan Schedule'!$D$14:$D$49,MATCH(Q5,'🏦 Loan Schedule'!$B$14:$B$49,0))*-1,0)</f>
        <v>-2176380.87150485</v>
      </c>
      <c r="R46" s="140" t="n">
        <f aca="false">_xlfn.IFNA(INDEX('🏦 Loan Schedule'!$D$14:$D$49,MATCH(R5,'🏦 Loan Schedule'!$B$14:$B$49,0))*-1,0)</f>
        <v>-2085021.88332141</v>
      </c>
      <c r="S46" s="140" t="n">
        <f aca="false">_xlfn.IFNA(INDEX('🏦 Loan Schedule'!$D$14:$D$49,MATCH(S5,'🏦 Loan Schedule'!$B$14:$B$49,0))*-1,0)</f>
        <v>-1992977.7027266</v>
      </c>
      <c r="T46" s="140" t="n">
        <f aca="false">_xlfn.IFNA(INDEX('🏦 Loan Schedule'!$D$14:$D$49,MATCH(T5,'🏦 Loan Schedule'!$B$14:$B$49,0))*-1,0)</f>
        <v>-1900243.19077732</v>
      </c>
      <c r="U46" s="140" t="n">
        <f aca="false">_xlfn.IFNA(INDEX('🏦 Loan Schedule'!$D$14:$D$49,MATCH(U5,'🏦 Loan Schedule'!$B$14:$B$49,0))*-1,0)</f>
        <v>-1806813.16998843</v>
      </c>
      <c r="V46" s="140" t="n">
        <f aca="false">_xlfn.IFNA(INDEX('🏦 Loan Schedule'!$D$14:$D$49,MATCH(V5,'🏦 Loan Schedule'!$B$14:$B$49,0))*-1,0)</f>
        <v>-1712682.42404362</v>
      </c>
      <c r="W46" s="140" t="n">
        <f aca="false">_xlfn.IFNA(INDEX('🏦 Loan Schedule'!$D$14:$D$49,MATCH(W5,'🏦 Loan Schedule'!$B$14:$B$49,0))*-1,0)</f>
        <v>-1617845.69750422</v>
      </c>
      <c r="X46" s="140" t="n">
        <f aca="false">_xlfn.IFNA(INDEX('🏦 Loan Schedule'!$D$14:$D$49,MATCH(X5,'🏦 Loan Schedule'!$B$14:$B$49,0))*-1,0)</f>
        <v>-1522297.69551578</v>
      </c>
      <c r="Y46" s="140" t="n">
        <f aca="false">_xlfn.IFNA(INDEX('🏦 Loan Schedule'!$D$14:$D$49,MATCH(Y5,'🏦 Loan Schedule'!$B$14:$B$49,0))*-1,0)</f>
        <v>-1426033.08351242</v>
      </c>
      <c r="Z46" s="140" t="n">
        <f aca="false">_xlfn.IFNA(INDEX('🏦 Loan Schedule'!$D$14:$D$49,MATCH(Z5,'🏦 Loan Schedule'!$B$14:$B$49,0))*-1,0)</f>
        <v>-1329046.48691904</v>
      </c>
      <c r="AA46" s="140" t="n">
        <f aca="false">_xlfn.IFNA(INDEX('🏦 Loan Schedule'!$D$14:$D$49,MATCH(AA5,'🏦 Loan Schedule'!$B$14:$B$49,0))*-1,0)</f>
        <v>-1231332.49085121</v>
      </c>
      <c r="AB46" s="140" t="n">
        <f aca="false">_xlfn.IFNA(INDEX('🏦 Loan Schedule'!$D$14:$D$49,MATCH(AB5,'🏦 Loan Schedule'!$B$14:$B$49,0))*-1,0)</f>
        <v>-1132885.63981287</v>
      </c>
      <c r="AC46" s="140" t="n">
        <f aca="false">_xlfn.IFNA(INDEX('🏦 Loan Schedule'!$D$14:$D$49,MATCH(AC5,'🏦 Loan Schedule'!$B$14:$B$49,0))*-1,0)</f>
        <v>-1033700.43739174</v>
      </c>
      <c r="AD46" s="140" t="n">
        <f aca="false">_xlfn.IFNA(INDEX('🏦 Loan Schedule'!$D$14:$D$49,MATCH(AD5,'🏦 Loan Schedule'!$B$14:$B$49,0))*-1,0)</f>
        <v>-933771.345952457</v>
      </c>
      <c r="AE46" s="140" t="n">
        <f aca="false">_xlfn.IFNA(INDEX('🏦 Loan Schedule'!$D$14:$D$49,MATCH(AE5,'🏦 Loan Schedule'!$B$14:$B$49,0))*-1,0)</f>
        <v>-833092.786327376</v>
      </c>
      <c r="AF46" s="140" t="n">
        <f aca="false">_xlfn.IFNA(INDEX('🏦 Loan Schedule'!$D$14:$D$49,MATCH(AF5,'🏦 Loan Schedule'!$B$14:$B$49,0))*-1,0)</f>
        <v>-731659.137505107</v>
      </c>
      <c r="AG46" s="140" t="n">
        <f aca="false">_xlfn.IFNA(INDEX('🏦 Loan Schedule'!$D$14:$D$49,MATCH(AG5,'🏦 Loan Schedule'!$B$14:$B$49,0))*-1,0)</f>
        <v>-629464.736316672</v>
      </c>
      <c r="AH46" s="140" t="n">
        <f aca="false">_xlfn.IFNA(INDEX('🏦 Loan Schedule'!$D$14:$D$49,MATCH(AH5,'🏦 Loan Schedule'!$B$14:$B$49,0))*-1,0)</f>
        <v>-526503.877119322</v>
      </c>
      <c r="AI46" s="140" t="n">
        <f aca="false">_xlfn.IFNA(INDEX('🏦 Loan Schedule'!$D$14:$D$49,MATCH(AI5,'🏦 Loan Schedule'!$B$14:$B$49,0))*-1,0)</f>
        <v>-422770.811477993</v>
      </c>
      <c r="AJ46" s="140" t="n">
        <f aca="false">_xlfn.IFNA(INDEX('🏦 Loan Schedule'!$D$14:$D$49,MATCH(AJ5,'🏦 Loan Schedule'!$B$14:$B$49,0))*-1,0)</f>
        <v>-318259.747844354</v>
      </c>
      <c r="AK46" s="140" t="n">
        <f aca="false">_xlfn.IFNA(INDEX('🏦 Loan Schedule'!$D$14:$D$49,MATCH(AK5,'🏦 Loan Schedule'!$B$14:$B$49,0))*-1,0)</f>
        <v>-212964.851233463</v>
      </c>
      <c r="AL46" s="140" t="n">
        <f aca="false">_xlfn.IFNA(INDEX('🏦 Loan Schedule'!$D$14:$D$49,MATCH(AL5,'🏦 Loan Schedule'!$B$14:$B$49,0))*-1,0)</f>
        <v>-106880.242897989</v>
      </c>
      <c r="AM46" s="140" t="n">
        <f aca="false">_xlfn.IFNA(INDEX('🏦 Loan Schedule'!$D$14:$D$49,MATCH(AM5,'🏦 Loan Schedule'!$B$14:$B$49,0))*-1,0)</f>
        <v>0</v>
      </c>
      <c r="AN46" s="140" t="n">
        <f aca="false">_xlfn.IFNA(INDEX('🏦 Loan Schedule'!$D$14:$D$49,MATCH(AN5,'🏦 Loan Schedule'!$B$14:$B$49,0))*-1,0)</f>
        <v>0</v>
      </c>
      <c r="AO46" s="140" t="n">
        <f aca="false">_xlfn.IFNA(INDEX('🏦 Loan Schedule'!$D$14:$D$49,MATCH(AO5,'🏦 Loan Schedule'!$B$14:$B$49,0))*-1,0)</f>
        <v>0</v>
      </c>
      <c r="AP46" s="140" t="n">
        <f aca="false">_xlfn.IFNA(INDEX('🏦 Loan Schedule'!$D$14:$D$49,MATCH(AP5,'🏦 Loan Schedule'!$B$14:$B$49,0))*-1,0)</f>
        <v>0</v>
      </c>
      <c r="AQ46" s="140" t="n">
        <f aca="false">_xlfn.IFNA(INDEX('🏦 Loan Schedule'!$D$14:$D$49,MATCH(AQ5,'🏦 Loan Schedule'!$B$14:$B$49,0))*-1,0)</f>
        <v>0</v>
      </c>
      <c r="AR46" s="140" t="n">
        <f aca="false">_xlfn.IFNA(INDEX('🏦 Loan Schedule'!$D$14:$D$49,MATCH(AR5,'🏦 Loan Schedule'!$B$14:$B$49,0))*-1,0)</f>
        <v>0</v>
      </c>
      <c r="AS46" s="140" t="n">
        <f aca="false">_xlfn.IFNA(INDEX('🏦 Loan Schedule'!$D$14:$D$49,MATCH(AS5,'🏦 Loan Schedule'!$B$14:$B$49,0))*-1,0)</f>
        <v>0</v>
      </c>
      <c r="AT46" s="140" t="n">
        <f aca="false">_xlfn.IFNA(INDEX('🏦 Loan Schedule'!$D$14:$D$49,MATCH(AT5,'🏦 Loan Schedule'!$B$14:$B$49,0))*-1,0)</f>
        <v>0</v>
      </c>
      <c r="AU46" s="140" t="n">
        <f aca="false">_xlfn.IFNA(INDEX('🏦 Loan Schedule'!$D$14:$D$49,MATCH(AU5,'🏦 Loan Schedule'!$B$14:$B$49,0))*-1,0)</f>
        <v>0</v>
      </c>
      <c r="AV46" s="140" t="n">
        <f aca="false">_xlfn.IFNA(INDEX('🏦 Loan Schedule'!$D$14:$D$49,MATCH(AV5,'🏦 Loan Schedule'!$B$14:$B$49,0))*-1,0)</f>
        <v>0</v>
      </c>
      <c r="AW46" s="140" t="n">
        <f aca="false">_xlfn.IFNA(INDEX('🏦 Loan Schedule'!$D$14:$D$49,MATCH(AW5,'🏦 Loan Schedule'!$B$14:$B$49,0))*-1,0)</f>
        <v>0</v>
      </c>
      <c r="AX46" s="140" t="n">
        <f aca="false">_xlfn.IFNA(INDEX('🏦 Loan Schedule'!$D$14:$D$49,MATCH(AX5,'🏦 Loan Schedule'!$B$14:$B$49,0))*-1,0)</f>
        <v>0</v>
      </c>
      <c r="AY46" s="140" t="n">
        <f aca="false">_xlfn.IFNA(INDEX('🏦 Loan Schedule'!$D$14:$D$49,MATCH(AY5,'🏦 Loan Schedule'!$B$14:$B$49,0))*-1,0)</f>
        <v>0</v>
      </c>
      <c r="AZ46" s="140" t="n">
        <f aca="false">_xlfn.IFNA(INDEX('🏦 Loan Schedule'!$D$14:$D$49,MATCH(AZ5,'🏦 Loan Schedule'!$B$14:$B$49,0))*-1,0)</f>
        <v>0</v>
      </c>
      <c r="BA46" s="140" t="n">
        <f aca="false">_xlfn.IFNA(INDEX('🏦 Loan Schedule'!$D$14:$D$49,MATCH(BA5,'🏦 Loan Schedule'!$B$14:$B$49,0))*-1,0)</f>
        <v>0</v>
      </c>
      <c r="BB46" s="140" t="n">
        <f aca="false">_xlfn.IFNA(INDEX('🏦 Loan Schedule'!$D$14:$D$49,MATCH(BB5,'🏦 Loan Schedule'!$B$14:$B$49,0))*-1,0)</f>
        <v>0</v>
      </c>
      <c r="BC46" s="140" t="n">
        <f aca="false">_xlfn.IFNA(INDEX('🏦 Loan Schedule'!$D$14:$D$49,MATCH(BC5,'🏦 Loan Schedule'!$B$14:$B$49,0))*-1,0)</f>
        <v>0</v>
      </c>
      <c r="BD46" s="140" t="n">
        <f aca="false">_xlfn.IFNA(INDEX('🏦 Loan Schedule'!$D$14:$D$49,MATCH(BD5,'🏦 Loan Schedule'!$B$14:$B$49,0))*-1,0)</f>
        <v>0</v>
      </c>
      <c r="BE46" s="140" t="n">
        <f aca="false">_xlfn.IFNA(INDEX('🏦 Loan Schedule'!$D$14:$D$49,MATCH(BE5,'🏦 Loan Schedule'!$B$14:$B$49,0))*-1,0)</f>
        <v>0</v>
      </c>
      <c r="BF46" s="140" t="n">
        <f aca="false">_xlfn.IFNA(INDEX('🏦 Loan Schedule'!$D$14:$D$49,MATCH(BF5,'🏦 Loan Schedule'!$B$14:$B$49,0))*-1,0)</f>
        <v>0</v>
      </c>
      <c r="BG46" s="140" t="n">
        <f aca="false">_xlfn.IFNA(INDEX('🏦 Loan Schedule'!$D$14:$D$49,MATCH(BG5,'🏦 Loan Schedule'!$B$14:$B$49,0))*-1,0)</f>
        <v>0</v>
      </c>
      <c r="BH46" s="140" t="n">
        <f aca="false">_xlfn.IFNA(INDEX('🏦 Loan Schedule'!$D$14:$D$49,MATCH(BH5,'🏦 Loan Schedule'!$B$14:$B$49,0))*-1,0)</f>
        <v>0</v>
      </c>
      <c r="BI46" s="140" t="n">
        <f aca="false">_xlfn.IFNA(INDEX('🏦 Loan Schedule'!$D$14:$D$49,MATCH(BI5,'🏦 Loan Schedule'!$B$14:$B$49,0))*-1,0)</f>
        <v>0</v>
      </c>
      <c r="BJ46" s="140" t="n">
        <f aca="false">_xlfn.IFNA(INDEX('🏦 Loan Schedule'!$D$14:$D$49,MATCH(BJ5,'🏦 Loan Schedule'!$B$14:$B$49,0))*-1,0)</f>
        <v>0</v>
      </c>
    </row>
    <row r="47" customFormat="false" ht="13.8" hidden="false" customHeight="false" outlineLevel="0" collapsed="false">
      <c r="A47" s="137" t="s">
        <v>445</v>
      </c>
      <c r="B47" s="137"/>
      <c r="C47" s="140" t="n">
        <f aca="false">C19</f>
        <v>-10971329.2959632</v>
      </c>
      <c r="D47" s="140" t="n">
        <f aca="false">D19</f>
        <v>-11053614.2656829</v>
      </c>
      <c r="E47" s="140" t="n">
        <f aca="false">E19</f>
        <v>-11136516.3726756</v>
      </c>
      <c r="F47" s="140" t="n">
        <f aca="false">F19</f>
        <v>-11220040.2454706</v>
      </c>
      <c r="G47" s="140" t="n">
        <f aca="false">G19</f>
        <v>-11304190.5473117</v>
      </c>
      <c r="H47" s="140" t="n">
        <f aca="false">H19</f>
        <v>-11388971.9764165</v>
      </c>
      <c r="I47" s="140" t="n">
        <f aca="false">I19</f>
        <v>-11474389.2662396</v>
      </c>
      <c r="J47" s="140" t="n">
        <f aca="false">J19</f>
        <v>-11560447.1857364</v>
      </c>
      <c r="K47" s="140" t="n">
        <f aca="false">K19</f>
        <v>-11647150.5396294</v>
      </c>
      <c r="L47" s="140" t="n">
        <f aca="false">L19</f>
        <v>-11734504.1686767</v>
      </c>
      <c r="M47" s="140" t="n">
        <f aca="false">M19</f>
        <v>-11822512.9499417</v>
      </c>
      <c r="N47" s="140" t="n">
        <f aca="false">N19</f>
        <v>-11911181.7970663</v>
      </c>
      <c r="O47" s="140" t="n">
        <f aca="false">O19</f>
        <v>-12000515.6605443</v>
      </c>
      <c r="P47" s="140" t="n">
        <f aca="false">P19</f>
        <v>-12090519.5279984</v>
      </c>
      <c r="Q47" s="140" t="n">
        <f aca="false">Q19</f>
        <v>-12181198.4244584</v>
      </c>
      <c r="R47" s="140" t="n">
        <f aca="false">R19</f>
        <v>-12272557.4126418</v>
      </c>
      <c r="S47" s="140" t="n">
        <f aca="false">S19</f>
        <v>-12364601.5932366</v>
      </c>
      <c r="T47" s="140" t="n">
        <f aca="false">T19</f>
        <v>-12457336.1051859</v>
      </c>
      <c r="U47" s="140" t="n">
        <f aca="false">U19</f>
        <v>-12550766.1259748</v>
      </c>
      <c r="V47" s="140" t="n">
        <f aca="false">V19</f>
        <v>-12644896.8719196</v>
      </c>
      <c r="W47" s="140" t="n">
        <f aca="false">W19</f>
        <v>-12739733.598459</v>
      </c>
      <c r="X47" s="140" t="n">
        <f aca="false">X19</f>
        <v>-12835281.6004474</v>
      </c>
      <c r="Y47" s="140" t="n">
        <f aca="false">Y19</f>
        <v>-12931546.2124508</v>
      </c>
      <c r="Z47" s="140" t="n">
        <f aca="false">Z19</f>
        <v>-13028532.8090442</v>
      </c>
      <c r="AA47" s="140" t="n">
        <f aca="false">AA19</f>
        <v>-13126246.805112</v>
      </c>
      <c r="AB47" s="140" t="n">
        <f aca="false">AB19</f>
        <v>-13224693.6561503</v>
      </c>
      <c r="AC47" s="140" t="n">
        <f aca="false">AC19</f>
        <v>-13323878.8585715</v>
      </c>
      <c r="AD47" s="140" t="n">
        <f aca="false">AD19</f>
        <v>-13423807.9500108</v>
      </c>
      <c r="AE47" s="140" t="n">
        <f aca="false">AE19</f>
        <v>-13524486.5096358</v>
      </c>
      <c r="AF47" s="140" t="n">
        <f aca="false">AF19</f>
        <v>-13625920.1584581</v>
      </c>
      <c r="AG47" s="140" t="n">
        <f aca="false">AG19</f>
        <v>-13728114.5596465</v>
      </c>
      <c r="AH47" s="140" t="n">
        <f aca="false">AH19</f>
        <v>-13831075.4188439</v>
      </c>
      <c r="AI47" s="140" t="n">
        <f aca="false">AI19</f>
        <v>-13934808.4844852</v>
      </c>
      <c r="AJ47" s="140" t="n">
        <f aca="false">AJ19</f>
        <v>-14039319.5481189</v>
      </c>
      <c r="AK47" s="140" t="n">
        <f aca="false">AK19</f>
        <v>-14144614.4447298</v>
      </c>
      <c r="AL47" s="140" t="n">
        <f aca="false">AL19</f>
        <v>-14250699.0530652</v>
      </c>
      <c r="AM47" s="140" t="n">
        <f aca="false">AM19</f>
        <v>-14357579.2959632</v>
      </c>
      <c r="AN47" s="140" t="n">
        <f aca="false">AN19</f>
        <v>-0</v>
      </c>
      <c r="AO47" s="140" t="n">
        <f aca="false">AO19</f>
        <v>-0</v>
      </c>
      <c r="AP47" s="140" t="n">
        <f aca="false">AP19</f>
        <v>-0</v>
      </c>
      <c r="AQ47" s="140" t="n">
        <f aca="false">AQ19</f>
        <v>-0</v>
      </c>
      <c r="AR47" s="140" t="n">
        <f aca="false">AR19</f>
        <v>-0</v>
      </c>
      <c r="AS47" s="140" t="n">
        <f aca="false">AS19</f>
        <v>-0</v>
      </c>
      <c r="AT47" s="140" t="n">
        <f aca="false">AT19</f>
        <v>-0</v>
      </c>
      <c r="AU47" s="140" t="n">
        <f aca="false">AU19</f>
        <v>-0</v>
      </c>
      <c r="AV47" s="140" t="n">
        <f aca="false">AV19</f>
        <v>-0</v>
      </c>
      <c r="AW47" s="140" t="n">
        <f aca="false">AW19</f>
        <v>-0</v>
      </c>
      <c r="AX47" s="140" t="n">
        <f aca="false">AX19</f>
        <v>-0</v>
      </c>
      <c r="AY47" s="140" t="n">
        <f aca="false">AY19</f>
        <v>-0</v>
      </c>
      <c r="AZ47" s="140" t="n">
        <f aca="false">AZ19</f>
        <v>-0</v>
      </c>
      <c r="BA47" s="140" t="n">
        <f aca="false">BA19</f>
        <v>-0</v>
      </c>
      <c r="BB47" s="140" t="n">
        <f aca="false">BB19</f>
        <v>-0</v>
      </c>
      <c r="BC47" s="140" t="n">
        <f aca="false">BC19</f>
        <v>-0</v>
      </c>
      <c r="BD47" s="140" t="n">
        <f aca="false">BD19</f>
        <v>-0</v>
      </c>
      <c r="BE47" s="140" t="n">
        <f aca="false">BE19</f>
        <v>-0</v>
      </c>
      <c r="BF47" s="140" t="n">
        <f aca="false">BF19</f>
        <v>-0</v>
      </c>
      <c r="BG47" s="140" t="n">
        <f aca="false">BG19</f>
        <v>-0</v>
      </c>
      <c r="BH47" s="140" t="n">
        <f aca="false">BH19</f>
        <v>-0</v>
      </c>
      <c r="BI47" s="140" t="n">
        <f aca="false">BI19</f>
        <v>-0</v>
      </c>
      <c r="BJ47" s="140" t="n">
        <f aca="false">BJ19</f>
        <v>-0</v>
      </c>
    </row>
    <row r="48" customFormat="false" ht="13.8" hidden="false" customHeight="false" outlineLevel="0" collapsed="false">
      <c r="A48" s="137" t="s">
        <v>446</v>
      </c>
      <c r="B48" s="137"/>
      <c r="C48" s="140" t="n">
        <f aca="false">INDEX('📊 P&amp;L Detail'!$C$31:$BJ$31,MATCH(C5,'📊 P&amp;L Detail'!$C$4:$BJ$4,0))*-1</f>
        <v>-0</v>
      </c>
      <c r="D48" s="140" t="n">
        <f aca="false">INDEX('📊 P&amp;L Detail'!$C$31:$BJ$31,MATCH(D5,'📊 P&amp;L Detail'!$C$4:$BJ$4,0))*-1</f>
        <v>-0</v>
      </c>
      <c r="E48" s="140" t="n">
        <f aca="false">INDEX('📊 P&amp;L Detail'!$C$31:$BJ$31,MATCH(E5,'📊 P&amp;L Detail'!$C$4:$BJ$4,0))*-1</f>
        <v>-0</v>
      </c>
      <c r="F48" s="140" t="n">
        <f aca="false">INDEX('📊 P&amp;L Detail'!$C$31:$BJ$31,MATCH(F5,'📊 P&amp;L Detail'!$C$4:$BJ$4,0))*-1</f>
        <v>-0</v>
      </c>
      <c r="G48" s="140" t="n">
        <f aca="false">INDEX('📊 P&amp;L Detail'!$C$31:$BJ$31,MATCH(G5,'📊 P&amp;L Detail'!$C$4:$BJ$4,0))*-1</f>
        <v>-0</v>
      </c>
      <c r="H48" s="140" t="n">
        <f aca="false">INDEX('📊 P&amp;L Detail'!$C$31:$BJ$31,MATCH(H5,'📊 P&amp;L Detail'!$C$4:$BJ$4,0))*-1</f>
        <v>-0</v>
      </c>
      <c r="I48" s="140" t="n">
        <f aca="false">INDEX('📊 P&amp;L Detail'!$C$31:$BJ$31,MATCH(I5,'📊 P&amp;L Detail'!$C$4:$BJ$4,0))*-1</f>
        <v>-6615678.65327764</v>
      </c>
      <c r="J48" s="140" t="n">
        <f aca="false">INDEX('📊 P&amp;L Detail'!$C$31:$BJ$31,MATCH(J5,'📊 P&amp;L Detail'!$C$4:$BJ$4,0))*-1</f>
        <v>-5601463.27335232</v>
      </c>
      <c r="K48" s="140" t="n">
        <f aca="false">INDEX('📊 P&amp;L Detail'!$C$31:$BJ$31,MATCH(K5,'📊 P&amp;L Detail'!$C$4:$BJ$4,0))*-1</f>
        <v>-7873457.12436662</v>
      </c>
      <c r="L48" s="140" t="n">
        <f aca="false">INDEX('📊 P&amp;L Detail'!$C$31:$BJ$31,MATCH(L5,'📊 P&amp;L Detail'!$C$4:$BJ$4,0))*-1</f>
        <v>-11415551.7060213</v>
      </c>
      <c r="M48" s="140" t="n">
        <f aca="false">INDEX('📊 P&amp;L Detail'!$C$31:$BJ$31,MATCH(M5,'📊 P&amp;L Detail'!$C$4:$BJ$4,0))*-1</f>
        <v>-8577113.99039785</v>
      </c>
      <c r="N48" s="140" t="n">
        <f aca="false">INDEX('📊 P&amp;L Detail'!$C$31:$BJ$31,MATCH(N5,'📊 P&amp;L Detail'!$C$4:$BJ$4,0))*-1</f>
        <v>-8087067.28136031</v>
      </c>
      <c r="O48" s="140" t="n">
        <f aca="false">INDEX('📊 P&amp;L Detail'!$C$31:$BJ$31,MATCH(O5,'📊 P&amp;L Detail'!$C$4:$BJ$4,0))*-1</f>
        <v>-8647640.90208311</v>
      </c>
      <c r="P48" s="140" t="n">
        <f aca="false">INDEX('📊 P&amp;L Detail'!$C$31:$BJ$31,MATCH(P5,'📊 P&amp;L Detail'!$C$4:$BJ$4,0))*-1</f>
        <v>-12380640.8982035</v>
      </c>
      <c r="Q48" s="140" t="n">
        <f aca="false">INDEX('📊 P&amp;L Detail'!$C$31:$BJ$31,MATCH(Q5,'📊 P&amp;L Detail'!$C$4:$BJ$4,0))*-1</f>
        <v>-16434224.4128495</v>
      </c>
      <c r="R48" s="140" t="n">
        <f aca="false">INDEX('📊 P&amp;L Detail'!$C$31:$BJ$31,MATCH(R5,'📊 P&amp;L Detail'!$C$4:$BJ$4,0))*-1</f>
        <v>-16568910.3116679</v>
      </c>
      <c r="S48" s="140" t="n">
        <f aca="false">INDEX('📊 P&amp;L Detail'!$C$31:$BJ$31,MATCH(S5,'📊 P&amp;L Detail'!$C$4:$BJ$4,0))*-1</f>
        <v>-9793824.72972734</v>
      </c>
      <c r="T48" s="140" t="n">
        <f aca="false">INDEX('📊 P&amp;L Detail'!$C$31:$BJ$31,MATCH(T5,'📊 P&amp;L Detail'!$C$4:$BJ$4,0))*-1</f>
        <v>-14429497.5559223</v>
      </c>
      <c r="U48" s="140" t="n">
        <f aca="false">INDEX('📊 P&amp;L Detail'!$C$31:$BJ$31,MATCH(U5,'📊 P&amp;L Detail'!$C$4:$BJ$4,0))*-1</f>
        <v>-18880087.4330012</v>
      </c>
      <c r="V48" s="140" t="n">
        <f aca="false">INDEX('📊 P&amp;L Detail'!$C$31:$BJ$31,MATCH(V5,'📊 P&amp;L Detail'!$C$4:$BJ$4,0))*-1</f>
        <v>-17123514.8825956</v>
      </c>
      <c r="W48" s="140" t="n">
        <f aca="false">INDEX('📊 P&amp;L Detail'!$C$31:$BJ$31,MATCH(W5,'📊 P&amp;L Detail'!$C$4:$BJ$4,0))*-1</f>
        <v>-19172865.4302496</v>
      </c>
      <c r="X48" s="140" t="n">
        <f aca="false">INDEX('📊 P&amp;L Detail'!$C$31:$BJ$31,MATCH(X5,'📊 P&amp;L Detail'!$C$4:$BJ$4,0))*-1</f>
        <v>-18807137.1054484</v>
      </c>
      <c r="Y48" s="140" t="n">
        <f aca="false">INDEX('📊 P&amp;L Detail'!$C$31:$BJ$31,MATCH(Y5,'📊 P&amp;L Detail'!$C$4:$BJ$4,0))*-1</f>
        <v>-14935699.1916488</v>
      </c>
      <c r="Z48" s="140" t="n">
        <f aca="false">INDEX('📊 P&amp;L Detail'!$C$31:$BJ$31,MATCH(Z5,'📊 P&amp;L Detail'!$C$4:$BJ$4,0))*-1</f>
        <v>-12941964.1013081</v>
      </c>
      <c r="AA48" s="140" t="n">
        <f aca="false">INDEX('📊 P&amp;L Detail'!$C$31:$BJ$31,MATCH(AA5,'📊 P&amp;L Detail'!$C$4:$BJ$4,0))*-1</f>
        <v>-13661481.1259149</v>
      </c>
      <c r="AB48" s="140" t="n">
        <f aca="false">INDEX('📊 P&amp;L Detail'!$C$31:$BJ$31,MATCH(AB5,'📊 P&amp;L Detail'!$C$4:$BJ$4,0))*-1</f>
        <v>-16537122.6860187</v>
      </c>
      <c r="AC48" s="140" t="n">
        <f aca="false">INDEX('📊 P&amp;L Detail'!$C$31:$BJ$31,MATCH(AC5,'📊 P&amp;L Detail'!$C$4:$BJ$4,0))*-1</f>
        <v>-21415228.9562608</v>
      </c>
      <c r="AD48" s="140" t="n">
        <f aca="false">INDEX('📊 P&amp;L Detail'!$C$31:$BJ$31,MATCH(AD5,'📊 P&amp;L Detail'!$C$4:$BJ$4,0))*-1</f>
        <v>-21826981.8654048</v>
      </c>
      <c r="AE48" s="140" t="n">
        <f aca="false">INDEX('📊 P&amp;L Detail'!$C$31:$BJ$31,MATCH(AE5,'📊 P&amp;L Detail'!$C$4:$BJ$4,0))*-1</f>
        <v>-10166853.2213673</v>
      </c>
      <c r="AF48" s="140" t="n">
        <f aca="false">INDEX('📊 P&amp;L Detail'!$C$31:$BJ$31,MATCH(AF5,'📊 P&amp;L Detail'!$C$4:$BJ$4,0))*-1</f>
        <v>-14864415.9612495</v>
      </c>
      <c r="AG48" s="140" t="n">
        <f aca="false">INDEX('📊 P&amp;L Detail'!$C$31:$BJ$31,MATCH(AG5,'📊 P&amp;L Detail'!$C$4:$BJ$4,0))*-1</f>
        <v>-19370422.2763683</v>
      </c>
      <c r="AH48" s="140" t="n">
        <f aca="false">INDEX('📊 P&amp;L Detail'!$C$31:$BJ$31,MATCH(AH5,'📊 P&amp;L Detail'!$C$4:$BJ$4,0))*-1</f>
        <v>-17593672.7372881</v>
      </c>
      <c r="AI48" s="140" t="n">
        <f aca="false">INDEX('📊 P&amp;L Detail'!$C$31:$BJ$31,MATCH(AI5,'📊 P&amp;L Detail'!$C$4:$BJ$4,0))*-1</f>
        <v>-19681172.9188522</v>
      </c>
      <c r="AJ48" s="140" t="n">
        <f aca="false">INDEX('📊 P&amp;L Detail'!$C$31:$BJ$31,MATCH(AJ5,'📊 P&amp;L Detail'!$C$4:$BJ$4,0))*-1</f>
        <v>-19312560.9002156</v>
      </c>
      <c r="AK48" s="140" t="n">
        <f aca="false">INDEX('📊 P&amp;L Detail'!$C$31:$BJ$31,MATCH(AK5,'📊 P&amp;L Detail'!$C$4:$BJ$4,0))*-1</f>
        <v>-15391806.0148767</v>
      </c>
      <c r="AL48" s="140" t="n">
        <f aca="false">INDEX('📊 P&amp;L Detail'!$C$31:$BJ$31,MATCH(AL5,'📊 P&amp;L Detail'!$C$4:$BJ$4,0))*-1</f>
        <v>-13371980.7257102</v>
      </c>
      <c r="AM48" s="140" t="n">
        <f aca="false">INDEX('📊 P&amp;L Detail'!$C$31:$BJ$31,MATCH(AM5,'📊 P&amp;L Detail'!$C$4:$BJ$4,0))*-1</f>
        <v>-12677604.4696935</v>
      </c>
      <c r="AN48" s="140" t="n">
        <f aca="false">INDEX('📊 P&amp;L Detail'!$C$31:$BJ$31,MATCH(AN5,'📊 P&amp;L Detail'!$C$4:$BJ$4,0))*-1</f>
        <v>-15554853.3204037</v>
      </c>
      <c r="AO48" s="140" t="n">
        <f aca="false">INDEX('📊 P&amp;L Detail'!$C$31:$BJ$31,MATCH(AO5,'📊 P&amp;L Detail'!$C$4:$BJ$4,0))*-1</f>
        <v>-21920359</v>
      </c>
      <c r="AP48" s="140" t="n">
        <f aca="false">INDEX('📊 P&amp;L Detail'!$C$31:$BJ$31,MATCH(AP5,'📊 P&amp;L Detail'!$C$4:$BJ$4,0))*-1</f>
        <v>-21393049</v>
      </c>
      <c r="AQ48" s="140" t="n">
        <f aca="false">INDEX('📊 P&amp;L Detail'!$C$31:$BJ$31,MATCH(AQ5,'📊 P&amp;L Detail'!$C$4:$BJ$4,0))*-1</f>
        <v>-9912797.5</v>
      </c>
      <c r="AR48" s="140" t="n">
        <f aca="false">INDEX('📊 P&amp;L Detail'!$C$31:$BJ$31,MATCH(AR5,'📊 P&amp;L Detail'!$C$4:$BJ$4,0))*-1</f>
        <v>-14520128.125</v>
      </c>
      <c r="AS48" s="140" t="n">
        <f aca="false">INDEX('📊 P&amp;L Detail'!$C$31:$BJ$31,MATCH(AS5,'📊 P&amp;L Detail'!$C$4:$BJ$4,0))*-1</f>
        <v>-18944331.25</v>
      </c>
      <c r="AT48" s="140" t="n">
        <f aca="false">INDEX('📊 P&amp;L Detail'!$C$31:$BJ$31,MATCH(AT5,'📊 P&amp;L Detail'!$C$4:$BJ$4,0))*-1</f>
        <v>-17184926.875</v>
      </c>
      <c r="AU48" s="140" t="n">
        <f aca="false">INDEX('📊 P&amp;L Detail'!$C$31:$BJ$31,MATCH(AU5,'📊 P&amp;L Detail'!$C$4:$BJ$4,0))*-1</f>
        <v>-19213150</v>
      </c>
      <c r="AV48" s="140" t="n">
        <f aca="false">INDEX('📊 P&amp;L Detail'!$C$31:$BJ$31,MATCH(AV5,'📊 P&amp;L Detail'!$C$4:$BJ$4,0))*-1</f>
        <v>-18839048.125</v>
      </c>
      <c r="AW48" s="140" t="n">
        <f aca="false">INDEX('📊 P&amp;L Detail'!$C$31:$BJ$31,MATCH(AW5,'📊 P&amp;L Detail'!$C$4:$BJ$4,0))*-1</f>
        <v>-14973677.5</v>
      </c>
      <c r="AX48" s="140" t="n">
        <f aca="false">INDEX('📊 P&amp;L Detail'!$C$31:$BJ$31,MATCH(AX5,'📊 P&amp;L Detail'!$C$4:$BJ$4,0))*-1</f>
        <v>-12978681.25</v>
      </c>
      <c r="AY48" s="140" t="n">
        <f aca="false">INDEX('📊 P&amp;L Detail'!$C$31:$BJ$31,MATCH(AY5,'📊 P&amp;L Detail'!$C$4:$BJ$4,0))*-1</f>
        <v>-13685220.625</v>
      </c>
      <c r="AZ48" s="140" t="n">
        <f aca="false">INDEX('📊 P&amp;L Detail'!$C$31:$BJ$31,MATCH(AZ5,'📊 P&amp;L Detail'!$C$4:$BJ$4,0))*-1</f>
        <v>-16544098.75</v>
      </c>
      <c r="BA48" s="140" t="n">
        <f aca="false">INDEX('📊 P&amp;L Detail'!$C$31:$BJ$31,MATCH(BA5,'📊 P&amp;L Detail'!$C$4:$BJ$4,0))*-1</f>
        <v>-21393049</v>
      </c>
      <c r="BB48" s="140" t="n">
        <f aca="false">INDEX('📊 P&amp;L Detail'!$C$31:$BJ$31,MATCH(BB5,'📊 P&amp;L Detail'!$C$4:$BJ$4,0))*-1</f>
        <v>-21582880.6</v>
      </c>
      <c r="BC48" s="140" t="n">
        <f aca="false">INDEX('📊 P&amp;L Detail'!$C$31:$BJ$31,MATCH(BC5,'📊 P&amp;L Detail'!$C$4:$BJ$4,0))*-1</f>
        <v>-10700073.625</v>
      </c>
      <c r="BD48" s="140" t="n">
        <f aca="false">INDEX('📊 P&amp;L Detail'!$C$31:$BJ$31,MATCH(BD5,'📊 P&amp;L Detail'!$C$4:$BJ$4,0))*-1</f>
        <v>-14687109.625</v>
      </c>
      <c r="BE48" s="140" t="n">
        <f aca="false">INDEX('📊 P&amp;L Detail'!$C$31:$BJ$31,MATCH(BE5,'📊 P&amp;L Detail'!$C$4:$BJ$4,0))*-1</f>
        <v>-19139946.25</v>
      </c>
      <c r="BF48" s="140" t="n">
        <f aca="false">INDEX('📊 P&amp;L Detail'!$C$31:$BJ$31,MATCH(BF5,'📊 P&amp;L Detail'!$C$4:$BJ$4,0))*-1</f>
        <v>-17369485.375</v>
      </c>
      <c r="BG48" s="140" t="n">
        <f aca="false">INDEX('📊 P&amp;L Detail'!$C$31:$BJ$31,MATCH(BG5,'📊 P&amp;L Detail'!$C$4:$BJ$4,0))*-1</f>
        <v>-19519330</v>
      </c>
      <c r="BH48" s="140" t="n">
        <f aca="false">INDEX('📊 P&amp;L Detail'!$C$31:$BJ$31,MATCH(BH5,'📊 P&amp;L Detail'!$C$4:$BJ$4,0))*-1</f>
        <v>-19142251.375</v>
      </c>
      <c r="BI48" s="140" t="n">
        <f aca="false">INDEX('📊 P&amp;L Detail'!$C$31:$BJ$31,MATCH(BI5,'📊 P&amp;L Detail'!$C$4:$BJ$4,0))*-1</f>
        <v>-15237332.5</v>
      </c>
      <c r="BJ48" s="140" t="n">
        <f aca="false">INDEX('📊 P&amp;L Detail'!$C$31:$BJ$31,MATCH(BJ5,'📊 P&amp;L Detail'!$C$4:$BJ$4,0))*-1</f>
        <v>-13221073.75</v>
      </c>
    </row>
    <row r="49" customFormat="false" ht="13.8" hidden="false" customHeight="false" outlineLevel="0" collapsed="false">
      <c r="A49" s="138" t="s">
        <v>447</v>
      </c>
      <c r="B49" s="137"/>
      <c r="C49" s="140" t="n">
        <f aca="false">SUM(C43:C48)</f>
        <v>-719732579.295963</v>
      </c>
      <c r="D49" s="140" t="n">
        <f aca="false">D45+D46+D47+D48</f>
        <v>-74732579.2959632</v>
      </c>
      <c r="E49" s="140" t="n">
        <f aca="false">E45+E46+E47+E48</f>
        <v>-173983356.795963</v>
      </c>
      <c r="F49" s="140" t="n">
        <f aca="false">F45+F46+F47+F48</f>
        <v>-171974556.795963</v>
      </c>
      <c r="G49" s="140" t="n">
        <f aca="false">G45+G46+G47+G48</f>
        <v>-161306443.358463</v>
      </c>
      <c r="H49" s="140" t="n">
        <f aca="false">H45+H46+H47+H48</f>
        <v>-173376793.358463</v>
      </c>
      <c r="I49" s="140" t="n">
        <f aca="false">I45+I46+I47+I48</f>
        <v>-238027031.386741</v>
      </c>
      <c r="J49" s="140" t="n">
        <f aca="false">J45+J46+J47+J48</f>
        <v>-230787902.725566</v>
      </c>
      <c r="K49" s="140" t="n">
        <f aca="false">K45+K46+K47+K48</f>
        <v>-259786036.42033</v>
      </c>
      <c r="L49" s="140" t="n">
        <f aca="false">L45+L46+L47+L48</f>
        <v>-264950788.814485</v>
      </c>
      <c r="M49" s="140" t="n">
        <f aca="false">M45+M46+M47+M48</f>
        <v>-243503487.036361</v>
      </c>
      <c r="N49" s="140" t="n">
        <f aca="false">N45+N46+N47+N48</f>
        <v>-238721326.264824</v>
      </c>
      <c r="O49" s="140" t="n">
        <f aca="false">O45+O46+O47+O48</f>
        <v>-243918622.541796</v>
      </c>
      <c r="P49" s="140" t="n">
        <f aca="false">P45+P46+P47+P48</f>
        <v>-250039751.444167</v>
      </c>
      <c r="Q49" s="140" t="n">
        <f aca="false">Q45+Q46+Q47+Q48</f>
        <v>-277773178.708813</v>
      </c>
      <c r="R49" s="140" t="n">
        <f aca="false">R45+R46+R47+R48</f>
        <v>-276652364.607631</v>
      </c>
      <c r="S49" s="140" t="n">
        <f aca="false">S45+S46+S47+S48</f>
        <v>-240520179.025691</v>
      </c>
      <c r="T49" s="140" t="n">
        <f aca="false">T45+T46+T47+T48</f>
        <v>-275166858.101886</v>
      </c>
      <c r="U49" s="140" t="n">
        <f aca="false">U45+U46+U47+U48</f>
        <v>-303379979.228964</v>
      </c>
      <c r="V49" s="140" t="n">
        <f aca="false">V45+V46+V47+V48</f>
        <v>-292958262.928559</v>
      </c>
      <c r="W49" s="140" t="n">
        <f aca="false">W45+W46+W47+W48</f>
        <v>-321183944.726213</v>
      </c>
      <c r="X49" s="140" t="n">
        <f aca="false">X45+X46+X47+X48</f>
        <v>-319846047.651412</v>
      </c>
      <c r="Y49" s="140" t="n">
        <f aca="false">Y45+Y46+Y47+Y48</f>
        <v>-292010253.487612</v>
      </c>
      <c r="Z49" s="140" t="n">
        <f aca="false">Z45+Z46+Z47+Z48</f>
        <v>-276300855.897271</v>
      </c>
      <c r="AA49" s="140" t="n">
        <f aca="false">AA45+AA46+AA47+AA48</f>
        <v>-282747916.671878</v>
      </c>
      <c r="AB49" s="140" t="n">
        <f aca="false">AB45+AB46+AB47+AB48</f>
        <v>-284640589.481982</v>
      </c>
      <c r="AC49" s="140" t="n">
        <f aca="false">AC45+AC46+AC47+AC48</f>
        <v>-317786818.252224</v>
      </c>
      <c r="AD49" s="140" t="n">
        <f aca="false">AD45+AD46+AD47+AD48</f>
        <v>-314180971.161368</v>
      </c>
      <c r="AE49" s="140" t="n">
        <f aca="false">AE45+AE46+AE47+AE48</f>
        <v>-238322807.51733</v>
      </c>
      <c r="AF49" s="140" t="n">
        <f aca="false">AF45+AF46+AF47+AF48</f>
        <v>-272421176.507213</v>
      </c>
      <c r="AG49" s="140" t="n">
        <f aca="false">AG45+AG46+AG47+AG48</f>
        <v>-300144314.072332</v>
      </c>
      <c r="AH49" s="140" t="n">
        <f aca="false">AH45+AH46+AH47+AH48</f>
        <v>-289913020.783251</v>
      </c>
      <c r="AI49" s="140" t="n">
        <f aca="false">AI45+AI46+AI47+AI48</f>
        <v>-317804252.214815</v>
      </c>
      <c r="AJ49" s="140" t="n">
        <f aca="false">AJ45+AJ46+AJ47+AJ48</f>
        <v>-316501271.446179</v>
      </c>
      <c r="AK49" s="140" t="n">
        <f aca="false">AK45+AK46+AK47+AK48</f>
        <v>-289118360.31084</v>
      </c>
      <c r="AL49" s="140" t="n">
        <f aca="false">AL45+AL46+AL47+AL48</f>
        <v>-273652872.521673</v>
      </c>
      <c r="AM49" s="140" t="n">
        <f aca="false">AM45+AM46+AM47+AM48</f>
        <v>-278583440.015657</v>
      </c>
      <c r="AN49" s="140" t="n">
        <f aca="false">AN45+AN46+AN47+AN48</f>
        <v>-265898740.820404</v>
      </c>
      <c r="AO49" s="140" t="n">
        <f aca="false">AO45+AO46+AO47+AO48</f>
        <v>-299916769</v>
      </c>
      <c r="AP49" s="140" t="n">
        <f aca="false">AP45+AP46+AP47+AP48</f>
        <v>-304662559</v>
      </c>
      <c r="AQ49" s="140" t="n">
        <f aca="false">AQ45+AQ46+AQ47+AQ48</f>
        <v>-227084822.5</v>
      </c>
      <c r="AR49" s="140" t="n">
        <f aca="false">AR45+AR46+AR47+AR48</f>
        <v>-261893846.875</v>
      </c>
      <c r="AS49" s="140" t="n">
        <f aca="false">AS45+AS46+AS47+AS48</f>
        <v>-290251018.75</v>
      </c>
      <c r="AT49" s="140" t="n">
        <f aca="false">AT45+AT46+AT47+AT48</f>
        <v>-279760658.125</v>
      </c>
      <c r="AU49" s="140" t="n">
        <f aca="false">AU45+AU46+AU47+AU48</f>
        <v>-308081650</v>
      </c>
      <c r="AV49" s="140" t="n">
        <f aca="false">AV45+AV46+AV47+AV48</f>
        <v>-306723566.875</v>
      </c>
      <c r="AW49" s="140" t="n">
        <f aca="false">AW45+AW46+AW47+AW48</f>
        <v>-278736902.5</v>
      </c>
      <c r="AX49" s="140" t="n">
        <f aca="false">AX45+AX46+AX47+AX48</f>
        <v>-262941868.75</v>
      </c>
      <c r="AY49" s="140" t="n">
        <f aca="false">AY45+AY46+AY47+AY48</f>
        <v>-269408014.375</v>
      </c>
      <c r="AZ49" s="140" t="n">
        <f aca="false">AZ45+AZ46+AZ47+AZ48</f>
        <v>-271353111.25</v>
      </c>
      <c r="BA49" s="140" t="n">
        <f aca="false">BA45+BA46+BA47+BA48</f>
        <v>-304662559</v>
      </c>
      <c r="BB49" s="140" t="n">
        <f aca="false">BB45+BB46+BB47+BB48</f>
        <v>-302954074.6</v>
      </c>
      <c r="BC49" s="140" t="n">
        <f aca="false">BC45+BC46+BC47+BC48</f>
        <v>-231474337.375</v>
      </c>
      <c r="BD49" s="140" t="n">
        <f aca="false">BD45+BD46+BD47+BD48</f>
        <v>-260391013.375</v>
      </c>
      <c r="BE49" s="140" t="n">
        <f aca="false">BE45+BE46+BE47+BE48</f>
        <v>-288490483.75</v>
      </c>
      <c r="BF49" s="140" t="n">
        <f aca="false">BF45+BF46+BF47+BF48</f>
        <v>-278099631.625</v>
      </c>
      <c r="BG49" s="140" t="n">
        <f aca="false">BG45+BG46+BG47+BG48</f>
        <v>-305326030</v>
      </c>
      <c r="BH49" s="140" t="n">
        <f aca="false">BH45+BH46+BH47+BH48</f>
        <v>-303994737.625</v>
      </c>
      <c r="BI49" s="140" t="n">
        <f aca="false">BI45+BI46+BI47+BI48</f>
        <v>-276364007.5</v>
      </c>
      <c r="BJ49" s="140" t="n">
        <f aca="false">BJ45+BJ46+BJ47+BJ48</f>
        <v>-260760336.25</v>
      </c>
    </row>
    <row r="50" customFormat="false" ht="13.8" hidden="false" customHeight="false" outlineLevel="0" collapsed="false">
      <c r="A50" s="138" t="s">
        <v>448</v>
      </c>
      <c r="B50" s="137" t="n">
        <f aca="false">B39</f>
        <v>460473265.542316</v>
      </c>
      <c r="C50" s="137" t="n">
        <f aca="false">C39+C42+C49</f>
        <v>192240686.246353</v>
      </c>
      <c r="D50" s="137" t="n">
        <f aca="false">D39+D42+D49</f>
        <v>117508106.95039</v>
      </c>
      <c r="E50" s="137" t="n">
        <f aca="false">E39+E42+E49</f>
        <v>69074750.1544265</v>
      </c>
      <c r="F50" s="137" t="n">
        <f aca="false">F39+F42+F49</f>
        <v>22650193.3584632</v>
      </c>
      <c r="G50" s="137" t="n">
        <f aca="false">G39+G42+G49</f>
        <v>0</v>
      </c>
      <c r="H50" s="137" t="n">
        <f aca="false">H39+H42+H49</f>
        <v>-7720543.35846323</v>
      </c>
      <c r="I50" s="137" t="n">
        <f aca="false">I39+I42+I49</f>
        <v>45346175.2547959</v>
      </c>
      <c r="J50" s="137" t="n">
        <f aca="false">J39+J42+J49</f>
        <v>89198897.5292304</v>
      </c>
      <c r="K50" s="137" t="n">
        <f aca="false">K39+K42+K49</f>
        <v>153412861.108901</v>
      </c>
      <c r="L50" s="137" t="n">
        <f aca="false">L39+L42+L49</f>
        <v>249418322.294416</v>
      </c>
      <c r="M50" s="137" t="n">
        <f aca="false">M39+M42+M49</f>
        <v>319789835.258055</v>
      </c>
      <c r="N50" s="137" t="n">
        <f aca="false">N39+N42+N49</f>
        <v>385662258.993231</v>
      </c>
      <c r="O50" s="137" t="n">
        <f aca="false">O39+O42+O49</f>
        <v>456490511.451435</v>
      </c>
      <c r="P50" s="137" t="n">
        <f aca="false">P39+P42+P49</f>
        <v>560825760.007268</v>
      </c>
      <c r="Q50" s="137" t="n">
        <f aca="false">Q39+Q42+Q49</f>
        <v>701552581.298456</v>
      </c>
      <c r="R50" s="137" t="n">
        <f aca="false">R39+R42+R49</f>
        <v>843400216.690824</v>
      </c>
      <c r="S50" s="137" t="n">
        <f aca="false">S39+S42+S49</f>
        <v>924180037.665134</v>
      </c>
      <c r="T50" s="137" t="n">
        <f aca="false">T39+T42+T49</f>
        <v>1046588179.56325</v>
      </c>
      <c r="U50" s="137" t="n">
        <f aca="false">U39+U42+U49</f>
        <v>1208958200.33428</v>
      </c>
      <c r="V50" s="137" t="n">
        <f aca="false">V39+V42+V49</f>
        <v>1355424937.40573</v>
      </c>
      <c r="W50" s="137" t="n">
        <f aca="false">W39+W42+W49</f>
        <v>1520240992.67951</v>
      </c>
      <c r="X50" s="137" t="n">
        <f aca="false">X39+X42+X49</f>
        <v>1681669945.0281</v>
      </c>
      <c r="Y50" s="137" t="n">
        <f aca="false">Y39+Y42+Y49</f>
        <v>1808159691.54049</v>
      </c>
      <c r="Z50" s="137" t="n">
        <f aca="false">Z39+Z42+Z49</f>
        <v>1916608835.64322</v>
      </c>
      <c r="AA50" s="137" t="n">
        <f aca="false">AA39+AA42+AA49</f>
        <v>2031435918.97134</v>
      </c>
      <c r="AB50" s="137" t="n">
        <f aca="false">AB39+AB42+AB49</f>
        <v>2172045329.48936</v>
      </c>
      <c r="AC50" s="137" t="n">
        <f aca="false">AC39+AC42+AC49</f>
        <v>2356458511.23713</v>
      </c>
      <c r="AD50" s="137" t="n">
        <f aca="false">AD39+AD42+AD49</f>
        <v>2544477540.07577</v>
      </c>
      <c r="AE50" s="137" t="n">
        <f aca="false">AE39+AE42+AE49</f>
        <v>2627454732.55844</v>
      </c>
      <c r="AF50" s="137" t="n">
        <f aca="false">AF39+AF42+AF49</f>
        <v>2752608556.05122</v>
      </c>
      <c r="AG50" s="137" t="n">
        <f aca="false">AG39+AG42+AG49</f>
        <v>2918214241.97889</v>
      </c>
      <c r="AH50" s="137" t="n">
        <f aca="false">AH39+AH42+AH49</f>
        <v>3067726221.19564</v>
      </c>
      <c r="AI50" s="137" t="n">
        <f aca="false">AI39+AI42+AI49</f>
        <v>3235921968.98083</v>
      </c>
      <c r="AJ50" s="137" t="n">
        <f aca="false">AJ39+AJ42+AJ49</f>
        <v>3400695697.53465</v>
      </c>
      <c r="AK50" s="137" t="n">
        <f aca="false">AK39+AK42+AK49</f>
        <v>3530077337.22381</v>
      </c>
      <c r="AL50" s="137" t="n">
        <f aca="false">AL39+AL42+AL49</f>
        <v>3641174464.70213</v>
      </c>
      <c r="AM50" s="137" t="n">
        <f aca="false">AM39+AM42+AM49</f>
        <v>3760166024.68648</v>
      </c>
      <c r="AN50" s="137" t="n">
        <f aca="false">AN39+AN42+AN49</f>
        <v>3919517283.86607</v>
      </c>
      <c r="AO50" s="137" t="n">
        <f aca="false">AO39+AO42+AO49</f>
        <v>4121800514.86607</v>
      </c>
      <c r="AP50" s="137" t="n">
        <f aca="false">AP39+AP42+AP49</f>
        <v>4319337955.86607</v>
      </c>
      <c r="AQ50" s="137" t="n">
        <f aca="false">AQ39+AQ42+AQ49</f>
        <v>4413553133.36607</v>
      </c>
      <c r="AR50" s="137" t="n">
        <f aca="false">AR39+AR42+AR49</f>
        <v>4549234286.49107</v>
      </c>
      <c r="AS50" s="137" t="n">
        <f aca="false">AS39+AS42+AS49</f>
        <v>4724733267.74107</v>
      </c>
      <c r="AT50" s="137" t="n">
        <f aca="false">AT39+AT42+AT49</f>
        <v>4884397609.61607</v>
      </c>
      <c r="AU50" s="137" t="n">
        <f aca="false">AU39+AU42+AU49</f>
        <v>5062315959.61607</v>
      </c>
      <c r="AV50" s="137" t="n">
        <f aca="false">AV39+AV42+AV49</f>
        <v>5236867392.74107</v>
      </c>
      <c r="AW50" s="137" t="n">
        <f aca="false">AW39+AW42+AW49</f>
        <v>5376630490.24107</v>
      </c>
      <c r="AX50" s="137" t="n">
        <f aca="false">AX39+AX42+AX49</f>
        <v>5498438621.49107</v>
      </c>
      <c r="AY50" s="137" t="n">
        <f aca="false">AY39+AY42+AY49</f>
        <v>5626605607.11607</v>
      </c>
      <c r="AZ50" s="137" t="n">
        <f aca="false">AZ39+AZ42+AZ49</f>
        <v>5780502495.86607</v>
      </c>
      <c r="BA50" s="137" t="n">
        <f aca="false">BA39+BA42+BA49</f>
        <v>5978039936.86607</v>
      </c>
      <c r="BB50" s="137" t="n">
        <f aca="false">BB39+BB42+BB49</f>
        <v>6177285862.26607</v>
      </c>
      <c r="BC50" s="137" t="n">
        <f aca="false">BC39+BC42+BC49</f>
        <v>6278586524.89107</v>
      </c>
      <c r="BD50" s="137" t="n">
        <f aca="false">BD39+BD42+BD49</f>
        <v>6415770511.51607</v>
      </c>
      <c r="BE50" s="137" t="n">
        <f aca="false">BE39+BE42+BE49</f>
        <v>6593030027.76607</v>
      </c>
      <c r="BF50" s="137" t="n">
        <f aca="false">BF39+BF42+BF49</f>
        <v>6754355396.14107</v>
      </c>
      <c r="BG50" s="137" t="n">
        <f aca="false">BG39+BG42+BG49</f>
        <v>6935029366.14107</v>
      </c>
      <c r="BH50" s="137" t="n">
        <f aca="false">BH39+BH42+BH49</f>
        <v>7112309628.51607</v>
      </c>
      <c r="BI50" s="137" t="n">
        <f aca="false">BI39+BI42+BI49</f>
        <v>7254445621.01607</v>
      </c>
      <c r="BJ50" s="137" t="n">
        <f aca="false">BJ39+BJ42+BJ49</f>
        <v>7378435284.76607</v>
      </c>
    </row>
    <row r="51" customFormat="false" ht="13.8" hidden="false" customHeight="false" outlineLevel="0" collapsed="false">
      <c r="A51" s="83" t="s">
        <v>449</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9">
    <mergeCell ref="A1:AM1"/>
    <mergeCell ref="C2:N2"/>
    <mergeCell ref="O2:Z2"/>
    <mergeCell ref="AA2:AL2"/>
    <mergeCell ref="A6:BJ6"/>
    <mergeCell ref="A12:BJ12"/>
    <mergeCell ref="A17:BJ17"/>
    <mergeCell ref="A23:BJ23"/>
    <mergeCell ref="A26:AM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5100"/>
    <pageSetUpPr fitToPage="false"/>
  </sheetPr>
  <dimension ref="A1:P23"/>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selection pane="topLeft" activeCell="B4" activeCellId="0" sqref="B4"/>
    </sheetView>
  </sheetViews>
  <sheetFormatPr defaultColWidth="8.71484375" defaultRowHeight="12.8" customHeight="false" zeroHeight="false" outlineLevelRow="0" outlineLevelCol="0"/>
  <cols>
    <col collapsed="false" customWidth="true" hidden="false" outlineLevel="0" max="1" min="1" style="4" width="30"/>
    <col collapsed="false" customWidth="true" hidden="false" outlineLevel="0" max="2" min="2" style="4" width="14"/>
    <col collapsed="false" customWidth="true" hidden="false" outlineLevel="0" max="14" min="3" style="4" width="10"/>
    <col collapsed="false" customWidth="true" hidden="false" outlineLevel="0" max="16" min="15" style="4" width="14"/>
  </cols>
  <sheetData>
    <row r="1" customFormat="false" ht="30" hidden="false" customHeight="true" outlineLevel="0" collapsed="false">
      <c r="A1" s="43" t="s">
        <v>450</v>
      </c>
      <c r="B1" s="43"/>
      <c r="C1" s="43"/>
      <c r="D1" s="43"/>
      <c r="E1" s="43"/>
      <c r="F1" s="43"/>
      <c r="G1" s="43"/>
      <c r="H1" s="43"/>
      <c r="I1" s="43"/>
      <c r="J1" s="43"/>
      <c r="K1" s="43"/>
      <c r="L1" s="43"/>
      <c r="M1" s="43"/>
      <c r="N1" s="43"/>
      <c r="O1" s="43"/>
      <c r="P1" s="43"/>
    </row>
    <row r="2" customFormat="false" ht="19.5" hidden="false" customHeight="true" outlineLevel="0" collapsed="false">
      <c r="A2" s="141" t="s">
        <v>451</v>
      </c>
      <c r="B2" s="141"/>
      <c r="C2" s="141"/>
      <c r="D2" s="141"/>
      <c r="E2" s="141"/>
      <c r="F2" s="141"/>
      <c r="G2" s="141"/>
      <c r="H2" s="141"/>
      <c r="I2" s="141"/>
      <c r="J2" s="141"/>
      <c r="K2" s="141"/>
      <c r="L2" s="141"/>
      <c r="M2" s="141"/>
      <c r="N2" s="141"/>
      <c r="O2" s="141"/>
      <c r="P2" s="141"/>
    </row>
    <row r="3" customFormat="false" ht="15.75" hidden="false" customHeight="true" outlineLevel="0" collapsed="false">
      <c r="A3" s="31" t="s">
        <v>452</v>
      </c>
      <c r="B3" s="32" t="s">
        <v>308</v>
      </c>
      <c r="C3" s="142" t="s">
        <v>453</v>
      </c>
    </row>
    <row r="4" customFormat="false" ht="13.8" hidden="false" customHeight="false" outlineLevel="0" collapsed="false"/>
    <row r="5" customFormat="false" ht="27.75" hidden="false" customHeight="true" outlineLevel="0" collapsed="false">
      <c r="A5" s="143" t="s">
        <v>224</v>
      </c>
      <c r="B5" s="144" t="s">
        <v>454</v>
      </c>
      <c r="C5" s="44" t="s">
        <v>455</v>
      </c>
      <c r="D5" s="44" t="s">
        <v>456</v>
      </c>
      <c r="E5" s="44" t="s">
        <v>457</v>
      </c>
      <c r="F5" s="44" t="s">
        <v>458</v>
      </c>
      <c r="G5" s="44" t="s">
        <v>459</v>
      </c>
      <c r="H5" s="44" t="s">
        <v>460</v>
      </c>
      <c r="I5" s="44" t="s">
        <v>461</v>
      </c>
      <c r="J5" s="44" t="s">
        <v>462</v>
      </c>
      <c r="K5" s="44" t="s">
        <v>463</v>
      </c>
      <c r="L5" s="44" t="s">
        <v>464</v>
      </c>
      <c r="M5" s="44" t="s">
        <v>465</v>
      </c>
      <c r="N5" s="44" t="s">
        <v>466</v>
      </c>
      <c r="O5" s="144" t="s">
        <v>467</v>
      </c>
      <c r="P5" s="144" t="s">
        <v>468</v>
      </c>
    </row>
    <row r="6" customFormat="false" ht="12" hidden="false" customHeight="true" outlineLevel="0" collapsed="false">
      <c r="A6" s="30"/>
      <c r="B6" s="30"/>
      <c r="C6" s="145" t="s">
        <v>469</v>
      </c>
      <c r="D6" s="145" t="s">
        <v>469</v>
      </c>
      <c r="E6" s="145" t="s">
        <v>469</v>
      </c>
      <c r="F6" s="145" t="s">
        <v>469</v>
      </c>
      <c r="G6" s="145" t="s">
        <v>469</v>
      </c>
      <c r="H6" s="145" t="s">
        <v>469</v>
      </c>
      <c r="I6" s="145" t="s">
        <v>469</v>
      </c>
      <c r="J6" s="145" t="s">
        <v>469</v>
      </c>
      <c r="K6" s="145" t="s">
        <v>469</v>
      </c>
      <c r="L6" s="145" t="s">
        <v>469</v>
      </c>
      <c r="M6" s="145" t="s">
        <v>469</v>
      </c>
      <c r="N6" s="145" t="s">
        <v>469</v>
      </c>
      <c r="O6" s="30"/>
      <c r="P6" s="30"/>
    </row>
    <row r="7" customFormat="false" ht="13.5" hidden="false" customHeight="true" outlineLevel="0" collapsed="false">
      <c r="A7" s="66" t="s">
        <v>470</v>
      </c>
      <c r="B7" s="67" t="n">
        <f aca="false">SUM('📊 P&amp;L Detail'!C8:N8)</f>
        <v>2424571875</v>
      </c>
      <c r="C7" s="64"/>
      <c r="D7" s="64"/>
      <c r="E7" s="64"/>
      <c r="F7" s="64"/>
      <c r="G7" s="64"/>
      <c r="H7" s="64"/>
      <c r="I7" s="64"/>
      <c r="J7" s="64"/>
      <c r="K7" s="64"/>
      <c r="L7" s="64"/>
      <c r="M7" s="64"/>
      <c r="N7" s="64"/>
      <c r="O7" s="67" t="n">
        <f aca="false">SUM(C7:N7)</f>
        <v>0</v>
      </c>
      <c r="P7" s="67" t="n">
        <f aca="false">IFERROR(O7-B7,"-")</f>
        <v>-2424571875</v>
      </c>
    </row>
    <row r="8" customFormat="false" ht="13.5" hidden="false" customHeight="true" outlineLevel="0" collapsed="false">
      <c r="A8" s="37" t="s">
        <v>471</v>
      </c>
      <c r="B8" s="68" t="n">
        <f aca="false">SUM('📊 P&amp;L Detail'!C11:N11)</f>
        <v>642095775</v>
      </c>
      <c r="C8" s="64"/>
      <c r="D8" s="64"/>
      <c r="E8" s="64"/>
      <c r="F8" s="64"/>
      <c r="G8" s="64"/>
      <c r="H8" s="64"/>
      <c r="I8" s="64"/>
      <c r="J8" s="64"/>
      <c r="K8" s="64"/>
      <c r="L8" s="64"/>
      <c r="M8" s="64"/>
      <c r="N8" s="64"/>
      <c r="O8" s="68" t="n">
        <f aca="false">SUM(C8:N8)</f>
        <v>0</v>
      </c>
      <c r="P8" s="68" t="n">
        <f aca="false">IFERROR(O8-B8,"-")</f>
        <v>-642095775</v>
      </c>
    </row>
    <row r="9" customFormat="false" ht="13.5" hidden="false" customHeight="true" outlineLevel="0" collapsed="false">
      <c r="A9" s="66" t="s">
        <v>472</v>
      </c>
      <c r="B9" s="67" t="n">
        <f aca="false">SUM('📊 P&amp;L Detail'!C12:N12)</f>
        <v>1782476100</v>
      </c>
      <c r="C9" s="64"/>
      <c r="D9" s="64"/>
      <c r="E9" s="64"/>
      <c r="F9" s="64"/>
      <c r="G9" s="64"/>
      <c r="H9" s="64"/>
      <c r="I9" s="64"/>
      <c r="J9" s="64"/>
      <c r="K9" s="64"/>
      <c r="L9" s="64"/>
      <c r="M9" s="64"/>
      <c r="N9" s="64"/>
      <c r="O9" s="67" t="n">
        <f aca="false">SUM(C9:N9)</f>
        <v>0</v>
      </c>
      <c r="P9" s="67" t="n">
        <f aca="false">IFERROR(O9-B9,"-")</f>
        <v>-1782476100</v>
      </c>
    </row>
    <row r="10" customFormat="false" ht="13.5" hidden="false" customHeight="true" outlineLevel="0" collapsed="false">
      <c r="A10" s="37" t="s">
        <v>473</v>
      </c>
      <c r="B10" s="82" t="str">
        <f aca="false">""</f>
        <v/>
      </c>
      <c r="C10" s="53"/>
      <c r="D10" s="53"/>
      <c r="E10" s="53"/>
      <c r="F10" s="53"/>
      <c r="G10" s="53"/>
      <c r="H10" s="53"/>
      <c r="I10" s="53"/>
      <c r="J10" s="53"/>
      <c r="K10" s="53"/>
      <c r="L10" s="53"/>
      <c r="M10" s="53"/>
      <c r="N10" s="53"/>
      <c r="O10" s="146" t="str">
        <f aca="false">""</f>
        <v/>
      </c>
      <c r="P10" s="146" t="str">
        <f aca="false">""</f>
        <v/>
      </c>
    </row>
    <row r="11" customFormat="false" ht="13.5" hidden="false" customHeight="true" outlineLevel="0" collapsed="false">
      <c r="A11" s="38" t="s">
        <v>474</v>
      </c>
      <c r="B11" s="60" t="n">
        <f aca="false">SUM('📊 P&amp;L Detail'!C25:N25)</f>
        <v>1538391925.9095</v>
      </c>
      <c r="C11" s="64"/>
      <c r="D11" s="64"/>
      <c r="E11" s="64"/>
      <c r="F11" s="64"/>
      <c r="G11" s="64"/>
      <c r="H11" s="64"/>
      <c r="I11" s="64"/>
      <c r="J11" s="64"/>
      <c r="K11" s="64"/>
      <c r="L11" s="64"/>
      <c r="M11" s="64"/>
      <c r="N11" s="64"/>
      <c r="O11" s="60" t="n">
        <f aca="false">SUM(C11:N11)</f>
        <v>0</v>
      </c>
      <c r="P11" s="60" t="n">
        <f aca="false">IFERROR(O11-B11,"-")</f>
        <v>-1538391925.9095</v>
      </c>
    </row>
    <row r="12" customFormat="false" ht="13.5" hidden="false" customHeight="true" outlineLevel="0" collapsed="false">
      <c r="A12" s="66" t="s">
        <v>475</v>
      </c>
      <c r="B12" s="67" t="n">
        <f aca="false">SUM('📊 P&amp;L Detail'!C26:N26)</f>
        <v>339150277.03125</v>
      </c>
      <c r="C12" s="64"/>
      <c r="D12" s="64"/>
      <c r="E12" s="64"/>
      <c r="F12" s="64"/>
      <c r="G12" s="64"/>
      <c r="H12" s="64"/>
      <c r="I12" s="64"/>
      <c r="J12" s="64"/>
      <c r="K12" s="64"/>
      <c r="L12" s="64"/>
      <c r="M12" s="64"/>
      <c r="N12" s="64"/>
      <c r="O12" s="67" t="n">
        <f aca="false">SUM(C12:N12)</f>
        <v>0</v>
      </c>
      <c r="P12" s="67" t="n">
        <f aca="false">IFERROR(O12-B12,"-")</f>
        <v>-339150277.03125</v>
      </c>
    </row>
    <row r="13" customFormat="false" ht="13.5" hidden="false" customHeight="true" outlineLevel="0" collapsed="false">
      <c r="A13" s="38" t="s">
        <v>476</v>
      </c>
      <c r="B13" s="80" t="str">
        <f aca="false">""</f>
        <v/>
      </c>
      <c r="C13" s="53"/>
      <c r="D13" s="53"/>
      <c r="E13" s="53"/>
      <c r="F13" s="53"/>
      <c r="G13" s="53"/>
      <c r="H13" s="53"/>
      <c r="I13" s="53"/>
      <c r="J13" s="53"/>
      <c r="K13" s="53"/>
      <c r="L13" s="53"/>
      <c r="M13" s="53"/>
      <c r="N13" s="53"/>
      <c r="O13" s="147" t="str">
        <f aca="false">""</f>
        <v/>
      </c>
      <c r="P13" s="147" t="str">
        <f aca="false">""</f>
        <v/>
      </c>
    </row>
    <row r="14" customFormat="false" ht="13.5" hidden="false" customHeight="true" outlineLevel="0" collapsed="false">
      <c r="A14" s="37" t="s">
        <v>477</v>
      </c>
      <c r="B14" s="68" t="n">
        <f aca="false">SUM('📊 P&amp;L Detail'!C28:N28)</f>
        <v>244084174.090502</v>
      </c>
      <c r="C14" s="64"/>
      <c r="D14" s="64"/>
      <c r="E14" s="64"/>
      <c r="F14" s="64"/>
      <c r="G14" s="64"/>
      <c r="H14" s="64"/>
      <c r="I14" s="64"/>
      <c r="J14" s="64"/>
      <c r="K14" s="64"/>
      <c r="L14" s="64"/>
      <c r="M14" s="64"/>
      <c r="N14" s="64"/>
      <c r="O14" s="68" t="n">
        <f aca="false">SUM(C14:N14)</f>
        <v>0</v>
      </c>
      <c r="P14" s="68" t="n">
        <f aca="false">IFERROR(O14-B14,"-")</f>
        <v>-244084174.090502</v>
      </c>
    </row>
    <row r="15" customFormat="false" ht="13.5" hidden="false" customHeight="true" outlineLevel="0" collapsed="false">
      <c r="A15" s="66" t="s">
        <v>478</v>
      </c>
      <c r="B15" s="67" t="n">
        <f aca="false">SUM('📊 P&amp;L Detail'!C32:N32)</f>
        <v>195913842.061726</v>
      </c>
      <c r="C15" s="64"/>
      <c r="D15" s="64"/>
      <c r="E15" s="64"/>
      <c r="F15" s="64"/>
      <c r="G15" s="64"/>
      <c r="H15" s="64"/>
      <c r="I15" s="64"/>
      <c r="J15" s="64"/>
      <c r="K15" s="64"/>
      <c r="L15" s="64"/>
      <c r="M15" s="64"/>
      <c r="N15" s="64"/>
      <c r="O15" s="67" t="n">
        <f aca="false">SUM(C15:N15)</f>
        <v>0</v>
      </c>
      <c r="P15" s="67" t="n">
        <f aca="false">IFERROR(O15-B15,"-")</f>
        <v>-195913842.061726</v>
      </c>
    </row>
    <row r="16" customFormat="false" ht="13.5" hidden="false" customHeight="true" outlineLevel="0" collapsed="false">
      <c r="A16" s="37" t="s">
        <v>479</v>
      </c>
      <c r="B16" s="82" t="str">
        <f aca="false">""</f>
        <v/>
      </c>
      <c r="C16" s="53"/>
      <c r="D16" s="53"/>
      <c r="E16" s="53"/>
      <c r="F16" s="53"/>
      <c r="G16" s="53"/>
      <c r="H16" s="53"/>
      <c r="I16" s="53"/>
      <c r="J16" s="53"/>
      <c r="K16" s="53"/>
      <c r="L16" s="53"/>
      <c r="M16" s="53"/>
      <c r="N16" s="53"/>
      <c r="O16" s="146" t="str">
        <f aca="false">""</f>
        <v/>
      </c>
      <c r="P16" s="146" t="str">
        <f aca="false">""</f>
        <v/>
      </c>
    </row>
    <row r="17" customFormat="false" ht="13.5" hidden="false" customHeight="true" outlineLevel="0" collapsed="false">
      <c r="A17" s="66" t="s">
        <v>480</v>
      </c>
      <c r="B17" s="67" t="n">
        <f aca="false">SUM('💵 Cash Flow'!C11:N11)</f>
        <v>290979945.002474</v>
      </c>
      <c r="C17" s="64"/>
      <c r="D17" s="64"/>
      <c r="E17" s="64"/>
      <c r="F17" s="64"/>
      <c r="G17" s="64"/>
      <c r="H17" s="64"/>
      <c r="I17" s="64"/>
      <c r="J17" s="64"/>
      <c r="K17" s="64"/>
      <c r="L17" s="64"/>
      <c r="M17" s="64"/>
      <c r="N17" s="64"/>
      <c r="O17" s="67" t="n">
        <f aca="false">SUM(C17:N17)</f>
        <v>0</v>
      </c>
      <c r="P17" s="67" t="n">
        <f aca="false">IFERROR(O17-B17,"-")</f>
        <v>-290979945.002474</v>
      </c>
    </row>
    <row r="18" customFormat="false" ht="13.5" hidden="false" customHeight="true" outlineLevel="0" collapsed="false">
      <c r="A18" s="66" t="s">
        <v>481</v>
      </c>
      <c r="B18" s="67" t="n">
        <f aca="false">SUM('💵 Cash Flow'!C24:N24)</f>
        <v>385662258.993231</v>
      </c>
      <c r="C18" s="64"/>
      <c r="D18" s="64"/>
      <c r="E18" s="64"/>
      <c r="F18" s="64"/>
      <c r="G18" s="64"/>
      <c r="H18" s="64"/>
      <c r="I18" s="64"/>
      <c r="J18" s="64"/>
      <c r="K18" s="64"/>
      <c r="L18" s="64"/>
      <c r="M18" s="64"/>
      <c r="N18" s="64"/>
      <c r="O18" s="67" t="n">
        <f aca="false">SUM(C18:N18)</f>
        <v>0</v>
      </c>
      <c r="P18" s="67" t="n">
        <f aca="false">IFERROR(O18-B18,"-")</f>
        <v>-385662258.993231</v>
      </c>
    </row>
    <row r="19" customFormat="false" ht="13.5" hidden="false" customHeight="true" outlineLevel="0" collapsed="false">
      <c r="A19" s="38" t="s">
        <v>482</v>
      </c>
      <c r="B19" s="60" t="n">
        <f aca="false">SUM('💵 Cash Flow'!C25:N25)</f>
        <v>1636581543.7898</v>
      </c>
      <c r="C19" s="64"/>
      <c r="D19" s="64"/>
      <c r="E19" s="64"/>
      <c r="F19" s="64"/>
      <c r="G19" s="64"/>
      <c r="H19" s="64"/>
      <c r="I19" s="64"/>
      <c r="J19" s="64"/>
      <c r="K19" s="64"/>
      <c r="L19" s="64"/>
      <c r="M19" s="64"/>
      <c r="N19" s="64"/>
      <c r="O19" s="60" t="n">
        <f aca="false">SUM(C19:N19)</f>
        <v>0</v>
      </c>
      <c r="P19" s="60" t="n">
        <f aca="false">IFERROR(O19-B19,"-")</f>
        <v>-1636581543.7898</v>
      </c>
    </row>
    <row r="20" customFormat="false" ht="13.5" hidden="false" customHeight="true" outlineLevel="0" collapsed="false">
      <c r="A20" s="37" t="s">
        <v>483</v>
      </c>
      <c r="B20" s="68" t="n">
        <f aca="false">SUM('💰 Revenue'!C13:N13)</f>
        <v>32327.625</v>
      </c>
      <c r="C20" s="64"/>
      <c r="D20" s="64"/>
      <c r="E20" s="64"/>
      <c r="F20" s="64"/>
      <c r="G20" s="64"/>
      <c r="H20" s="64"/>
      <c r="I20" s="64"/>
      <c r="J20" s="64"/>
      <c r="K20" s="64"/>
      <c r="L20" s="64"/>
      <c r="M20" s="64"/>
      <c r="N20" s="64"/>
      <c r="O20" s="68" t="n">
        <f aca="false">SUM(C20:N20)</f>
        <v>0</v>
      </c>
      <c r="P20" s="68" t="n">
        <f aca="false">IFERROR(O20-B20,"-")</f>
        <v>-32327.625</v>
      </c>
    </row>
    <row r="21" customFormat="false" ht="13.5" hidden="false" customHeight="true" outlineLevel="0" collapsed="false">
      <c r="A21" s="38" t="s">
        <v>484</v>
      </c>
      <c r="B21" s="60" t="n">
        <f aca="false">SUM('💰 Revenue'!C10:N10)</f>
        <v>900000</v>
      </c>
      <c r="C21" s="64"/>
      <c r="D21" s="64"/>
      <c r="E21" s="64"/>
      <c r="F21" s="64"/>
      <c r="G21" s="64"/>
      <c r="H21" s="64"/>
      <c r="I21" s="64"/>
      <c r="J21" s="64"/>
      <c r="K21" s="64"/>
      <c r="L21" s="64"/>
      <c r="M21" s="64"/>
      <c r="N21" s="64"/>
      <c r="O21" s="60" t="n">
        <f aca="false">SUM(C21:N21)</f>
        <v>0</v>
      </c>
      <c r="P21" s="60" t="n">
        <f aca="false">IFERROR(O21-B21,"-")</f>
        <v>-900000</v>
      </c>
    </row>
    <row r="22" customFormat="false" ht="13.8" hidden="false" customHeight="false" outlineLevel="0" collapsed="false"/>
    <row r="23" customFormat="false" ht="48" hidden="false" customHeight="true" outlineLevel="0" collapsed="false">
      <c r="A23" s="42" t="s">
        <v>485</v>
      </c>
      <c r="B23" s="42"/>
      <c r="C23" s="42"/>
      <c r="D23" s="42"/>
      <c r="E23" s="42"/>
      <c r="F23" s="42"/>
      <c r="G23" s="42"/>
      <c r="H23" s="42"/>
      <c r="I23" s="42"/>
      <c r="J23" s="42"/>
      <c r="K23" s="42"/>
      <c r="L23" s="42"/>
      <c r="M23" s="42"/>
      <c r="N23" s="42"/>
      <c r="O23" s="42"/>
      <c r="P23" s="42"/>
    </row>
  </sheetData>
  <mergeCells count="3">
    <mergeCell ref="A1:P1"/>
    <mergeCell ref="A2:P2"/>
    <mergeCell ref="A23:P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9A825"/>
    <pageSetUpPr fitToPage="false"/>
  </sheetPr>
  <dimension ref="A1:F34"/>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71484375" defaultRowHeight="12.8" customHeight="false" zeroHeight="false" outlineLevelRow="0" outlineLevelCol="0"/>
  <cols>
    <col collapsed="false" customWidth="true" hidden="false" outlineLevel="0" max="1" min="1" style="4" width="38"/>
    <col collapsed="false" customWidth="true" hidden="false" outlineLevel="0" max="5" min="2" style="4" width="20"/>
    <col collapsed="false" customWidth="true" hidden="false" outlineLevel="0" max="6" min="6" style="4" width="14"/>
  </cols>
  <sheetData>
    <row r="1" customFormat="false" ht="30" hidden="false" customHeight="true" outlineLevel="0" collapsed="false">
      <c r="A1" s="43" t="s">
        <v>486</v>
      </c>
      <c r="B1" s="43"/>
      <c r="C1" s="43"/>
      <c r="D1" s="43"/>
      <c r="E1" s="43"/>
      <c r="F1" s="43"/>
    </row>
    <row r="2" customFormat="false" ht="13.8" hidden="false" customHeight="false" outlineLevel="0" collapsed="false"/>
    <row r="3" customFormat="false" ht="27.75" hidden="false" customHeight="true" outlineLevel="0" collapsed="false">
      <c r="A3" s="148" t="s">
        <v>487</v>
      </c>
      <c r="B3" s="148"/>
      <c r="C3" s="148"/>
      <c r="D3" s="148"/>
      <c r="E3" s="148"/>
      <c r="F3" s="148"/>
    </row>
    <row r="4" customFormat="false" ht="27.75" hidden="false" customHeight="true" outlineLevel="0" collapsed="false">
      <c r="A4" s="144" t="s">
        <v>89</v>
      </c>
      <c r="B4" s="144" t="s">
        <v>488</v>
      </c>
      <c r="C4" s="144" t="s">
        <v>489</v>
      </c>
      <c r="D4" s="144" t="s">
        <v>490</v>
      </c>
      <c r="E4" s="144" t="s">
        <v>491</v>
      </c>
      <c r="F4" s="144" t="s">
        <v>492</v>
      </c>
    </row>
    <row r="5" customFormat="false" ht="15" hidden="false" customHeight="true" outlineLevel="0" collapsed="false">
      <c r="A5" s="45" t="s">
        <v>493</v>
      </c>
      <c r="B5" s="45"/>
      <c r="C5" s="45"/>
      <c r="D5" s="45"/>
      <c r="E5" s="45"/>
      <c r="F5" s="45"/>
    </row>
    <row r="6" customFormat="false" ht="15" hidden="false" customHeight="true" outlineLevel="0" collapsed="false">
      <c r="A6" s="38" t="s">
        <v>494</v>
      </c>
      <c r="B6" s="149" t="n">
        <v>80000</v>
      </c>
      <c r="C6" s="150" t="n">
        <v>100000</v>
      </c>
      <c r="D6" s="151" t="n">
        <v>130000</v>
      </c>
      <c r="E6" s="47" t="s">
        <v>56</v>
      </c>
      <c r="F6" s="152" t="s">
        <v>495</v>
      </c>
    </row>
    <row r="7" customFormat="false" ht="15" hidden="false" customHeight="true" outlineLevel="0" collapsed="false">
      <c r="A7" s="37" t="s">
        <v>496</v>
      </c>
      <c r="B7" s="149" t="n">
        <v>400</v>
      </c>
      <c r="C7" s="150" t="n">
        <v>600</v>
      </c>
      <c r="D7" s="151" t="n">
        <v>900</v>
      </c>
      <c r="E7" s="50" t="s">
        <v>497</v>
      </c>
      <c r="F7" s="153" t="s">
        <v>495</v>
      </c>
    </row>
    <row r="8" customFormat="false" ht="15" hidden="false" customHeight="true" outlineLevel="0" collapsed="false">
      <c r="A8" s="38" t="s">
        <v>498</v>
      </c>
      <c r="B8" s="149" t="s">
        <v>499</v>
      </c>
      <c r="C8" s="150" t="s">
        <v>500</v>
      </c>
      <c r="D8" s="151" t="s">
        <v>501</v>
      </c>
      <c r="E8" s="47" t="s">
        <v>113</v>
      </c>
      <c r="F8" s="152" t="s">
        <v>502</v>
      </c>
    </row>
    <row r="9" customFormat="false" ht="15" hidden="false" customHeight="true" outlineLevel="0" collapsed="false">
      <c r="A9" s="37" t="s">
        <v>503</v>
      </c>
      <c r="B9" s="149" t="s">
        <v>504</v>
      </c>
      <c r="C9" s="150" t="s">
        <v>505</v>
      </c>
      <c r="D9" s="151" t="s">
        <v>506</v>
      </c>
      <c r="E9" s="50" t="s">
        <v>136</v>
      </c>
      <c r="F9" s="153" t="s">
        <v>507</v>
      </c>
    </row>
    <row r="10" customFormat="false" ht="15" hidden="false" customHeight="true" outlineLevel="0" collapsed="false">
      <c r="A10" s="45" t="s">
        <v>508</v>
      </c>
      <c r="B10" s="45"/>
      <c r="C10" s="45"/>
      <c r="D10" s="45"/>
      <c r="E10" s="45"/>
      <c r="F10" s="45"/>
    </row>
    <row r="11" customFormat="false" ht="15" hidden="false" customHeight="true" outlineLevel="0" collapsed="false">
      <c r="A11" s="37" t="s">
        <v>509</v>
      </c>
      <c r="B11" s="149" t="s">
        <v>510</v>
      </c>
      <c r="C11" s="150" t="s">
        <v>511</v>
      </c>
      <c r="D11" s="151" t="s">
        <v>512</v>
      </c>
      <c r="E11" s="50" t="s">
        <v>142</v>
      </c>
      <c r="F11" s="153" t="s">
        <v>495</v>
      </c>
    </row>
    <row r="12" customFormat="false" ht="15" hidden="false" customHeight="true" outlineLevel="0" collapsed="false">
      <c r="A12" s="38" t="s">
        <v>513</v>
      </c>
      <c r="B12" s="149" t="s">
        <v>501</v>
      </c>
      <c r="C12" s="150" t="s">
        <v>500</v>
      </c>
      <c r="D12" s="151" t="s">
        <v>499</v>
      </c>
      <c r="E12" s="47" t="s">
        <v>113</v>
      </c>
      <c r="F12" s="152" t="s">
        <v>502</v>
      </c>
    </row>
    <row r="13" customFormat="false" ht="15" hidden="false" customHeight="true" outlineLevel="0" collapsed="false">
      <c r="A13" s="37" t="s">
        <v>514</v>
      </c>
      <c r="B13" s="149" t="s">
        <v>515</v>
      </c>
      <c r="C13" s="150" t="s">
        <v>516</v>
      </c>
      <c r="D13" s="151" t="s">
        <v>517</v>
      </c>
      <c r="E13" s="50" t="s">
        <v>56</v>
      </c>
      <c r="F13" s="153" t="s">
        <v>495</v>
      </c>
    </row>
    <row r="14" customFormat="false" ht="15" hidden="false" customHeight="true" outlineLevel="0" collapsed="false">
      <c r="A14" s="38" t="s">
        <v>518</v>
      </c>
      <c r="B14" s="149" t="s">
        <v>501</v>
      </c>
      <c r="C14" s="150" t="s">
        <v>500</v>
      </c>
      <c r="D14" s="151" t="s">
        <v>519</v>
      </c>
      <c r="E14" s="47" t="s">
        <v>113</v>
      </c>
      <c r="F14" s="152" t="s">
        <v>502</v>
      </c>
    </row>
    <row r="15" customFormat="false" ht="15" hidden="false" customHeight="true" outlineLevel="0" collapsed="false">
      <c r="A15" s="45" t="s">
        <v>520</v>
      </c>
      <c r="B15" s="45"/>
      <c r="C15" s="45"/>
      <c r="D15" s="45"/>
      <c r="E15" s="45"/>
      <c r="F15" s="45"/>
    </row>
    <row r="16" customFormat="false" ht="15" hidden="false" customHeight="true" outlineLevel="0" collapsed="false">
      <c r="A16" s="38" t="s">
        <v>184</v>
      </c>
      <c r="B16" s="149" t="s">
        <v>521</v>
      </c>
      <c r="C16" s="150" t="s">
        <v>522</v>
      </c>
      <c r="D16" s="151" t="s">
        <v>523</v>
      </c>
      <c r="E16" s="47" t="s">
        <v>524</v>
      </c>
      <c r="F16" s="152" t="s">
        <v>495</v>
      </c>
    </row>
    <row r="17" customFormat="false" ht="15" hidden="false" customHeight="true" outlineLevel="0" collapsed="false">
      <c r="A17" s="37" t="s">
        <v>525</v>
      </c>
      <c r="B17" s="149" t="s">
        <v>526</v>
      </c>
      <c r="C17" s="150" t="s">
        <v>527</v>
      </c>
      <c r="D17" s="151" t="s">
        <v>528</v>
      </c>
      <c r="E17" s="50" t="s">
        <v>113</v>
      </c>
      <c r="F17" s="153" t="s">
        <v>502</v>
      </c>
    </row>
    <row r="18" customFormat="false" ht="15" hidden="false" customHeight="true" outlineLevel="0" collapsed="false">
      <c r="A18" s="38" t="s">
        <v>529</v>
      </c>
      <c r="B18" s="149" t="s">
        <v>530</v>
      </c>
      <c r="C18" s="150" t="s">
        <v>531</v>
      </c>
      <c r="D18" s="151" t="s">
        <v>511</v>
      </c>
      <c r="E18" s="47" t="s">
        <v>532</v>
      </c>
      <c r="F18" s="152" t="s">
        <v>502</v>
      </c>
    </row>
    <row r="19" customFormat="false" ht="15" hidden="false" customHeight="true" outlineLevel="0" collapsed="false">
      <c r="A19" s="45" t="s">
        <v>533</v>
      </c>
      <c r="B19" s="45"/>
      <c r="C19" s="45"/>
      <c r="D19" s="45"/>
      <c r="E19" s="45"/>
      <c r="F19" s="45"/>
    </row>
    <row r="20" customFormat="false" ht="15" hidden="false" customHeight="true" outlineLevel="0" collapsed="false">
      <c r="A20" s="38" t="s">
        <v>534</v>
      </c>
      <c r="B20" s="149" t="s">
        <v>535</v>
      </c>
      <c r="C20" s="150" t="s">
        <v>536</v>
      </c>
      <c r="D20" s="151" t="s">
        <v>537</v>
      </c>
      <c r="E20" s="47"/>
      <c r="F20" s="152" t="s">
        <v>495</v>
      </c>
    </row>
    <row r="21" customFormat="false" ht="15" hidden="false" customHeight="true" outlineLevel="0" collapsed="false">
      <c r="A21" s="37" t="s">
        <v>538</v>
      </c>
      <c r="B21" s="149" t="s">
        <v>515</v>
      </c>
      <c r="C21" s="150" t="s">
        <v>539</v>
      </c>
      <c r="D21" s="151" t="s">
        <v>517</v>
      </c>
      <c r="E21" s="50"/>
      <c r="F21" s="153" t="s">
        <v>502</v>
      </c>
    </row>
    <row r="22" customFormat="false" ht="15" hidden="false" customHeight="true" outlineLevel="0" collapsed="false">
      <c r="A22" s="38" t="s">
        <v>540</v>
      </c>
      <c r="B22" s="149" t="s">
        <v>541</v>
      </c>
      <c r="C22" s="150" t="s">
        <v>542</v>
      </c>
      <c r="D22" s="151" t="s">
        <v>543</v>
      </c>
      <c r="E22" s="47"/>
      <c r="F22" s="152" t="s">
        <v>502</v>
      </c>
    </row>
    <row r="23" customFormat="false" ht="13.8" hidden="false" customHeight="false" outlineLevel="0" collapsed="false"/>
    <row r="24" customFormat="false" ht="15.75" hidden="false" customHeight="true" outlineLevel="0" collapsed="false">
      <c r="A24" s="29" t="s">
        <v>544</v>
      </c>
      <c r="B24" s="29"/>
      <c r="C24" s="29"/>
      <c r="D24" s="29"/>
      <c r="E24" s="29"/>
      <c r="F24" s="29"/>
    </row>
    <row r="25" customFormat="false" ht="15.75" hidden="false" customHeight="true" outlineLevel="0" collapsed="false">
      <c r="A25" s="44" t="s">
        <v>545</v>
      </c>
      <c r="B25" s="44" t="s">
        <v>546</v>
      </c>
      <c r="C25" s="44" t="s">
        <v>547</v>
      </c>
      <c r="D25" s="44" t="s">
        <v>548</v>
      </c>
      <c r="E25" s="44" t="s">
        <v>549</v>
      </c>
      <c r="F25" s="44" t="s">
        <v>550</v>
      </c>
    </row>
    <row r="26" customFormat="false" ht="15" hidden="false" customHeight="true" outlineLevel="0" collapsed="false">
      <c r="A26" s="31" t="s">
        <v>470</v>
      </c>
      <c r="B26" s="154"/>
      <c r="C26" s="110" t="n">
        <f aca="false">SUM('📊 P&amp;L Detail'!C8:N8)</f>
        <v>2424571875</v>
      </c>
      <c r="D26" s="110" t="n">
        <f aca="false">SUM('📊 P&amp;L Detail'!O8:Z8)</f>
        <v>4900696875</v>
      </c>
      <c r="E26" s="155" t="n">
        <f aca="false">SUM('📊 P&amp;L Detail'!AA8:AL8)</f>
        <v>5221800000</v>
      </c>
      <c r="F26" s="155"/>
    </row>
    <row r="27" customFormat="false" ht="15" hidden="false" customHeight="true" outlineLevel="0" collapsed="false">
      <c r="A27" s="34" t="s">
        <v>551</v>
      </c>
      <c r="B27" s="154"/>
      <c r="C27" s="109" t="n">
        <f aca="false">SUM('📊 P&amp;L Detail'!C12:N12)</f>
        <v>1782476100</v>
      </c>
      <c r="D27" s="109" t="n">
        <f aca="false">SUM('📊 P&amp;L Detail'!O12:Z12)</f>
        <v>3698426700</v>
      </c>
      <c r="E27" s="155" t="n">
        <f aca="false">SUM('📊 P&amp;L Detail'!AA12:AL12)</f>
        <v>3999742200</v>
      </c>
      <c r="F27" s="155"/>
    </row>
    <row r="28" customFormat="false" ht="15" hidden="false" customHeight="true" outlineLevel="0" collapsed="false">
      <c r="A28" s="31" t="s">
        <v>552</v>
      </c>
      <c r="B28" s="156"/>
      <c r="C28" s="157" t="n">
        <f aca="false">IFERROR(AVERAGE('📊 P&amp;L Detail'!C13:N13),"-")</f>
        <v>0.7344</v>
      </c>
      <c r="D28" s="157" t="n">
        <f aca="false">IFERROR(AVERAGE('📊 P&amp;L Detail'!O13:Z13),"-")</f>
        <v>0.754</v>
      </c>
      <c r="E28" s="158" t="n">
        <f aca="false">IFERROR(AVERAGE('📊 P&amp;L Detail'!AA13:AL13),"-")</f>
        <v>0.766</v>
      </c>
      <c r="F28" s="158"/>
    </row>
    <row r="29" customFormat="false" ht="15" hidden="false" customHeight="true" outlineLevel="0" collapsed="false">
      <c r="A29" s="34" t="s">
        <v>383</v>
      </c>
      <c r="B29" s="154"/>
      <c r="C29" s="109" t="n">
        <f aca="false">SUM('📊 P&amp;L Detail'!C26:N26)</f>
        <v>339150277.03125</v>
      </c>
      <c r="D29" s="109" t="n">
        <f aca="false">SUM('📊 P&amp;L Detail'!O26:Z26)</f>
        <v>1883353535.15625</v>
      </c>
      <c r="E29" s="155" t="n">
        <f aca="false">SUM('📊 P&amp;L Detail'!AA26:AL26)</f>
        <v>2100050280</v>
      </c>
      <c r="F29" s="155"/>
    </row>
    <row r="30" customFormat="false" ht="15" hidden="false" customHeight="true" outlineLevel="0" collapsed="false">
      <c r="A30" s="31" t="s">
        <v>553</v>
      </c>
      <c r="B30" s="156"/>
      <c r="C30" s="157" t="n">
        <f aca="false">IFERROR(AVERAGE('📊 P&amp;L Detail'!C27:N27),"-")</f>
        <v>0.1131536976353</v>
      </c>
      <c r="D30" s="157" t="n">
        <f aca="false">IFERROR(AVERAGE('📊 P&amp;L Detail'!O27:Z27),"-")</f>
        <v>0.380000855704969</v>
      </c>
      <c r="E30" s="158" t="n">
        <f aca="false">IFERROR(AVERAGE('📊 P&amp;L Detail'!AA27:AL27),"-")</f>
        <v>0.398401061530638</v>
      </c>
      <c r="F30" s="158"/>
    </row>
    <row r="31" customFormat="false" ht="15" hidden="false" customHeight="true" outlineLevel="0" collapsed="false">
      <c r="A31" s="34" t="s">
        <v>478</v>
      </c>
      <c r="B31" s="154"/>
      <c r="C31" s="109" t="n">
        <f aca="false">SUM('📊 P&amp;L Detail'!C32:N32)</f>
        <v>195913842.061726</v>
      </c>
      <c r="D31" s="109" t="n">
        <f aca="false">SUM('📊 P&amp;L Detail'!O32:Z32)</f>
        <v>1621044062.59235</v>
      </c>
      <c r="E31" s="155" t="n">
        <f aca="false">SUM('📊 P&amp;L Detail'!AA32:AL32)</f>
        <v>1828743294.50574</v>
      </c>
      <c r="F31" s="155"/>
    </row>
    <row r="32" customFormat="false" ht="15" hidden="false" customHeight="true" outlineLevel="0" collapsed="false">
      <c r="A32" s="31" t="s">
        <v>554</v>
      </c>
      <c r="B32" s="156"/>
      <c r="C32" s="157" t="n">
        <f aca="false">IFERROR(AVERAGE('📊 P&amp;L Detail'!C33:N33),"-")</f>
        <v>0.059328852634479</v>
      </c>
      <c r="D32" s="157" t="n">
        <f aca="false">IFERROR(AVERAGE('📊 P&amp;L Detail'!O33:Z33),"-")</f>
        <v>0.326554993365667</v>
      </c>
      <c r="E32" s="158" t="n">
        <f aca="false">IFERROR(AVERAGE('📊 P&amp;L Detail'!AA33:AL33),"-")</f>
        <v>0.34662861207146</v>
      </c>
      <c r="F32" s="158"/>
    </row>
    <row r="33" customFormat="false" ht="13.8" hidden="false" customHeight="false" outlineLevel="0" collapsed="false"/>
    <row r="34" customFormat="false" ht="39.75" hidden="false" customHeight="true" outlineLevel="0" collapsed="false">
      <c r="A34" s="42" t="s">
        <v>555</v>
      </c>
      <c r="B34" s="42"/>
      <c r="C34" s="42"/>
      <c r="D34" s="42"/>
      <c r="E34" s="42"/>
      <c r="F34" s="42"/>
    </row>
  </sheetData>
  <mergeCells count="8">
    <mergeCell ref="A1:F1"/>
    <mergeCell ref="A3:F3"/>
    <mergeCell ref="A5:F5"/>
    <mergeCell ref="A10:F10"/>
    <mergeCell ref="A15:F15"/>
    <mergeCell ref="A19:F19"/>
    <mergeCell ref="A24:F24"/>
    <mergeCell ref="A34:F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J36" activeCellId="0" sqref="J36"/>
    </sheetView>
  </sheetViews>
  <sheetFormatPr defaultColWidth="11.53515625" defaultRowHeight="12.8" customHeight="false" zeroHeight="false" outlineLevelRow="0" outlineLevelCol="0"/>
  <cols>
    <col collapsed="false" customWidth="true" hidden="false" outlineLevel="0" max="1" min="1" style="4" width="12.06"/>
    <col collapsed="false" customWidth="true" hidden="false" outlineLevel="0" max="2" min="2" style="4" width="18.34"/>
    <col collapsed="false" customWidth="true" hidden="false" outlineLevel="0" max="3" min="3" style="4" width="17.26"/>
    <col collapsed="false" customWidth="true" hidden="false" outlineLevel="0" max="4" min="4" style="4" width="13.49"/>
    <col collapsed="false" customWidth="true" hidden="false" outlineLevel="0" max="7" min="7" style="4" width="32.49"/>
  </cols>
  <sheetData>
    <row r="1" customFormat="false" ht="13.8" hidden="false" customHeight="false" outlineLevel="0" collapsed="false"/>
    <row r="2" customFormat="false" ht="13.8" hidden="false" customHeight="false" outlineLevel="0" collapsed="false"/>
    <row r="3" customFormat="false" ht="13.8" hidden="false" customHeight="false" outlineLevel="0" collapsed="false"/>
    <row r="4" customFormat="false" ht="13.8" hidden="false" customHeight="false" outlineLevel="0" collapsed="false">
      <c r="B4" s="159"/>
      <c r="D4" s="160"/>
    </row>
    <row r="5" customFormat="false" ht="13.8" hidden="false" customHeight="false" outlineLevel="0" collapsed="false">
      <c r="B5" s="159"/>
      <c r="D5" s="160"/>
    </row>
    <row r="6" customFormat="false" ht="13.8" hidden="false" customHeight="false" outlineLevel="0" collapsed="false">
      <c r="B6" s="159"/>
      <c r="D6" s="160"/>
    </row>
    <row r="7" customFormat="false" ht="13.8" hidden="false" customHeight="false" outlineLevel="0" collapsed="false">
      <c r="B7" s="159"/>
      <c r="D7" s="160"/>
    </row>
    <row r="8" customFormat="false" ht="13.8" hidden="false" customHeight="false" outlineLevel="0" collapsed="false">
      <c r="D8" s="160"/>
    </row>
    <row r="9" customFormat="false" ht="13.8" hidden="false" customHeight="false" outlineLevel="0" collapsed="false">
      <c r="D9" s="160"/>
    </row>
    <row r="10" customFormat="false" ht="13.8" hidden="false" customHeight="false" outlineLevel="0" collapsed="false">
      <c r="D10" s="160"/>
    </row>
    <row r="11" customFormat="false" ht="13.8" hidden="false" customHeight="false" outlineLevel="0" collapsed="false">
      <c r="D11" s="160"/>
    </row>
    <row r="12" customFormat="false" ht="13.8" hidden="false" customHeight="false" outlineLevel="0" collapsed="false">
      <c r="D12" s="160"/>
    </row>
    <row r="13" customFormat="false" ht="13.8" hidden="false" customHeight="false" outlineLevel="0" collapsed="false">
      <c r="D13" s="159"/>
      <c r="G13" s="159"/>
    </row>
    <row r="14" customFormat="false" ht="13.8" hidden="false" customHeight="false" outlineLevel="0" collapsed="false">
      <c r="D14" s="160"/>
    </row>
    <row r="15" customFormat="false" ht="13.8" hidden="false" customHeight="false" outlineLevel="0" collapsed="false">
      <c r="D15" s="160"/>
    </row>
    <row r="16" customFormat="false" ht="13.8" hidden="false" customHeight="false" outlineLevel="0" collapsed="false"/>
    <row r="17" customFormat="false" ht="13.8" hidden="false" customHeight="false" outlineLevel="0" collapsed="false"/>
    <row r="18" customFormat="false" ht="13.8" hidden="false" customHeight="false" outlineLevel="0" collapsed="false"/>
    <row r="19" customFormat="false" ht="13.8" hidden="false" customHeight="false" outlineLevel="0" collapsed="false">
      <c r="B19" s="159"/>
    </row>
    <row r="20" customFormat="false" ht="13.8" hidden="false" customHeight="false" outlineLevel="0" collapsed="false"/>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A1:G50"/>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selection pane="topLeft" activeCell="F8" activeCellId="0" sqref="F8"/>
    </sheetView>
  </sheetViews>
  <sheetFormatPr defaultColWidth="8.71484375" defaultRowHeight="12.8" customHeight="false" zeroHeight="false" outlineLevelRow="0" outlineLevelCol="0"/>
  <cols>
    <col collapsed="false" customWidth="true" hidden="false" outlineLevel="0" max="1" min="1" style="4" width="28.99"/>
    <col collapsed="false" customWidth="true" hidden="false" outlineLevel="0" max="6" min="2" style="4" width="18"/>
    <col collapsed="false" customWidth="true" hidden="false" outlineLevel="0" max="7" min="7" style="4" width="16.77"/>
  </cols>
  <sheetData>
    <row r="1" customFormat="false" ht="30" hidden="false" customHeight="true" outlineLevel="0" collapsed="false">
      <c r="A1" s="54" t="s">
        <v>556</v>
      </c>
      <c r="B1" s="54"/>
      <c r="C1" s="54"/>
      <c r="D1" s="54"/>
      <c r="E1" s="54"/>
      <c r="F1" s="54"/>
      <c r="G1" s="54"/>
    </row>
    <row r="2" customFormat="false" ht="13.8" hidden="false" customHeight="false" outlineLevel="0" collapsed="false"/>
    <row r="3" customFormat="false" ht="15.75" hidden="false" customHeight="true" outlineLevel="0" collapsed="false">
      <c r="A3" s="161" t="s">
        <v>557</v>
      </c>
      <c r="B3" s="161" t="s">
        <v>90</v>
      </c>
      <c r="C3" s="161" t="s">
        <v>93</v>
      </c>
    </row>
    <row r="4" customFormat="false" ht="15.75" hidden="false" customHeight="true" outlineLevel="0" collapsed="false">
      <c r="A4" s="37" t="s">
        <v>558</v>
      </c>
      <c r="B4" s="64" t="s">
        <v>559</v>
      </c>
      <c r="C4" s="162"/>
    </row>
    <row r="5" customFormat="false" ht="15.75" hidden="false" customHeight="true" outlineLevel="0" collapsed="false">
      <c r="A5" s="37" t="s">
        <v>560</v>
      </c>
      <c r="B5" s="163" t="n">
        <v>0.7</v>
      </c>
      <c r="C5" s="162"/>
    </row>
    <row r="6" customFormat="false" ht="15" hidden="false" customHeight="true" outlineLevel="0" collapsed="false">
      <c r="A6" s="37" t="s">
        <v>561</v>
      </c>
      <c r="B6" s="64" t="n">
        <f aca="false">IF($B$4="No/ Không",0,'⚙️ Assumptions'!$B$18*B5)</f>
        <v>451500000</v>
      </c>
      <c r="C6" s="162" t="s">
        <v>562</v>
      </c>
    </row>
    <row r="7" customFormat="false" ht="15" hidden="false" customHeight="true" outlineLevel="0" collapsed="false">
      <c r="A7" s="38" t="s">
        <v>563</v>
      </c>
      <c r="B7" s="53" t="n">
        <v>0.09</v>
      </c>
      <c r="C7" s="164" t="s">
        <v>562</v>
      </c>
    </row>
    <row r="8" customFormat="false" ht="15" hidden="false" customHeight="true" outlineLevel="0" collapsed="false">
      <c r="A8" s="37" t="s">
        <v>564</v>
      </c>
      <c r="B8" s="64" t="n">
        <v>36</v>
      </c>
      <c r="C8" s="162" t="s">
        <v>562</v>
      </c>
    </row>
    <row r="9" customFormat="false" ht="15" hidden="false" customHeight="true" outlineLevel="0" collapsed="false">
      <c r="A9" s="38" t="s">
        <v>565</v>
      </c>
      <c r="B9" s="64" t="n">
        <v>0</v>
      </c>
      <c r="C9" s="164" t="s">
        <v>562</v>
      </c>
    </row>
    <row r="10" customFormat="false" ht="15" hidden="false" customHeight="true" outlineLevel="0" collapsed="false">
      <c r="A10" s="37" t="s">
        <v>566</v>
      </c>
      <c r="B10" s="46" t="s">
        <v>107</v>
      </c>
      <c r="C10" s="162" t="s">
        <v>562</v>
      </c>
    </row>
    <row r="11" customFormat="false" ht="15" hidden="false" customHeight="true" outlineLevel="0" collapsed="false">
      <c r="A11" s="38" t="s">
        <v>567</v>
      </c>
      <c r="B11" s="46" t="s">
        <v>568</v>
      </c>
      <c r="C11" s="164" t="s">
        <v>562</v>
      </c>
    </row>
    <row r="12" customFormat="false" ht="13.8" hidden="false" customHeight="false" outlineLevel="0" collapsed="false"/>
    <row r="13" customFormat="false" ht="27.75" hidden="false" customHeight="true" outlineLevel="0" collapsed="false">
      <c r="A13" s="165" t="s">
        <v>569</v>
      </c>
      <c r="B13" s="165" t="s">
        <v>570</v>
      </c>
      <c r="C13" s="165" t="s">
        <v>571</v>
      </c>
      <c r="D13" s="165" t="s">
        <v>572</v>
      </c>
      <c r="E13" s="165" t="s">
        <v>573</v>
      </c>
      <c r="F13" s="165" t="s">
        <v>574</v>
      </c>
      <c r="G13" s="165" t="s">
        <v>575</v>
      </c>
    </row>
    <row r="14" customFormat="false" ht="13.5" hidden="false" customHeight="true" outlineLevel="0" collapsed="false">
      <c r="A14" s="166" t="n">
        <v>1</v>
      </c>
      <c r="B14" s="167" t="n">
        <f aca="false">'⚙️ Assumptions'!B6</f>
        <v>46661</v>
      </c>
      <c r="C14" s="68" t="n">
        <f aca="false">B6</f>
        <v>451500000</v>
      </c>
      <c r="D14" s="68" t="n">
        <f aca="false">C14*(B7/12)</f>
        <v>3386250</v>
      </c>
      <c r="E14" s="68" t="n">
        <f aca="false">IF(1&lt;=0,0,MAX(0,(-PMT(B7/12,B8-B9,B6))-D14))</f>
        <v>10971329.2959632</v>
      </c>
      <c r="F14" s="110" t="n">
        <f aca="false">D14+E14</f>
        <v>14357579.2959632</v>
      </c>
      <c r="G14" s="68" t="n">
        <f aca="false">MAX(0,C14-E14)</f>
        <v>440528670.704037</v>
      </c>
    </row>
    <row r="15" customFormat="false" ht="13.5" hidden="false" customHeight="true" outlineLevel="0" collapsed="false">
      <c r="A15" s="168" t="n">
        <v>2</v>
      </c>
      <c r="B15" s="167" t="n">
        <f aca="false">EDATE($B$14,A14)</f>
        <v>46692</v>
      </c>
      <c r="C15" s="60" t="n">
        <f aca="false">G14</f>
        <v>440528670.704037</v>
      </c>
      <c r="D15" s="60" t="n">
        <f aca="false">C15*(B7/12)</f>
        <v>3303965.03028028</v>
      </c>
      <c r="E15" s="60" t="n">
        <f aca="false">IF(2&lt;=0,0,MAX(0,(-PMT(B7/12,B8-B9,B6))-D15))</f>
        <v>11053614.2656829</v>
      </c>
      <c r="F15" s="109" t="n">
        <f aca="false">D15+E15</f>
        <v>14357579.2959632</v>
      </c>
      <c r="G15" s="60" t="n">
        <f aca="false">MAX(0,C15-E15)</f>
        <v>429475056.438354</v>
      </c>
    </row>
    <row r="16" customFormat="false" ht="13.5" hidden="false" customHeight="true" outlineLevel="0" collapsed="false">
      <c r="A16" s="166" t="n">
        <v>3</v>
      </c>
      <c r="B16" s="167" t="n">
        <f aca="false">EDATE($B$14,A15)</f>
        <v>46722</v>
      </c>
      <c r="C16" s="68" t="n">
        <f aca="false">G15</f>
        <v>429475056.438354</v>
      </c>
      <c r="D16" s="68" t="n">
        <f aca="false">C16*(B7/12)</f>
        <v>3221062.92328765</v>
      </c>
      <c r="E16" s="68" t="n">
        <f aca="false">IF(3&lt;=0,0,MAX(0,(-PMT(B7/12,B8-B9,B6))-D16))</f>
        <v>11136516.3726756</v>
      </c>
      <c r="F16" s="110" t="n">
        <f aca="false">D16+E16</f>
        <v>14357579.2959632</v>
      </c>
      <c r="G16" s="68" t="n">
        <f aca="false">MAX(0,C16-E16)</f>
        <v>418338540.065678</v>
      </c>
    </row>
    <row r="17" customFormat="false" ht="13.5" hidden="false" customHeight="true" outlineLevel="0" collapsed="false">
      <c r="A17" s="168" t="n">
        <v>4</v>
      </c>
      <c r="B17" s="167" t="n">
        <f aca="false">EDATE($B$14,A16)</f>
        <v>46753</v>
      </c>
      <c r="C17" s="60" t="n">
        <f aca="false">G16</f>
        <v>418338540.065678</v>
      </c>
      <c r="D17" s="60" t="n">
        <f aca="false">C17*(B7/12)</f>
        <v>3137539.05049259</v>
      </c>
      <c r="E17" s="60" t="n">
        <f aca="false">IF(4&lt;=0,0,MAX(0,(-PMT(B7/12,B8-B9,B6))-D17))</f>
        <v>11220040.2454706</v>
      </c>
      <c r="F17" s="109" t="n">
        <f aca="false">D17+E17</f>
        <v>14357579.2959632</v>
      </c>
      <c r="G17" s="60" t="n">
        <f aca="false">MAX(0,C17-E17)</f>
        <v>407118499.820208</v>
      </c>
    </row>
    <row r="18" customFormat="false" ht="13.5" hidden="false" customHeight="true" outlineLevel="0" collapsed="false">
      <c r="A18" s="166" t="n">
        <v>5</v>
      </c>
      <c r="B18" s="167" t="n">
        <f aca="false">EDATE($B$14,A17)</f>
        <v>46784</v>
      </c>
      <c r="C18" s="68" t="n">
        <f aca="false">G17</f>
        <v>407118499.820208</v>
      </c>
      <c r="D18" s="68" t="n">
        <f aca="false">C18*(B7/12)</f>
        <v>3053388.74865156</v>
      </c>
      <c r="E18" s="68" t="n">
        <f aca="false">IF(5&lt;=0,0,MAX(0,(-PMT(B7/12,B8-B9,B6))-D18))</f>
        <v>11304190.5473117</v>
      </c>
      <c r="F18" s="110" t="n">
        <f aca="false">D18+E18</f>
        <v>14357579.2959632</v>
      </c>
      <c r="G18" s="68" t="n">
        <f aca="false">MAX(0,C18-E18)</f>
        <v>395814309.272896</v>
      </c>
    </row>
    <row r="19" customFormat="false" ht="13.5" hidden="false" customHeight="true" outlineLevel="0" collapsed="false">
      <c r="A19" s="168" t="n">
        <v>6</v>
      </c>
      <c r="B19" s="167" t="n">
        <f aca="false">EDATE($B$14,A18)</f>
        <v>46813</v>
      </c>
      <c r="C19" s="60" t="n">
        <f aca="false">G18</f>
        <v>395814309.272896</v>
      </c>
      <c r="D19" s="60" t="n">
        <f aca="false">C19*(B7/12)</f>
        <v>2968607.31954672</v>
      </c>
      <c r="E19" s="60" t="n">
        <f aca="false">IF(6&lt;=0,0,MAX(0,(-PMT(B7/12,B8-B9,B6))-D19))</f>
        <v>11388971.9764165</v>
      </c>
      <c r="F19" s="109" t="n">
        <f aca="false">D19+E19</f>
        <v>14357579.2959632</v>
      </c>
      <c r="G19" s="60" t="n">
        <f aca="false">MAX(0,C19-E19)</f>
        <v>384425337.296479</v>
      </c>
    </row>
    <row r="20" customFormat="false" ht="13.5" hidden="false" customHeight="true" outlineLevel="0" collapsed="false">
      <c r="A20" s="166" t="n">
        <v>7</v>
      </c>
      <c r="B20" s="167" t="n">
        <f aca="false">EDATE($B$14,A19)</f>
        <v>46844</v>
      </c>
      <c r="C20" s="68" t="n">
        <f aca="false">G19</f>
        <v>384425337.296479</v>
      </c>
      <c r="D20" s="68" t="n">
        <f aca="false">C20*(B7/12)</f>
        <v>2883190.0297236</v>
      </c>
      <c r="E20" s="68" t="n">
        <f aca="false">IF(7&lt;=0,0,MAX(0,(-PMT(B7/12,B8-B9,B6))-D20))</f>
        <v>11474389.2662396</v>
      </c>
      <c r="F20" s="110" t="n">
        <f aca="false">D20+E20</f>
        <v>14357579.2959632</v>
      </c>
      <c r="G20" s="68" t="n">
        <f aca="false">MAX(0,C20-E20)</f>
        <v>372950948.03024</v>
      </c>
    </row>
    <row r="21" customFormat="false" ht="13.5" hidden="false" customHeight="true" outlineLevel="0" collapsed="false">
      <c r="A21" s="168" t="n">
        <v>8</v>
      </c>
      <c r="B21" s="167" t="n">
        <f aca="false">EDATE($B$14,A20)</f>
        <v>46874</v>
      </c>
      <c r="C21" s="60" t="n">
        <f aca="false">G20</f>
        <v>372950948.03024</v>
      </c>
      <c r="D21" s="60" t="n">
        <f aca="false">C21*(B7/12)</f>
        <v>2797132.1102268</v>
      </c>
      <c r="E21" s="60" t="n">
        <f aca="false">IF(8&lt;=0,0,MAX(0,(-PMT(B7/12,B8-B9,B6))-D21))</f>
        <v>11560447.1857364</v>
      </c>
      <c r="F21" s="109" t="n">
        <f aca="false">D21+E21</f>
        <v>14357579.2959632</v>
      </c>
      <c r="G21" s="60" t="n">
        <f aca="false">MAX(0,C21-E21)</f>
        <v>361390500.844503</v>
      </c>
    </row>
    <row r="22" customFormat="false" ht="13.5" hidden="false" customHeight="true" outlineLevel="0" collapsed="false">
      <c r="A22" s="166" t="n">
        <v>9</v>
      </c>
      <c r="B22" s="167" t="n">
        <f aca="false">EDATE($B$14,A21)</f>
        <v>46905</v>
      </c>
      <c r="C22" s="68" t="n">
        <f aca="false">G21</f>
        <v>361390500.844503</v>
      </c>
      <c r="D22" s="68" t="n">
        <f aca="false">C22*(B7/12)</f>
        <v>2710428.75633378</v>
      </c>
      <c r="E22" s="68" t="n">
        <f aca="false">IF(9&lt;=0,0,MAX(0,(-PMT(B7/12,B8-B9,B6))-D22))</f>
        <v>11647150.5396294</v>
      </c>
      <c r="F22" s="110" t="n">
        <f aca="false">D22+E22</f>
        <v>14357579.2959632</v>
      </c>
      <c r="G22" s="68" t="n">
        <f aca="false">MAX(0,C22-E22)</f>
        <v>349743350.304874</v>
      </c>
    </row>
    <row r="23" customFormat="false" ht="13.5" hidden="false" customHeight="true" outlineLevel="0" collapsed="false">
      <c r="A23" s="168" t="n">
        <v>10</v>
      </c>
      <c r="B23" s="167" t="n">
        <f aca="false">EDATE($B$14,A22)</f>
        <v>46935</v>
      </c>
      <c r="C23" s="60" t="n">
        <f aca="false">G22</f>
        <v>349743350.304874</v>
      </c>
      <c r="D23" s="60" t="n">
        <f aca="false">C23*(B7/12)</f>
        <v>2623075.12728655</v>
      </c>
      <c r="E23" s="60" t="n">
        <f aca="false">IF(10&lt;=0,0,MAX(0,(-PMT(B7/12,B8-B9,B6))-D23))</f>
        <v>11734504.1686767</v>
      </c>
      <c r="F23" s="109" t="n">
        <f aca="false">D23+E23</f>
        <v>14357579.2959632</v>
      </c>
      <c r="G23" s="60" t="n">
        <f aca="false">MAX(0,C23-E23)</f>
        <v>338008846.136197</v>
      </c>
    </row>
    <row r="24" customFormat="false" ht="13.5" hidden="false" customHeight="true" outlineLevel="0" collapsed="false">
      <c r="A24" s="166" t="n">
        <v>11</v>
      </c>
      <c r="B24" s="167" t="n">
        <f aca="false">EDATE($B$14,A23)</f>
        <v>46966</v>
      </c>
      <c r="C24" s="68" t="n">
        <f aca="false">G23</f>
        <v>338008846.136197</v>
      </c>
      <c r="D24" s="68" t="n">
        <f aca="false">C24*(B7/12)</f>
        <v>2535066.34602148</v>
      </c>
      <c r="E24" s="68" t="n">
        <f aca="false">IF(11&lt;=0,0,MAX(0,(-PMT(B7/12,B8-B9,B6))-D24))</f>
        <v>11822512.9499417</v>
      </c>
      <c r="F24" s="110" t="n">
        <f aca="false">D24+E24</f>
        <v>14357579.2959632</v>
      </c>
      <c r="G24" s="68" t="n">
        <f aca="false">MAX(0,C24-E24)</f>
        <v>326186333.186256</v>
      </c>
    </row>
    <row r="25" customFormat="false" ht="13.5" hidden="false" customHeight="true" outlineLevel="0" collapsed="false">
      <c r="A25" s="168" t="n">
        <v>12</v>
      </c>
      <c r="B25" s="167" t="n">
        <f aca="false">EDATE($B$14,A24)</f>
        <v>46997</v>
      </c>
      <c r="C25" s="60" t="n">
        <f aca="false">G24</f>
        <v>326186333.186256</v>
      </c>
      <c r="D25" s="60" t="n">
        <f aca="false">C25*(B7/12)</f>
        <v>2446397.49889692</v>
      </c>
      <c r="E25" s="60" t="n">
        <f aca="false">IF(12&lt;=0,0,MAX(0,(-PMT(B7/12,B8-B9,B6))-D25))</f>
        <v>11911181.7970663</v>
      </c>
      <c r="F25" s="109" t="n">
        <f aca="false">D25+E25</f>
        <v>14357579.2959632</v>
      </c>
      <c r="G25" s="60" t="n">
        <f aca="false">MAX(0,C25-E25)</f>
        <v>314275151.389189</v>
      </c>
    </row>
    <row r="26" customFormat="false" ht="13.5" hidden="false" customHeight="true" outlineLevel="0" collapsed="false">
      <c r="A26" s="166" t="n">
        <v>13</v>
      </c>
      <c r="B26" s="167" t="n">
        <f aca="false">EDATE($B$14,A25)</f>
        <v>47027</v>
      </c>
      <c r="C26" s="68" t="n">
        <f aca="false">G25</f>
        <v>314275151.389189</v>
      </c>
      <c r="D26" s="68" t="n">
        <f aca="false">C26*(B7/12)</f>
        <v>2357063.63541892</v>
      </c>
      <c r="E26" s="68" t="n">
        <f aca="false">IF(13&lt;=0,0,MAX(0,(-PMT(B7/12,B8-B9,B6))-D26))</f>
        <v>12000515.6605443</v>
      </c>
      <c r="F26" s="110" t="n">
        <f aca="false">D26+E26</f>
        <v>14357579.2959632</v>
      </c>
      <c r="G26" s="68" t="n">
        <f aca="false">MAX(0,C26-E26)</f>
        <v>302274635.728645</v>
      </c>
    </row>
    <row r="27" customFormat="false" ht="13.5" hidden="false" customHeight="true" outlineLevel="0" collapsed="false">
      <c r="A27" s="168" t="n">
        <v>14</v>
      </c>
      <c r="B27" s="167" t="n">
        <f aca="false">EDATE($B$14,A26)</f>
        <v>47058</v>
      </c>
      <c r="C27" s="60" t="n">
        <f aca="false">G26</f>
        <v>302274635.728645</v>
      </c>
      <c r="D27" s="60" t="n">
        <f aca="false">C27*(B7/12)</f>
        <v>2267059.76796484</v>
      </c>
      <c r="E27" s="60" t="n">
        <f aca="false">IF(14&lt;=0,0,MAX(0,(-PMT(B7/12,B8-B9,B6))-D27))</f>
        <v>12090519.5279984</v>
      </c>
      <c r="F27" s="109" t="n">
        <f aca="false">D27+E27</f>
        <v>14357579.2959632</v>
      </c>
      <c r="G27" s="60" t="n">
        <f aca="false">MAX(0,C27-E27)</f>
        <v>290184116.200647</v>
      </c>
    </row>
    <row r="28" customFormat="false" ht="13.5" hidden="false" customHeight="true" outlineLevel="0" collapsed="false">
      <c r="A28" s="166" t="n">
        <v>15</v>
      </c>
      <c r="B28" s="167" t="n">
        <f aca="false">EDATE($B$14,A27)</f>
        <v>47088</v>
      </c>
      <c r="C28" s="68" t="n">
        <f aca="false">G27</f>
        <v>290184116.200647</v>
      </c>
      <c r="D28" s="68" t="n">
        <f aca="false">C28*(B7/12)</f>
        <v>2176380.87150485</v>
      </c>
      <c r="E28" s="68" t="n">
        <f aca="false">IF(15&lt;=0,0,MAX(0,(-PMT(B7/12,B8-B9,B6))-D28))</f>
        <v>12181198.4244584</v>
      </c>
      <c r="F28" s="110" t="n">
        <f aca="false">D28+E28</f>
        <v>14357579.2959632</v>
      </c>
      <c r="G28" s="68" t="n">
        <f aca="false">MAX(0,C28-E28)</f>
        <v>278002917.776188</v>
      </c>
    </row>
    <row r="29" customFormat="false" ht="13.5" hidden="false" customHeight="true" outlineLevel="0" collapsed="false">
      <c r="A29" s="168" t="n">
        <v>16</v>
      </c>
      <c r="B29" s="167" t="n">
        <f aca="false">EDATE($B$14,A28)</f>
        <v>47119</v>
      </c>
      <c r="C29" s="60" t="n">
        <f aca="false">G28</f>
        <v>278002917.776188</v>
      </c>
      <c r="D29" s="60" t="n">
        <f aca="false">C29*(B7/12)</f>
        <v>2085021.88332141</v>
      </c>
      <c r="E29" s="60" t="n">
        <f aca="false">IF(16&lt;=0,0,MAX(0,(-PMT(B7/12,B8-B9,B6))-D29))</f>
        <v>12272557.4126418</v>
      </c>
      <c r="F29" s="109" t="n">
        <f aca="false">D29+E29</f>
        <v>14357579.2959632</v>
      </c>
      <c r="G29" s="60" t="n">
        <f aca="false">MAX(0,C29-E29)</f>
        <v>265730360.363546</v>
      </c>
    </row>
    <row r="30" customFormat="false" ht="13.5" hidden="false" customHeight="true" outlineLevel="0" collapsed="false">
      <c r="A30" s="166" t="n">
        <v>17</v>
      </c>
      <c r="B30" s="167" t="n">
        <f aca="false">EDATE($B$14,A29)</f>
        <v>47150</v>
      </c>
      <c r="C30" s="68" t="n">
        <f aca="false">G29</f>
        <v>265730360.363546</v>
      </c>
      <c r="D30" s="68" t="n">
        <f aca="false">C30*(B7/12)</f>
        <v>1992977.7027266</v>
      </c>
      <c r="E30" s="68" t="n">
        <f aca="false">IF(17&lt;=0,0,MAX(0,(-PMT(B7/12,B8-B9,B6))-D30))</f>
        <v>12364601.5932366</v>
      </c>
      <c r="F30" s="110" t="n">
        <f aca="false">D30+E30</f>
        <v>14357579.2959632</v>
      </c>
      <c r="G30" s="68" t="n">
        <f aca="false">MAX(0,C30-E30)</f>
        <v>253365758.77031</v>
      </c>
    </row>
    <row r="31" customFormat="false" ht="13.5" hidden="false" customHeight="true" outlineLevel="0" collapsed="false">
      <c r="A31" s="168" t="n">
        <v>18</v>
      </c>
      <c r="B31" s="167" t="n">
        <f aca="false">EDATE($B$14,A30)</f>
        <v>47178</v>
      </c>
      <c r="C31" s="60" t="n">
        <f aca="false">G30</f>
        <v>253365758.77031</v>
      </c>
      <c r="D31" s="60" t="n">
        <f aca="false">C31*(B7/12)</f>
        <v>1900243.19077732</v>
      </c>
      <c r="E31" s="60" t="n">
        <f aca="false">IF(18&lt;=0,0,MAX(0,(-PMT(B7/12,B8-B9,B6))-D31))</f>
        <v>12457336.1051859</v>
      </c>
      <c r="F31" s="109" t="n">
        <f aca="false">D31+E31</f>
        <v>14357579.2959632</v>
      </c>
      <c r="G31" s="60" t="n">
        <f aca="false">MAX(0,C31-E31)</f>
        <v>240908422.665124</v>
      </c>
    </row>
    <row r="32" customFormat="false" ht="13.5" hidden="false" customHeight="true" outlineLevel="0" collapsed="false">
      <c r="A32" s="166" t="n">
        <v>19</v>
      </c>
      <c r="B32" s="167" t="n">
        <f aca="false">EDATE($B$14,A31)</f>
        <v>47209</v>
      </c>
      <c r="C32" s="68" t="n">
        <f aca="false">G31</f>
        <v>240908422.665124</v>
      </c>
      <c r="D32" s="68" t="n">
        <f aca="false">C32*(B7/12)</f>
        <v>1806813.16998843</v>
      </c>
      <c r="E32" s="68" t="n">
        <f aca="false">IF(19&lt;=0,0,MAX(0,(-PMT(B7/12,B8-B9,B6))-D32))</f>
        <v>12550766.1259748</v>
      </c>
      <c r="F32" s="110" t="n">
        <f aca="false">D32+E32</f>
        <v>14357579.2959632</v>
      </c>
      <c r="G32" s="68" t="n">
        <f aca="false">MAX(0,C32-E32)</f>
        <v>228357656.539149</v>
      </c>
    </row>
    <row r="33" customFormat="false" ht="13.5" hidden="false" customHeight="true" outlineLevel="0" collapsed="false">
      <c r="A33" s="168" t="n">
        <v>20</v>
      </c>
      <c r="B33" s="167" t="n">
        <f aca="false">EDATE($B$14,A32)</f>
        <v>47239</v>
      </c>
      <c r="C33" s="60" t="n">
        <f aca="false">G32</f>
        <v>228357656.539149</v>
      </c>
      <c r="D33" s="60" t="n">
        <f aca="false">C33*(B7/12)</f>
        <v>1712682.42404362</v>
      </c>
      <c r="E33" s="60" t="n">
        <f aca="false">IF(20&lt;=0,0,MAX(0,(-PMT(B7/12,B8-B9,B6))-D33))</f>
        <v>12644896.8719196</v>
      </c>
      <c r="F33" s="109" t="n">
        <f aca="false">D33+E33</f>
        <v>14357579.2959632</v>
      </c>
      <c r="G33" s="60" t="n">
        <f aca="false">MAX(0,C33-E33)</f>
        <v>215712759.66723</v>
      </c>
    </row>
    <row r="34" customFormat="false" ht="13.5" hidden="false" customHeight="true" outlineLevel="0" collapsed="false">
      <c r="A34" s="166" t="n">
        <v>21</v>
      </c>
      <c r="B34" s="167" t="n">
        <f aca="false">EDATE($B$14,A33)</f>
        <v>47270</v>
      </c>
      <c r="C34" s="68" t="n">
        <f aca="false">G33</f>
        <v>215712759.66723</v>
      </c>
      <c r="D34" s="68" t="n">
        <f aca="false">C34*(B7/12)</f>
        <v>1617845.69750422</v>
      </c>
      <c r="E34" s="68" t="n">
        <f aca="false">IF(21&lt;=0,0,MAX(0,(-PMT(B7/12,B8-B9,B6))-D34))</f>
        <v>12739733.598459</v>
      </c>
      <c r="F34" s="110" t="n">
        <f aca="false">D34+E34</f>
        <v>14357579.2959632</v>
      </c>
      <c r="G34" s="68" t="n">
        <f aca="false">MAX(0,C34-E34)</f>
        <v>202973026.068771</v>
      </c>
    </row>
    <row r="35" customFormat="false" ht="13.5" hidden="false" customHeight="true" outlineLevel="0" collapsed="false">
      <c r="A35" s="168" t="n">
        <v>22</v>
      </c>
      <c r="B35" s="167" t="n">
        <f aca="false">EDATE($B$14,A34)</f>
        <v>47300</v>
      </c>
      <c r="C35" s="60" t="n">
        <f aca="false">G34</f>
        <v>202973026.068771</v>
      </c>
      <c r="D35" s="60" t="n">
        <f aca="false">C35*(B7/12)</f>
        <v>1522297.69551578</v>
      </c>
      <c r="E35" s="60" t="n">
        <f aca="false">IF(22&lt;=0,0,MAX(0,(-PMT(B7/12,B8-B9,B6))-D35))</f>
        <v>12835281.6004474</v>
      </c>
      <c r="F35" s="109" t="n">
        <f aca="false">D35+E35</f>
        <v>14357579.2959632</v>
      </c>
      <c r="G35" s="60" t="n">
        <f aca="false">MAX(0,C35-E35)</f>
        <v>190137744.468323</v>
      </c>
    </row>
    <row r="36" customFormat="false" ht="13.5" hidden="false" customHeight="true" outlineLevel="0" collapsed="false">
      <c r="A36" s="166" t="n">
        <v>23</v>
      </c>
      <c r="B36" s="167" t="n">
        <f aca="false">EDATE($B$14,A35)</f>
        <v>47331</v>
      </c>
      <c r="C36" s="68" t="n">
        <f aca="false">G35</f>
        <v>190137744.468323</v>
      </c>
      <c r="D36" s="68" t="n">
        <f aca="false">C36*(B7/12)</f>
        <v>1426033.08351242</v>
      </c>
      <c r="E36" s="68" t="n">
        <f aca="false">IF(23&lt;=0,0,MAX(0,(-PMT(B7/12,B8-B9,B6))-D36))</f>
        <v>12931546.2124508</v>
      </c>
      <c r="F36" s="110" t="n">
        <f aca="false">D36+E36</f>
        <v>14357579.2959632</v>
      </c>
      <c r="G36" s="68" t="n">
        <f aca="false">MAX(0,C36-E36)</f>
        <v>177206198.255872</v>
      </c>
    </row>
    <row r="37" customFormat="false" ht="13.5" hidden="false" customHeight="true" outlineLevel="0" collapsed="false">
      <c r="A37" s="168" t="n">
        <v>24</v>
      </c>
      <c r="B37" s="167" t="n">
        <f aca="false">EDATE($B$14,A36)</f>
        <v>47362</v>
      </c>
      <c r="C37" s="60" t="n">
        <f aca="false">G36</f>
        <v>177206198.255872</v>
      </c>
      <c r="D37" s="60" t="n">
        <f aca="false">C37*(B7/12)</f>
        <v>1329046.48691904</v>
      </c>
      <c r="E37" s="60" t="n">
        <f aca="false">IF(24&lt;=0,0,MAX(0,(-PMT(B7/12,B8-B9,B6))-D37))</f>
        <v>13028532.8090442</v>
      </c>
      <c r="F37" s="109" t="n">
        <f aca="false">D37+E37</f>
        <v>14357579.2959632</v>
      </c>
      <c r="G37" s="60" t="n">
        <f aca="false">MAX(0,C37-E37)</f>
        <v>164177665.446828</v>
      </c>
    </row>
    <row r="38" customFormat="false" ht="13.5" hidden="false" customHeight="true" outlineLevel="0" collapsed="false">
      <c r="A38" s="166" t="n">
        <v>25</v>
      </c>
      <c r="B38" s="167" t="n">
        <f aca="false">EDATE($B$14,A37)</f>
        <v>47392</v>
      </c>
      <c r="C38" s="68" t="n">
        <f aca="false">G37</f>
        <v>164177665.446828</v>
      </c>
      <c r="D38" s="68" t="n">
        <f aca="false">C38*(B7/12)</f>
        <v>1231332.49085121</v>
      </c>
      <c r="E38" s="68" t="n">
        <f aca="false">IF(25&lt;=0,0,MAX(0,(-PMT(B7/12,B8-B9,B6))-D38))</f>
        <v>13126246.805112</v>
      </c>
      <c r="F38" s="110" t="n">
        <f aca="false">D38+E38</f>
        <v>14357579.2959632</v>
      </c>
      <c r="G38" s="68" t="n">
        <f aca="false">MAX(0,C38-E38)</f>
        <v>151051418.641716</v>
      </c>
    </row>
    <row r="39" customFormat="false" ht="13.5" hidden="false" customHeight="true" outlineLevel="0" collapsed="false">
      <c r="A39" s="168" t="n">
        <v>26</v>
      </c>
      <c r="B39" s="167" t="n">
        <f aca="false">EDATE($B$14,A38)</f>
        <v>47423</v>
      </c>
      <c r="C39" s="60" t="n">
        <f aca="false">G38</f>
        <v>151051418.641716</v>
      </c>
      <c r="D39" s="60" t="n">
        <f aca="false">C39*(B7/12)</f>
        <v>1132885.63981287</v>
      </c>
      <c r="E39" s="60" t="n">
        <f aca="false">IF(26&lt;=0,0,MAX(0,(-PMT(B7/12,B8-B9,B6))-D39))</f>
        <v>13224693.6561503</v>
      </c>
      <c r="F39" s="109" t="n">
        <f aca="false">D39+E39</f>
        <v>14357579.2959632</v>
      </c>
      <c r="G39" s="60" t="n">
        <f aca="false">MAX(0,C39-E39)</f>
        <v>137826724.985566</v>
      </c>
    </row>
    <row r="40" customFormat="false" ht="13.5" hidden="false" customHeight="true" outlineLevel="0" collapsed="false">
      <c r="A40" s="166" t="n">
        <v>27</v>
      </c>
      <c r="B40" s="167" t="n">
        <f aca="false">EDATE($B$14,A39)</f>
        <v>47453</v>
      </c>
      <c r="C40" s="68" t="n">
        <f aca="false">G39</f>
        <v>137826724.985566</v>
      </c>
      <c r="D40" s="68" t="n">
        <f aca="false">C40*(B7/12)</f>
        <v>1033700.43739174</v>
      </c>
      <c r="E40" s="68" t="n">
        <f aca="false">IF(27&lt;=0,0,MAX(0,(-PMT(B7/12,B8-B9,B6))-D40))</f>
        <v>13323878.8585715</v>
      </c>
      <c r="F40" s="110" t="n">
        <f aca="false">D40+E40</f>
        <v>14357579.2959632</v>
      </c>
      <c r="G40" s="68" t="n">
        <f aca="false">MAX(0,C40-E40)</f>
        <v>124502846.126994</v>
      </c>
    </row>
    <row r="41" customFormat="false" ht="13.5" hidden="false" customHeight="true" outlineLevel="0" collapsed="false">
      <c r="A41" s="168" t="n">
        <v>28</v>
      </c>
      <c r="B41" s="167" t="n">
        <f aca="false">EDATE($B$14,A40)</f>
        <v>47484</v>
      </c>
      <c r="C41" s="60" t="n">
        <f aca="false">G40</f>
        <v>124502846.126994</v>
      </c>
      <c r="D41" s="60" t="n">
        <f aca="false">C41*(B7/12)</f>
        <v>933771.345952457</v>
      </c>
      <c r="E41" s="60" t="n">
        <f aca="false">IF(28&lt;=0,0,MAX(0,(-PMT(B7/12,B8-B9,B6))-D41))</f>
        <v>13423807.9500108</v>
      </c>
      <c r="F41" s="109" t="n">
        <f aca="false">D41+E41</f>
        <v>14357579.2959632</v>
      </c>
      <c r="G41" s="60" t="n">
        <f aca="false">MAX(0,C41-E41)</f>
        <v>111079038.176983</v>
      </c>
    </row>
    <row r="42" customFormat="false" ht="13.5" hidden="false" customHeight="true" outlineLevel="0" collapsed="false">
      <c r="A42" s="166" t="n">
        <v>29</v>
      </c>
      <c r="B42" s="167" t="n">
        <f aca="false">EDATE($B$14,A41)</f>
        <v>47515</v>
      </c>
      <c r="C42" s="68" t="n">
        <f aca="false">G41</f>
        <v>111079038.176983</v>
      </c>
      <c r="D42" s="68" t="n">
        <f aca="false">C42*(B7/12)</f>
        <v>833092.786327376</v>
      </c>
      <c r="E42" s="68" t="n">
        <f aca="false">IF(29&lt;=0,0,MAX(0,(-PMT(B7/12,B8-B9,B6))-D42))</f>
        <v>13524486.5096358</v>
      </c>
      <c r="F42" s="110" t="n">
        <f aca="false">D42+E42</f>
        <v>14357579.2959632</v>
      </c>
      <c r="G42" s="68" t="n">
        <f aca="false">MAX(0,C42-E42)</f>
        <v>97554551.6673477</v>
      </c>
    </row>
    <row r="43" customFormat="false" ht="13.5" hidden="false" customHeight="true" outlineLevel="0" collapsed="false">
      <c r="A43" s="168" t="n">
        <v>30</v>
      </c>
      <c r="B43" s="167" t="n">
        <f aca="false">EDATE($B$14,A42)</f>
        <v>47543</v>
      </c>
      <c r="C43" s="60" t="n">
        <f aca="false">G42</f>
        <v>97554551.6673477</v>
      </c>
      <c r="D43" s="60" t="n">
        <f aca="false">C43*(B7/12)</f>
        <v>731659.137505107</v>
      </c>
      <c r="E43" s="60" t="n">
        <f aca="false">IF(30&lt;=0,0,MAX(0,(-PMT(B7/12,B8-B9,B6))-D43))</f>
        <v>13625920.1584581</v>
      </c>
      <c r="F43" s="109" t="n">
        <f aca="false">D43+E43</f>
        <v>14357579.2959632</v>
      </c>
      <c r="G43" s="60" t="n">
        <f aca="false">MAX(0,C43-E43)</f>
        <v>83928631.5088895</v>
      </c>
    </row>
    <row r="44" customFormat="false" ht="13.5" hidden="false" customHeight="true" outlineLevel="0" collapsed="false">
      <c r="A44" s="166" t="n">
        <v>31</v>
      </c>
      <c r="B44" s="167" t="n">
        <f aca="false">EDATE($B$14,A43)</f>
        <v>47574</v>
      </c>
      <c r="C44" s="68" t="n">
        <f aca="false">G43</f>
        <v>83928631.5088895</v>
      </c>
      <c r="D44" s="68" t="n">
        <f aca="false">C44*(B7/12)</f>
        <v>629464.736316672</v>
      </c>
      <c r="E44" s="68" t="n">
        <f aca="false">IF(31&lt;=0,0,MAX(0,(-PMT(B7/12,B8-B9,B6))-D44))</f>
        <v>13728114.5596465</v>
      </c>
      <c r="F44" s="110" t="n">
        <f aca="false">D44+E44</f>
        <v>14357579.2959632</v>
      </c>
      <c r="G44" s="68" t="n">
        <f aca="false">MAX(0,C44-E44)</f>
        <v>70200516.949243</v>
      </c>
    </row>
    <row r="45" customFormat="false" ht="13.5" hidden="false" customHeight="true" outlineLevel="0" collapsed="false">
      <c r="A45" s="168" t="n">
        <v>32</v>
      </c>
      <c r="B45" s="167" t="n">
        <f aca="false">EDATE($B$14,A44)</f>
        <v>47604</v>
      </c>
      <c r="C45" s="60" t="n">
        <f aca="false">G44</f>
        <v>70200516.949243</v>
      </c>
      <c r="D45" s="60" t="n">
        <f aca="false">C45*(B7/12)</f>
        <v>526503.877119322</v>
      </c>
      <c r="E45" s="60" t="n">
        <f aca="false">IF(32&lt;=0,0,MAX(0,(-PMT(B7/12,B8-B9,B6))-D45))</f>
        <v>13831075.4188439</v>
      </c>
      <c r="F45" s="109" t="n">
        <f aca="false">D45+E45</f>
        <v>14357579.2959632</v>
      </c>
      <c r="G45" s="60" t="n">
        <f aca="false">MAX(0,C45-E45)</f>
        <v>56369441.5303991</v>
      </c>
    </row>
    <row r="46" customFormat="false" ht="13.5" hidden="false" customHeight="true" outlineLevel="0" collapsed="false">
      <c r="A46" s="166" t="n">
        <v>33</v>
      </c>
      <c r="B46" s="167" t="n">
        <f aca="false">EDATE($B$14,A45)</f>
        <v>47635</v>
      </c>
      <c r="C46" s="68" t="n">
        <f aca="false">G45</f>
        <v>56369441.5303991</v>
      </c>
      <c r="D46" s="68" t="n">
        <f aca="false">C46*(B7/12)</f>
        <v>422770.811477993</v>
      </c>
      <c r="E46" s="68" t="n">
        <f aca="false">IF(33&lt;=0,0,MAX(0,(-PMT(B7/12,B8-B9,B6))-D46))</f>
        <v>13934808.4844852</v>
      </c>
      <c r="F46" s="110" t="n">
        <f aca="false">D46+E46</f>
        <v>14357579.2959632</v>
      </c>
      <c r="G46" s="68" t="n">
        <f aca="false">MAX(0,C46-E46)</f>
        <v>42434633.0459139</v>
      </c>
    </row>
    <row r="47" customFormat="false" ht="13.5" hidden="false" customHeight="true" outlineLevel="0" collapsed="false">
      <c r="A47" s="168" t="n">
        <v>34</v>
      </c>
      <c r="B47" s="167" t="n">
        <f aca="false">EDATE($B$14,A46)</f>
        <v>47665</v>
      </c>
      <c r="C47" s="60" t="n">
        <f aca="false">G46</f>
        <v>42434633.0459139</v>
      </c>
      <c r="D47" s="60" t="n">
        <f aca="false">C47*(B7/12)</f>
        <v>318259.747844354</v>
      </c>
      <c r="E47" s="60" t="n">
        <f aca="false">IF(34&lt;=0,0,MAX(0,(-PMT(B7/12,B8-B9,B6))-D47))</f>
        <v>14039319.5481189</v>
      </c>
      <c r="F47" s="109" t="n">
        <f aca="false">D47+E47</f>
        <v>14357579.2959632</v>
      </c>
      <c r="G47" s="60" t="n">
        <f aca="false">MAX(0,C47-E47)</f>
        <v>28395313.497795</v>
      </c>
    </row>
    <row r="48" customFormat="false" ht="13.5" hidden="false" customHeight="true" outlineLevel="0" collapsed="false">
      <c r="A48" s="166" t="n">
        <v>35</v>
      </c>
      <c r="B48" s="167" t="n">
        <f aca="false">EDATE($B$14,A47)</f>
        <v>47696</v>
      </c>
      <c r="C48" s="68" t="n">
        <f aca="false">G47</f>
        <v>28395313.497795</v>
      </c>
      <c r="D48" s="68" t="n">
        <f aca="false">C48*(B7/12)</f>
        <v>212964.851233463</v>
      </c>
      <c r="E48" s="68" t="n">
        <f aca="false">IF(35&lt;=0,0,MAX(0,(-PMT(B7/12,B8-B9,B6))-D48))</f>
        <v>14144614.4447298</v>
      </c>
      <c r="F48" s="110" t="n">
        <f aca="false">D48+E48</f>
        <v>14357579.2959632</v>
      </c>
      <c r="G48" s="68" t="n">
        <f aca="false">MAX(0,C48-E48)</f>
        <v>14250699.0530653</v>
      </c>
    </row>
    <row r="49" customFormat="false" ht="13.5" hidden="false" customHeight="true" outlineLevel="0" collapsed="false">
      <c r="A49" s="168" t="n">
        <v>36</v>
      </c>
      <c r="B49" s="167" t="n">
        <f aca="false">EDATE($B$14,A48)</f>
        <v>47727</v>
      </c>
      <c r="C49" s="60" t="n">
        <f aca="false">G48</f>
        <v>14250699.0530653</v>
      </c>
      <c r="D49" s="60" t="n">
        <f aca="false">C49*(B7/12)</f>
        <v>106880.242897989</v>
      </c>
      <c r="E49" s="60" t="n">
        <f aca="false">IF(36&lt;=0,0,MAX(0,(-PMT(B7/12,B8-B9,B6))-D49))</f>
        <v>14250699.0530652</v>
      </c>
      <c r="F49" s="109" t="n">
        <f aca="false">D49+E49</f>
        <v>14357579.2959632</v>
      </c>
      <c r="G49" s="60" t="n">
        <f aca="false">MAX(0,C49-E49)</f>
        <v>0</v>
      </c>
    </row>
    <row r="50" customFormat="false" ht="15.75" hidden="false" customHeight="true" outlineLevel="0" collapsed="false">
      <c r="A50" s="169" t="s">
        <v>576</v>
      </c>
      <c r="B50" s="41"/>
      <c r="C50" s="67" t="n">
        <f aca="false">C14</f>
        <v>451500000</v>
      </c>
      <c r="D50" s="67" t="n">
        <f aca="false">SUM(D14:D49)</f>
        <v>65372854.6546759</v>
      </c>
      <c r="E50" s="67" t="n">
        <f aca="false">SUM(E14:E49)</f>
        <v>451500000</v>
      </c>
      <c r="F50" s="67" t="n">
        <f aca="false">SUM(F14:F49)</f>
        <v>516872854.654676</v>
      </c>
      <c r="G50" s="67" t="n">
        <f aca="false">G49</f>
        <v>0</v>
      </c>
    </row>
  </sheetData>
  <mergeCells count="1">
    <mergeCell ref="A1:G1"/>
  </mergeCells>
  <dataValidations count="1">
    <dataValidation allowBlank="true" errorStyle="stop" operator="equal" showDropDown="false" showErrorMessage="true" showInputMessage="false" sqref="B4" type="list">
      <formula1>'⚙️ Other Assumptions'!$A$4:$A$5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3C34"/>
    <pageSetUpPr fitToPage="false"/>
  </sheetPr>
  <dimension ref="A1:AK31"/>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pane xSplit="0" ySplit="3" topLeftCell="A7" activePane="bottomLeft" state="frozen"/>
      <selection pane="topLeft" activeCell="A1" activeCellId="0" sqref="A1"/>
      <selection pane="bottomLeft" activeCell="B21" activeCellId="0" sqref="B21"/>
    </sheetView>
  </sheetViews>
  <sheetFormatPr defaultColWidth="8.71484375" defaultRowHeight="13.8" customHeight="false" zeroHeight="false" outlineLevelRow="0" outlineLevelCol="0"/>
  <cols>
    <col collapsed="false" customWidth="true" hidden="false" outlineLevel="0" max="1" min="1" style="83" width="28.63"/>
    <col collapsed="false" customWidth="true" hidden="false" outlineLevel="0" max="3" min="2" style="83" width="20.91"/>
    <col collapsed="false" customWidth="true" hidden="false" outlineLevel="0" max="4" min="4" style="83" width="21.16"/>
    <col collapsed="false" customWidth="true" hidden="false" outlineLevel="0" max="5" min="5" style="83" width="19.48"/>
    <col collapsed="false" customWidth="true" hidden="false" outlineLevel="0" max="6" min="6" style="83" width="20.78"/>
    <col collapsed="false" customWidth="false" hidden="false" outlineLevel="0" max="16384" min="7" style="83" width="8.71"/>
  </cols>
  <sheetData>
    <row r="1" customFormat="false" ht="30" hidden="false" customHeight="true" outlineLevel="0" collapsed="false">
      <c r="A1" s="111" t="s">
        <v>0</v>
      </c>
      <c r="B1" s="111"/>
      <c r="C1" s="111"/>
      <c r="D1" s="111"/>
      <c r="E1" s="111"/>
      <c r="F1" s="111"/>
    </row>
    <row r="2" customFormat="false" ht="12" hidden="false" customHeight="true" outlineLevel="0" collapsed="false">
      <c r="A2" s="111"/>
      <c r="B2" s="111"/>
      <c r="C2" s="111"/>
      <c r="D2" s="111"/>
      <c r="E2" s="111"/>
      <c r="F2" s="111"/>
    </row>
    <row r="4" customFormat="false" ht="13.8" hidden="false" customHeight="false" outlineLevel="0" collapsed="false">
      <c r="A4" s="83" t="s">
        <v>559</v>
      </c>
    </row>
    <row r="5" customFormat="false" ht="13.8" hidden="false" customHeight="false" outlineLevel="0" collapsed="false">
      <c r="A5" s="83" t="s">
        <v>577</v>
      </c>
    </row>
    <row r="6" customFormat="false" ht="13.8" hidden="false" customHeight="false" outlineLevel="0" collapsed="false">
      <c r="B6" s="170"/>
    </row>
    <row r="7" customFormat="false" ht="13.8" hidden="false" customHeight="false" outlineLevel="0" collapsed="false">
      <c r="A7" s="171" t="s">
        <v>578</v>
      </c>
      <c r="B7" s="172" t="s">
        <v>579</v>
      </c>
      <c r="C7" s="173"/>
    </row>
    <row r="8" customFormat="false" ht="13.8" hidden="false" customHeight="false" outlineLevel="0" collapsed="false">
      <c r="A8" s="99" t="s">
        <v>580</v>
      </c>
      <c r="B8" s="96" t="n">
        <f aca="false">(1.7*10^6 + 3.5*10^6)/2</f>
        <v>2600000</v>
      </c>
      <c r="C8" s="173"/>
    </row>
    <row r="9" customFormat="false" ht="13.8" hidden="false" customHeight="false" outlineLevel="0" collapsed="false">
      <c r="A9" s="99" t="s">
        <v>581</v>
      </c>
      <c r="B9" s="96" t="n">
        <f aca="false">(1 + 2.7)/2*10^6</f>
        <v>1850000</v>
      </c>
    </row>
    <row r="10" customFormat="false" ht="13.8" hidden="false" customHeight="false" outlineLevel="0" collapsed="false">
      <c r="A10" s="99" t="s">
        <v>5</v>
      </c>
      <c r="B10" s="96" t="n">
        <f aca="false">(0.8+1.5)/2*10^6</f>
        <v>1150000</v>
      </c>
    </row>
    <row r="14" customFormat="false" ht="13.8" hidden="false" customHeight="false" outlineLevel="0" collapsed="false">
      <c r="A14" s="83" t="s">
        <v>582</v>
      </c>
      <c r="B14" s="171" t="n">
        <v>1</v>
      </c>
      <c r="C14" s="171" t="n">
        <v>2</v>
      </c>
      <c r="D14" s="171" t="n">
        <v>3</v>
      </c>
      <c r="E14" s="171" t="n">
        <v>4</v>
      </c>
      <c r="F14" s="171" t="n">
        <v>5</v>
      </c>
      <c r="G14" s="171" t="n">
        <v>6</v>
      </c>
      <c r="H14" s="171" t="n">
        <v>7</v>
      </c>
      <c r="I14" s="171" t="n">
        <v>8</v>
      </c>
      <c r="J14" s="171" t="n">
        <v>9</v>
      </c>
      <c r="K14" s="171" t="n">
        <v>10</v>
      </c>
      <c r="L14" s="171" t="n">
        <v>11</v>
      </c>
      <c r="M14" s="171" t="n">
        <v>12</v>
      </c>
      <c r="N14" s="171" t="n">
        <v>13</v>
      </c>
      <c r="O14" s="171" t="n">
        <v>14</v>
      </c>
      <c r="P14" s="171" t="n">
        <v>15</v>
      </c>
      <c r="Q14" s="171" t="n">
        <v>16</v>
      </c>
      <c r="R14" s="171" t="n">
        <v>17</v>
      </c>
      <c r="S14" s="171" t="n">
        <v>18</v>
      </c>
      <c r="T14" s="171" t="n">
        <v>19</v>
      </c>
      <c r="U14" s="171" t="n">
        <v>20</v>
      </c>
      <c r="V14" s="171" t="n">
        <v>21</v>
      </c>
      <c r="W14" s="171" t="n">
        <v>22</v>
      </c>
      <c r="X14" s="171" t="n">
        <v>23</v>
      </c>
      <c r="Y14" s="171" t="n">
        <v>24</v>
      </c>
      <c r="Z14" s="171" t="n">
        <v>25</v>
      </c>
      <c r="AA14" s="171" t="n">
        <v>26</v>
      </c>
      <c r="AB14" s="171" t="n">
        <v>27</v>
      </c>
      <c r="AC14" s="171" t="n">
        <v>28</v>
      </c>
      <c r="AD14" s="171" t="n">
        <v>29</v>
      </c>
      <c r="AE14" s="171" t="n">
        <v>30</v>
      </c>
      <c r="AF14" s="171" t="n">
        <v>31</v>
      </c>
      <c r="AG14" s="171" t="n">
        <v>32</v>
      </c>
      <c r="AH14" s="171" t="n">
        <v>33</v>
      </c>
      <c r="AI14" s="171" t="n">
        <v>34</v>
      </c>
      <c r="AJ14" s="171" t="n">
        <v>35</v>
      </c>
      <c r="AK14" s="171" t="n">
        <v>36</v>
      </c>
    </row>
    <row r="15" customFormat="false" ht="39.55" hidden="false" customHeight="false" outlineLevel="0" collapsed="false">
      <c r="A15" s="174" t="s">
        <v>583</v>
      </c>
      <c r="B15" s="96" t="n">
        <v>0.9</v>
      </c>
      <c r="C15" s="96" t="n">
        <v>1</v>
      </c>
      <c r="D15" s="96" t="n">
        <v>1</v>
      </c>
      <c r="E15" s="96" t="n">
        <v>1</v>
      </c>
      <c r="F15" s="96" t="n">
        <v>1</v>
      </c>
      <c r="G15" s="96" t="n">
        <v>1.5</v>
      </c>
      <c r="H15" s="96" t="n">
        <v>1.5</v>
      </c>
      <c r="I15" s="96" t="n">
        <v>1.5</v>
      </c>
      <c r="J15" s="96" t="n">
        <v>1.5</v>
      </c>
      <c r="K15" s="96" t="n">
        <v>1.5</v>
      </c>
      <c r="L15" s="96" t="n">
        <v>0.9</v>
      </c>
      <c r="M15" s="96" t="n">
        <v>0.9</v>
      </c>
    </row>
    <row r="16" customFormat="false" ht="23.85" hidden="false" customHeight="false" outlineLevel="0" collapsed="false">
      <c r="A16" s="175" t="s">
        <v>584</v>
      </c>
      <c r="B16" s="99" t="n">
        <v>1.2</v>
      </c>
      <c r="C16" s="99" t="n">
        <v>0.85</v>
      </c>
      <c r="D16" s="96" t="n">
        <v>0.95</v>
      </c>
      <c r="E16" s="96" t="n">
        <v>1.15</v>
      </c>
      <c r="F16" s="99" t="n">
        <v>1.05</v>
      </c>
      <c r="G16" s="99" t="n">
        <v>1.2</v>
      </c>
      <c r="H16" s="99" t="n">
        <v>1.15</v>
      </c>
      <c r="I16" s="99" t="n">
        <v>1</v>
      </c>
      <c r="J16" s="99" t="n">
        <v>0.95</v>
      </c>
      <c r="K16" s="99" t="n">
        <v>0.95</v>
      </c>
      <c r="L16" s="99" t="n">
        <v>1.05</v>
      </c>
      <c r="M16" s="99" t="n">
        <v>1.2</v>
      </c>
    </row>
    <row r="17" customFormat="false" ht="13.8" hidden="false" customHeight="false" outlineLevel="0" collapsed="false">
      <c r="A17" s="99" t="s">
        <v>585</v>
      </c>
      <c r="B17" s="176" t="n">
        <v>0</v>
      </c>
      <c r="C17" s="176" t="n">
        <v>0</v>
      </c>
      <c r="D17" s="177" t="n">
        <v>0.15</v>
      </c>
      <c r="E17" s="177" t="n">
        <v>0.2</v>
      </c>
      <c r="F17" s="177" t="n">
        <v>0.3</v>
      </c>
      <c r="G17" s="177" t="n">
        <v>0.4</v>
      </c>
      <c r="H17" s="177" t="n">
        <v>0.45</v>
      </c>
      <c r="I17" s="177" t="n">
        <v>0.5</v>
      </c>
      <c r="J17" s="177" t="n">
        <v>0.5</v>
      </c>
      <c r="K17" s="177" t="n">
        <v>0.6</v>
      </c>
      <c r="L17" s="177" t="n">
        <v>0.6</v>
      </c>
      <c r="M17" s="177" t="n">
        <v>0.65</v>
      </c>
      <c r="N17" s="177" t="n">
        <v>0.65</v>
      </c>
      <c r="O17" s="177" t="n">
        <v>0.7</v>
      </c>
      <c r="P17" s="177" t="n">
        <v>0.8</v>
      </c>
      <c r="Q17" s="177" t="n">
        <v>0.8</v>
      </c>
      <c r="R17" s="177" t="n">
        <v>1</v>
      </c>
      <c r="S17" s="177" t="n">
        <v>1</v>
      </c>
      <c r="T17" s="177" t="n">
        <v>1</v>
      </c>
      <c r="U17" s="177" t="n">
        <v>1</v>
      </c>
      <c r="V17" s="177" t="n">
        <v>1</v>
      </c>
      <c r="W17" s="177" t="n">
        <v>1</v>
      </c>
      <c r="X17" s="177" t="n">
        <v>1</v>
      </c>
      <c r="Y17" s="177" t="n">
        <v>1</v>
      </c>
      <c r="Z17" s="177" t="n">
        <v>1</v>
      </c>
      <c r="AA17" s="177" t="n">
        <v>1</v>
      </c>
      <c r="AB17" s="177" t="n">
        <v>1</v>
      </c>
      <c r="AC17" s="177" t="n">
        <v>1</v>
      </c>
      <c r="AD17" s="177" t="n">
        <v>1</v>
      </c>
      <c r="AE17" s="177" t="n">
        <v>1</v>
      </c>
      <c r="AF17" s="177" t="n">
        <v>1</v>
      </c>
      <c r="AG17" s="177" t="n">
        <v>1</v>
      </c>
      <c r="AH17" s="177" t="n">
        <v>1</v>
      </c>
      <c r="AI17" s="177" t="n">
        <v>1</v>
      </c>
      <c r="AJ17" s="177" t="n">
        <v>1</v>
      </c>
      <c r="AK17" s="177" t="n">
        <v>1</v>
      </c>
    </row>
    <row r="18" customFormat="false" ht="13.8" hidden="false" customHeight="false" outlineLevel="0" collapsed="false">
      <c r="A18" s="99" t="s">
        <v>12</v>
      </c>
      <c r="B18" s="176" t="n">
        <v>0</v>
      </c>
      <c r="C18" s="176" t="n">
        <v>0</v>
      </c>
      <c r="D18" s="177" t="n">
        <v>0.3</v>
      </c>
      <c r="E18" s="177" t="n">
        <v>0.3</v>
      </c>
      <c r="F18" s="177" t="n">
        <v>0.5</v>
      </c>
      <c r="G18" s="177" t="n">
        <v>0.5</v>
      </c>
      <c r="H18" s="177" t="n">
        <v>0.75</v>
      </c>
      <c r="I18" s="177" t="n">
        <v>0.75</v>
      </c>
      <c r="J18" s="177" t="n">
        <v>0.8</v>
      </c>
      <c r="K18" s="177" t="n">
        <v>0.9</v>
      </c>
      <c r="L18" s="177" t="n">
        <v>0.9</v>
      </c>
      <c r="M18" s="177" t="n">
        <v>0.95</v>
      </c>
      <c r="N18" s="177" t="n">
        <v>0.95</v>
      </c>
      <c r="O18" s="177" t="n">
        <v>1</v>
      </c>
      <c r="P18" s="177" t="n">
        <v>1</v>
      </c>
      <c r="Q18" s="177" t="n">
        <v>1</v>
      </c>
      <c r="R18" s="177" t="n">
        <v>1</v>
      </c>
      <c r="S18" s="177" t="n">
        <v>1</v>
      </c>
      <c r="T18" s="177" t="n">
        <v>1</v>
      </c>
      <c r="U18" s="177" t="n">
        <v>1</v>
      </c>
      <c r="V18" s="177" t="n">
        <v>1</v>
      </c>
      <c r="W18" s="177" t="n">
        <v>1</v>
      </c>
      <c r="X18" s="177" t="n">
        <v>1.2</v>
      </c>
      <c r="Y18" s="177" t="n">
        <v>1.2</v>
      </c>
      <c r="Z18" s="177" t="n">
        <v>1.2</v>
      </c>
      <c r="AA18" s="177" t="n">
        <v>1.2</v>
      </c>
      <c r="AB18" s="177" t="n">
        <v>1.2</v>
      </c>
      <c r="AC18" s="177" t="n">
        <v>1.2</v>
      </c>
      <c r="AD18" s="177" t="n">
        <v>1.2</v>
      </c>
      <c r="AE18" s="177" t="n">
        <v>1.2</v>
      </c>
      <c r="AF18" s="177" t="n">
        <v>1.2</v>
      </c>
      <c r="AG18" s="177" t="n">
        <v>1.2</v>
      </c>
      <c r="AH18" s="177" t="n">
        <v>1.2</v>
      </c>
      <c r="AI18" s="177" t="n">
        <v>1.2</v>
      </c>
      <c r="AJ18" s="177" t="n">
        <v>1.2</v>
      </c>
      <c r="AK18" s="177" t="n">
        <v>1.2</v>
      </c>
    </row>
    <row r="19" customFormat="false" ht="13.8" hidden="false" customHeight="false" outlineLevel="0" collapsed="false">
      <c r="A19" s="99" t="s">
        <v>586</v>
      </c>
      <c r="B19" s="176" t="n">
        <v>0</v>
      </c>
      <c r="C19" s="176" t="n">
        <v>0</v>
      </c>
      <c r="D19" s="177" t="n">
        <v>0.45</v>
      </c>
      <c r="E19" s="177" t="n">
        <v>0.6</v>
      </c>
      <c r="F19" s="177" t="n">
        <v>0.7</v>
      </c>
      <c r="G19" s="177" t="n">
        <v>0.8</v>
      </c>
      <c r="H19" s="177" t="n">
        <v>0.9</v>
      </c>
      <c r="I19" s="177" t="n">
        <v>1</v>
      </c>
      <c r="J19" s="177" t="n">
        <v>1</v>
      </c>
      <c r="K19" s="177" t="n">
        <v>1</v>
      </c>
      <c r="L19" s="177" t="n">
        <v>1</v>
      </c>
      <c r="M19" s="177" t="n">
        <v>1</v>
      </c>
      <c r="N19" s="177" t="n">
        <v>1</v>
      </c>
      <c r="O19" s="177" t="n">
        <v>1</v>
      </c>
      <c r="P19" s="177" t="n">
        <v>1</v>
      </c>
      <c r="Q19" s="177" t="n">
        <v>1</v>
      </c>
      <c r="R19" s="177" t="n">
        <v>1.2</v>
      </c>
      <c r="S19" s="177" t="n">
        <v>1.2</v>
      </c>
      <c r="T19" s="177" t="n">
        <v>1.2</v>
      </c>
      <c r="U19" s="177" t="n">
        <v>1.2</v>
      </c>
      <c r="V19" s="177" t="n">
        <v>1.2</v>
      </c>
      <c r="W19" s="177" t="n">
        <v>1.2</v>
      </c>
      <c r="X19" s="177" t="n">
        <v>1.2</v>
      </c>
      <c r="Y19" s="177" t="n">
        <v>1.2</v>
      </c>
      <c r="Z19" s="177" t="n">
        <v>1.2</v>
      </c>
      <c r="AA19" s="177" t="n">
        <v>1.2</v>
      </c>
      <c r="AB19" s="177" t="n">
        <v>1.2</v>
      </c>
      <c r="AC19" s="177" t="n">
        <v>1.2</v>
      </c>
      <c r="AD19" s="177" t="n">
        <v>1.2</v>
      </c>
      <c r="AE19" s="177" t="n">
        <v>1.2</v>
      </c>
      <c r="AF19" s="177" t="n">
        <v>1.2</v>
      </c>
      <c r="AG19" s="177" t="n">
        <v>1.2</v>
      </c>
      <c r="AH19" s="177" t="n">
        <v>1.2</v>
      </c>
      <c r="AI19" s="177" t="n">
        <v>1.2</v>
      </c>
      <c r="AJ19" s="177" t="n">
        <v>1.2</v>
      </c>
      <c r="AK19" s="177" t="n">
        <v>1.2</v>
      </c>
    </row>
    <row r="20" customFormat="false" ht="13.8" hidden="false" customHeight="false" outlineLevel="0" collapsed="false">
      <c r="A20" s="83" t="s">
        <v>587</v>
      </c>
      <c r="B20" s="176" t="n">
        <v>0</v>
      </c>
      <c r="C20" s="176" t="n">
        <v>0</v>
      </c>
      <c r="D20" s="178" t="n">
        <v>0.2</v>
      </c>
      <c r="E20" s="178" t="n">
        <v>0.2</v>
      </c>
      <c r="F20" s="178" t="n">
        <v>0.2</v>
      </c>
      <c r="G20" s="101" t="n">
        <v>0.08</v>
      </c>
      <c r="H20" s="101" t="n">
        <v>0.08</v>
      </c>
      <c r="I20" s="101" t="n">
        <v>0.08</v>
      </c>
      <c r="J20" s="101" t="n">
        <v>0.08</v>
      </c>
      <c r="K20" s="101" t="n">
        <v>0.08</v>
      </c>
      <c r="L20" s="101" t="n">
        <v>0.04</v>
      </c>
      <c r="M20" s="101" t="n">
        <v>0.04</v>
      </c>
      <c r="N20" s="101" t="n">
        <v>0.04</v>
      </c>
      <c r="O20" s="101" t="n">
        <v>0.04</v>
      </c>
      <c r="P20" s="178" t="n">
        <v>0.03</v>
      </c>
      <c r="Q20" s="178" t="n">
        <v>0.03</v>
      </c>
      <c r="R20" s="178" t="n">
        <v>0.03</v>
      </c>
      <c r="S20" s="178" t="n">
        <v>0.03</v>
      </c>
      <c r="T20" s="178" t="n">
        <v>0.03</v>
      </c>
      <c r="U20" s="178" t="n">
        <v>0.03</v>
      </c>
      <c r="V20" s="178" t="n">
        <v>0.03</v>
      </c>
      <c r="W20" s="178" t="n">
        <v>0.03</v>
      </c>
      <c r="X20" s="178" t="n">
        <v>0.03</v>
      </c>
      <c r="Y20" s="178" t="n">
        <v>0.03</v>
      </c>
      <c r="Z20" s="178" t="n">
        <v>0.03</v>
      </c>
      <c r="AA20" s="178" t="n">
        <v>0.03</v>
      </c>
      <c r="AB20" s="178" t="n">
        <v>0.03</v>
      </c>
      <c r="AC20" s="178" t="n">
        <v>0.03</v>
      </c>
      <c r="AD20" s="178" t="n">
        <v>0.03</v>
      </c>
      <c r="AE20" s="178" t="n">
        <v>0.03</v>
      </c>
      <c r="AF20" s="178" t="n">
        <v>0.03</v>
      </c>
      <c r="AG20" s="178" t="n">
        <v>0.03</v>
      </c>
      <c r="AH20" s="178" t="n">
        <v>0.03</v>
      </c>
      <c r="AI20" s="178" t="n">
        <v>0.03</v>
      </c>
      <c r="AJ20" s="178" t="n">
        <v>0.03</v>
      </c>
      <c r="AK20" s="178" t="n">
        <v>0.03</v>
      </c>
    </row>
    <row r="21" customFormat="false" ht="13.8" hidden="false" customHeight="false" outlineLevel="0" collapsed="false">
      <c r="B21" s="178"/>
      <c r="D21" s="101"/>
      <c r="E21" s="101"/>
    </row>
    <row r="22" customFormat="false" ht="13.8" hidden="false" customHeight="false" outlineLevel="0" collapsed="false">
      <c r="B22" s="178"/>
      <c r="D22" s="101"/>
      <c r="E22" s="101"/>
    </row>
    <row r="23" customFormat="false" ht="13.8" hidden="false" customHeight="false" outlineLevel="0" collapsed="false">
      <c r="A23" s="83" t="s">
        <v>588</v>
      </c>
      <c r="B23" s="178" t="n">
        <v>0.03</v>
      </c>
      <c r="D23" s="101"/>
      <c r="E23" s="101"/>
    </row>
    <row r="24" customFormat="false" ht="13.8" hidden="false" customHeight="false" outlineLevel="0" collapsed="false">
      <c r="A24" s="99" t="s">
        <v>585</v>
      </c>
      <c r="B24" s="178" t="n">
        <f aca="false">MAX(C17:AJ17)</f>
        <v>1</v>
      </c>
    </row>
    <row r="25" customFormat="false" ht="13.8" hidden="false" customHeight="false" outlineLevel="0" collapsed="false">
      <c r="A25" s="99" t="s">
        <v>12</v>
      </c>
      <c r="B25" s="178" t="n">
        <f aca="false">MAX(C18:AJ18)</f>
        <v>1.2</v>
      </c>
    </row>
    <row r="26" customFormat="false" ht="13.8" hidden="false" customHeight="false" outlineLevel="0" collapsed="false">
      <c r="A26" s="99" t="s">
        <v>586</v>
      </c>
      <c r="B26" s="178" t="n">
        <f aca="false">MAX(C19:AJ19)</f>
        <v>1.2</v>
      </c>
    </row>
    <row r="31" customFormat="false" ht="13.8" hidden="false" customHeight="false" outlineLevel="0" collapsed="false">
      <c r="C31" s="178"/>
      <c r="D31" s="178"/>
      <c r="E31" s="178"/>
      <c r="F31" s="178"/>
    </row>
  </sheetData>
  <mergeCells count="1">
    <mergeCell ref="A1: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183</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2026-03-16T03:30:19Z</dcterms:created>
  <dc:creator>openpyxl</dc:creator>
  <dc:description/>
  <dc:language>en-US</dc:language>
  <cp:lastModifiedBy/>
  <dcterms:modified xsi:type="dcterms:W3CDTF">2026-09-30T16:37:53Z</dcterms:modified>
  <cp:revision>35</cp:revision>
  <dc:subject/>
  <dc:title/>
</cp:coreProperties>
</file>

<file path=docProps/custom.xml><?xml version="1.0" encoding="utf-8"?>
<Properties xmlns="http://schemas.openxmlformats.org/officeDocument/2006/custom-properties" xmlns:vt="http://schemas.openxmlformats.org/officeDocument/2006/docPropsVTypes"/>
</file>