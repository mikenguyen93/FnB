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 Assumptions" sheetId="1" state="visible" r:id="rId3"/>
    <sheet name="📋 Cover" sheetId="2" state="hidden" r:id="rId4"/>
    <sheet name="⚙️ Assumptions_1" sheetId="3" state="hidden" r:id="rId5"/>
    <sheet name="💰 Revenue" sheetId="4" state="visible" r:id="rId6"/>
    <sheet name="📦 COGS &amp; OpEx" sheetId="5" state="visible" r:id="rId7"/>
    <sheet name="👥 HR Plan" sheetId="6" state="visible" r:id="rId8"/>
    <sheet name="📊 P&amp;L Detail" sheetId="7" state="visible" r:id="rId9"/>
    <sheet name="💵 Cash Flow" sheetId="8" state="visible" r:id="rId10"/>
    <sheet name="🔄 Rolling Forecast" sheetId="9" state="hidden" r:id="rId11"/>
    <sheet name="🎯 Scenario Manager" sheetId="10" state="hidden" r:id="rId12"/>
    <sheet name="Sheet13" sheetId="11" state="hidden" r:id="rId13"/>
    <sheet name="🏦 Loan Schedule" sheetId="12" state="visible" r:id="rId14"/>
    <sheet name="⚙️ Other Assumptions" sheetId="13" state="visible" r:id="rId15"/>
    <sheet name="IRR " sheetId="14" state="visible" r:id="rId16"/>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13" authorId="0">
      <text>
        <r>
          <rPr>
            <sz val="10"/>
            <rFont val="Arial"/>
            <family val="2"/>
          </rPr>
          <t xml:space="preserve">Choose different Ramp-up Scenario	</t>
        </r>
      </text>
      <mc:AlternateContent>
        <mc:Choice Requires="v2">
          <commentPr autoFill="true" autoScale="false" colHidden="false" locked="false" rowHidden="false" textHAlign="justify" textVAlign="top">
            <anchor moveWithCells="false" sizeWithCells="false">
              <xdr:from>
                <xdr:col>2</xdr:col>
                <xdr:colOff>23</xdr:colOff>
                <xdr:row>9</xdr:row>
                <xdr:rowOff>16</xdr:rowOff>
              </xdr:from>
              <xdr:to>
                <xdr:col>3</xdr:col>
                <xdr:colOff>-77</xdr:colOff>
                <xdr:row>12</xdr:row>
                <xdr:rowOff>11</xdr:rowOff>
              </xdr:to>
            </anchor>
          </commentPr>
        </mc:Choice>
        <mc:Fallback/>
      </mc:AlternateContent>
    </comment>
  </commentList>
</comments>
</file>

<file path=xl/sharedStrings.xml><?xml version="1.0" encoding="utf-8"?>
<sst xmlns="http://schemas.openxmlformats.org/spreadsheetml/2006/main" count="937" uniqueCount="592">
  <si>
    <t xml:space="preserve">ASSUMPTIONS &amp; DRIVERS / GIẢ ĐỊNH &amp; THÔNG SỐ ĐẦU VÀO</t>
  </si>
  <si>
    <t xml:space="preserve">Driver</t>
  </si>
  <si>
    <t xml:space="preserve">Value</t>
  </si>
  <si>
    <t xml:space="preserve">Start Month (Tháng bắt đầu)</t>
  </si>
  <si>
    <t xml:space="preserve">Rent Area (Vị trí thuê địa điểm)</t>
  </si>
  <si>
    <t xml:space="preserve">Nearby Area(Cửa Nam, Nguyễn Hữu Huân, Triệu Việt Vương)</t>
  </si>
  <si>
    <t xml:space="preserve">Area (diện tích thuê) m2</t>
  </si>
  <si>
    <t xml:space="preserve">Rent per m2 (Giá trên m2)</t>
  </si>
  <si>
    <t xml:space="preserve">Rent Price (Giá thuê)</t>
  </si>
  <si>
    <t xml:space="preserve">Deposit month’s rent (Số tháng tiền cọc)</t>
  </si>
  <si>
    <t xml:space="preserve">Expected number of order sold per day (Công suất mục tiêu)</t>
  </si>
  <si>
    <t xml:space="preserve">Revenue Ramp-up Scenario (Kịch bản tăng trưởng doanh thu)</t>
  </si>
  <si>
    <t xml:space="preserve">Ramp-up Optimistic</t>
  </si>
  <si>
    <t xml:space="preserve">Working Capital Buffer</t>
  </si>
  <si>
    <t xml:space="preserve">Capital Expenditure (Chi phí đầu tư cố định)</t>
  </si>
  <si>
    <t xml:space="preserve">Deposit month’s rent $ (Cọc tiền thuê nhà)</t>
  </si>
  <si>
    <t xml:space="preserve">Total </t>
  </si>
  <si>
    <t xml:space="preserve">Capital Expenditure Breakdown (chi tiết Capex)</t>
  </si>
  <si>
    <t xml:space="preserve">%</t>
  </si>
  <si>
    <t xml:space="preserve">Qty </t>
  </si>
  <si>
    <t xml:space="preserve">Price</t>
  </si>
  <si>
    <t xml:space="preserve">Interior + concept design (Thiết kễ + nội thật quán)</t>
  </si>
  <si>
    <t xml:space="preserve">Stove (Bếp điện)</t>
  </si>
  <si>
    <t xml:space="preserve">Freezer (Tủ đông)</t>
  </si>
  <si>
    <t xml:space="preserve">Refregerator (Tủ mát)</t>
  </si>
  <si>
    <t xml:space="preserve">Shelf (Kệ inox đựng gia vị)</t>
  </si>
  <si>
    <t xml:space="preserve">Others (Knives, cutting boards, pans)</t>
  </si>
  <si>
    <t xml:space="preserve">SilverWare (Bát đũa, lọ gia vị)</t>
  </si>
  <si>
    <t xml:space="preserve">Điều hòa ( 2 cái 1 chiều 9-12k BTU)</t>
  </si>
  <si>
    <t xml:space="preserve">Electric (hệ thống điện 3 pha)</t>
  </si>
  <si>
    <t xml:space="preserve">Water Line (Hệ thống nước + bể tách mỡ)</t>
  </si>
  <si>
    <t xml:space="preserve">First Year (Năm đầu tiên)</t>
  </si>
  <si>
    <t xml:space="preserve">Second Year (Năm thứ 2)</t>
  </si>
  <si>
    <t xml:space="preserve">Third Year (Năm thứ 3)</t>
  </si>
  <si>
    <t xml:space="preserve">Fourth Year (Năm thứ 4)</t>
  </si>
  <si>
    <t xml:space="preserve">Fifth Year (Năm thứ 5 )</t>
  </si>
  <si>
    <t xml:space="preserve">Raw Material % of Rev  (tỷ trọng NVL/ Doanh thu)</t>
  </si>
  <si>
    <t xml:space="preserve">Electric Costs % of Rev (tỷ trọng chi phí điện/ Doanh thu)</t>
  </si>
  <si>
    <t xml:space="preserve">Water Cost % of Rev (tỷ trọng tiền nước/ Doanh thu)</t>
  </si>
  <si>
    <t xml:space="preserve">Maintainace Cost of Rev (Chi phí bảo trì bảo dưỡng)</t>
  </si>
  <si>
    <t xml:space="preserve">F&amp;B RESTAURANT
FP&amp;A MODEL TEMPLATE</t>
  </si>
  <si>
    <t xml:space="preserve">Driver-Based Planning | Bilingual EN / VI  |  36-Month Horizon</t>
  </si>
  <si>
    <t xml:space="preserve">PROJECT INFORMATION / THÔNG TIN DỰ ÁN</t>
  </si>
  <si>
    <t xml:space="preserve">Project Name / Tên dự án</t>
  </si>
  <si>
    <t xml:space="preserve">[Enter project name]</t>
  </si>
  <si>
    <t xml:space="preserve">Location / Địa điểm</t>
  </si>
  <si>
    <t xml:space="preserve">[Enter address]</t>
  </si>
  <si>
    <t xml:space="preserve">Concept / Mô hình</t>
  </si>
  <si>
    <t xml:space="preserve">[e.g. Casual Dining / Fine Dining / Fast Casual]</t>
  </si>
  <si>
    <t xml:space="preserve">Model Owner / Người lập</t>
  </si>
  <si>
    <t xml:space="preserve">[Name]</t>
  </si>
  <si>
    <t xml:space="preserve">Version / Phiên bản</t>
  </si>
  <si>
    <t xml:space="preserve">v1.0</t>
  </si>
  <si>
    <t xml:space="preserve">Date / Ngày</t>
  </si>
  <si>
    <t xml:space="preserve">[Date]</t>
  </si>
  <si>
    <t xml:space="preserve">Base Currency / Tiền tệ</t>
  </si>
  <si>
    <t xml:space="preserve">VNĐ</t>
  </si>
  <si>
    <t xml:space="preserve">Forecast Period</t>
  </si>
  <si>
    <t xml:space="preserve">36 months / 3 years</t>
  </si>
  <si>
    <t xml:space="preserve">SHEET INDEX / DANH MỤC TRANG TÍNH</t>
  </si>
  <si>
    <t xml:space="preserve">PURPOSE / MỤC ĐÍCH</t>
  </si>
  <si>
    <t xml:space="preserve">📋 Cover</t>
  </si>
  <si>
    <t xml:space="preserve">Project info, instructions, color legend</t>
  </si>
  <si>
    <t xml:space="preserve">⚙️ Assumptions</t>
  </si>
  <si>
    <t xml:space="preserve">All input drivers – edit ONLY here / Tất cả giả định đầu vào</t>
  </si>
  <si>
    <t xml:space="preserve">💰 Revenue</t>
  </si>
  <si>
    <t xml:space="preserve">Driver-based revenue forecast / Dự báo doanh thu</t>
  </si>
  <si>
    <t xml:space="preserve">📦 COGS &amp; OpEx</t>
  </si>
  <si>
    <t xml:space="preserve">Cost of goods + operating cost drivers / Chi phí biến đổi &amp; cố định</t>
  </si>
  <si>
    <t xml:space="preserve">👥 HR Plan</t>
  </si>
  <si>
    <t xml:space="preserve">Headcount plan &amp; payroll budget / Kế hoạch nhân sự &amp; lương</t>
  </si>
  <si>
    <t xml:space="preserve">🏦 Loan Schedule</t>
  </si>
  <si>
    <t xml:space="preserve">Debt drawdown &amp; amortisation / Lịch vay &amp; trả nợ</t>
  </si>
  <si>
    <t xml:space="preserve">📊 P&amp;L Detail</t>
  </si>
  <si>
    <t xml:space="preserve">Monthly detailed P&amp;L / Báo cáo KQHĐKD chi tiết</t>
  </si>
  <si>
    <t xml:space="preserve">💵 Cash Flow</t>
  </si>
  <si>
    <t xml:space="preserve">Full 3-statement cash flow / Dòng tiền đầy đủ</t>
  </si>
  <si>
    <t xml:space="preserve">🔄 Rolling Forecast</t>
  </si>
  <si>
    <t xml:space="preserve">12-month rolling forecast vs actuals / Dự báo cuốn chiếu</t>
  </si>
  <si>
    <t xml:space="preserve">🎯 Scenario Manager</t>
  </si>
  <si>
    <t xml:space="preserve">Bear / Base / Bull scenarios / Các kịch bản</t>
  </si>
  <si>
    <t xml:space="preserve">COLOR LEGEND / CHÚ THÍCH MÀU SẮC</t>
  </si>
  <si>
    <t xml:space="preserve">  Blue text on yellow  →  Hardcoded INPUT – change these / Ô nhập liệu</t>
  </si>
  <si>
    <t xml:space="preserve">  Green text  →  Formula pulling from another sheet / Liên kết sheet khác</t>
  </si>
  <si>
    <t xml:space="preserve">  Black text  →  Formula / calculated cell / Công thức tính toán</t>
  </si>
  <si>
    <t xml:space="preserve">  Red text  →  External link / Liên kết file ngoài</t>
  </si>
  <si>
    <t xml:space="preserve">  Green background  →  Subtotal / sub-total row / Dòng tổng phụ</t>
  </si>
  <si>
    <t xml:space="preserve">  Light green background  →  Alternating row / Hàng xen kẽ</t>
  </si>
  <si>
    <t xml:space="preserve">⚠️  IMPORTANT / LƯU Ý: Only edit cells with BLUE text on YELLOW background in the Assumptions sheet. All other sheets are formula-driven and update automatically. / Chỉ chỉnh sửa các ô có chữ xanh dương nền vàng trong trang Assumptions. Tất cả trang còn lại được tính tự động.</t>
  </si>
  <si>
    <t xml:space="preserve">DRIVER / THÔNG SỐ</t>
  </si>
  <si>
    <t xml:space="preserve">VALUE / GIÁ TRỊ</t>
  </si>
  <si>
    <t xml:space="preserve">UNIT / ĐƠN VỊ</t>
  </si>
  <si>
    <t xml:space="preserve">YoY / TREND</t>
  </si>
  <si>
    <t xml:space="preserve">NOTES / GHI CHÚ</t>
  </si>
  <si>
    <t xml:space="preserve">A. VENUE &amp; CAPACITY / MẶT BẰNG &amp; CÔNG SUẤT</t>
  </si>
  <si>
    <t xml:space="preserve">Floor area / Diện tích sàn (m²)</t>
  </si>
  <si>
    <t xml:space="preserve">m²</t>
  </si>
  <si>
    <t xml:space="preserve">Total leased area</t>
  </si>
  <si>
    <t xml:space="preserve">Seating capacity / Số chỗ ngồi</t>
  </si>
  <si>
    <t xml:space="preserve">seats/chỗ</t>
  </si>
  <si>
    <t xml:space="preserve">Indoor + terrace</t>
  </si>
  <si>
    <t xml:space="preserve">Operating days/month / Ngày hoạt động TB</t>
  </si>
  <si>
    <t xml:space="preserve">days/ngày</t>
  </si>
  <si>
    <t xml:space="preserve">—</t>
  </si>
  <si>
    <t xml:space="preserve">Floors / Tầng</t>
  </si>
  <si>
    <t xml:space="preserve">Floor number in building</t>
  </si>
  <si>
    <t xml:space="preserve">Opening month / Tháng khai trương</t>
  </si>
  <si>
    <t xml:space="preserve">M01</t>
  </si>
  <si>
    <t xml:space="preserve">Enter M01–M36</t>
  </si>
  <si>
    <t xml:space="preserve">B. REVENUE DRIVERS / THÔNG SỐ DOANH THU</t>
  </si>
  <si>
    <t xml:space="preserve">Avg spend per cover – Yr1 / Giá xuất Năm 1</t>
  </si>
  <si>
    <t xml:space="preserve">Average revenue per diner</t>
  </si>
  <si>
    <t xml:space="preserve">Price increase YoY / Tăng giá mỗi năm</t>
  </si>
  <si>
    <t xml:space="preserve">%/year</t>
  </si>
  <si>
    <t xml:space="preserve">YoY</t>
  </si>
  <si>
    <t xml:space="preserve">Applied annually from Year 2</t>
  </si>
  <si>
    <t xml:space="preserve">Table turns (normal) / Vòng quay bàn TB</t>
  </si>
  <si>
    <t xml:space="preserve">turns/day</t>
  </si>
  <si>
    <t xml:space="preserve">e.g. 2.5</t>
  </si>
  <si>
    <t xml:space="preserve">Table turns (peak season) / Vòng quay cao điểm</t>
  </si>
  <si>
    <t xml:space="preserve">Tet, Christmas</t>
  </si>
  <si>
    <t xml:space="preserve">Target covers/day – Steady State / Lượng khách SS</t>
  </si>
  <si>
    <t xml:space="preserve">covers/khách</t>
  </si>
  <si>
    <t xml:space="preserve">Reference market analysis</t>
  </si>
  <si>
    <t xml:space="preserve">Ramp M01 / Tháng 1 (% SS)</t>
  </si>
  <si>
    <t xml:space="preserve">Ramp</t>
  </si>
  <si>
    <t xml:space="preserve">Opening month</t>
  </si>
  <si>
    <t xml:space="preserve">Ramp M02 (% SS)</t>
  </si>
  <si>
    <t xml:space="preserve">Ramp M03 (% SS)</t>
  </si>
  <si>
    <t xml:space="preserve">Ramp M04 (% SS)</t>
  </si>
  <si>
    <t xml:space="preserve">Ramp M05 (% SS)</t>
  </si>
  <si>
    <t xml:space="preserve">Ramp M06 (% SS)</t>
  </si>
  <si>
    <t xml:space="preserve">Steady state from / Đạt tốc độ bình thường từ</t>
  </si>
  <si>
    <t xml:space="preserve">M07</t>
  </si>
  <si>
    <t xml:space="preserve">Enter month code e.g. M07</t>
  </si>
  <si>
    <t xml:space="preserve">Seasonal peak multiplier / Hệ số mùa cao điểm</t>
  </si>
  <si>
    <t xml:space="preserve">x</t>
  </si>
  <si>
    <t xml:space="preserve">Applied to Tet/Christmas months</t>
  </si>
  <si>
    <t xml:space="preserve">Seasonal trough multiplier / Hệ số mùa thấp điểm</t>
  </si>
  <si>
    <t xml:space="preserve">Applied to slow months (e.g. post-Tet)</t>
  </si>
  <si>
    <t xml:space="preserve">C. FOOD &amp; BEVERAGE COST / CHI PHÍ THỰC PHẨM &amp; ĐỒ UỐNG</t>
  </si>
  <si>
    <t xml:space="preserve">Food cost % revenue – Yr1 / Định mức TP Năm 1</t>
  </si>
  <si>
    <t xml:space="preserve">% rev</t>
  </si>
  <si>
    <t xml:space="preserve">Typically 28–35% for F&amp;B</t>
  </si>
  <si>
    <t xml:space="preserve">Beverage cost % revenue – Yr1 / Định mức đồ uống</t>
  </si>
  <si>
    <t xml:space="preserve">Typically 18–25% for beverages</t>
  </si>
  <si>
    <t xml:space="preserve">Input price inflation YoY / Tăng giá nguyên liệu</t>
  </si>
  <si>
    <t xml:space="preserve">Apply to COGS % from Year 2</t>
  </si>
  <si>
    <t xml:space="preserve">Food revenue mix / Tỷ lệ doanh thu thức ăn</t>
  </si>
  <si>
    <t xml:space="preserve">% total rev</t>
  </si>
  <si>
    <t xml:space="preserve">Remaining = beverage</t>
  </si>
  <si>
    <t xml:space="preserve">D. FIXED OPERATING COSTS / CHI PHÍ CỐ ĐỊNH VẬN HÀNH</t>
  </si>
  <si>
    <t xml:space="preserve">Base rent / Thuê mặt bằng (VNĐ/m²/month)</t>
  </si>
  <si>
    <t xml:space="preserve">VNĐ/m²/tháng</t>
  </si>
  <si>
    <t xml:space="preserve">Monthly rent per m²</t>
  </si>
  <si>
    <t xml:space="preserve">FX rate / Tỷ giá (VNĐ/USD)</t>
  </si>
  <si>
    <t xml:space="preserve">VNĐ/USD</t>
  </si>
  <si>
    <t xml:space="preserve">Update if rent quoted in USD</t>
  </si>
  <si>
    <t xml:space="preserve">Utilities / Điện nước (VNĐ/month)</t>
  </si>
  <si>
    <t xml:space="preserve">VNĐ/tháng</t>
  </si>
  <si>
    <t xml:space="preserve">Electricity, water, gas</t>
  </si>
  <si>
    <t xml:space="preserve">Repairs &amp; maintenance / Sửa chữa bảo trì</t>
  </si>
  <si>
    <t xml:space="preserve">Insurance / Bảo hiểm tài sản</t>
  </si>
  <si>
    <t xml:space="preserve">Fixed cost growth YoY / Tăng CP cố định</t>
  </si>
  <si>
    <t xml:space="preserve">Applied from Year 2</t>
  </si>
  <si>
    <t xml:space="preserve">E. MARKETING &amp; PROMOTIONS / MARKETING &amp; KHUYẾN MẠI</t>
  </si>
  <si>
    <t xml:space="preserve">Monthly marketing budget / Ngân sách marketing/tháng</t>
  </si>
  <si>
    <t xml:space="preserve">Grand opening budget / Ngân sách khai trương</t>
  </si>
  <si>
    <t xml:space="preserve">One-off</t>
  </si>
  <si>
    <t xml:space="preserve">Loyalty discount % / Giảm giá thành viên thân thiết</t>
  </si>
  <si>
    <t xml:space="preserve">% discount on qualifying visits</t>
  </si>
  <si>
    <t xml:space="preserve">Loyalty member % of covers / % KH thành viên</t>
  </si>
  <si>
    <t xml:space="preserve">% covers</t>
  </si>
  <si>
    <t xml:space="preserve">% of covers receiving loyalty discount</t>
  </si>
  <si>
    <t xml:space="preserve">Promo campaign discount % / Giảm giá khuyến mại</t>
  </si>
  <si>
    <t xml:space="preserve">Average discount for promotions</t>
  </si>
  <si>
    <t xml:space="preserve">Marketing growth YoY / Tăng ngân sách marketing</t>
  </si>
  <si>
    <t xml:space="preserve">F. OVERHEAD RATIOS / TỶ LỆ CHI PHÍ CHUNG</t>
  </si>
  <si>
    <t xml:space="preserve">Contingency / Dự phòng phí (% opex)</t>
  </si>
  <si>
    <t xml:space="preserve">Buffer on total operating cost</t>
  </si>
  <si>
    <t xml:space="preserve">Management fee / Phí quản lý (% opex)</t>
  </si>
  <si>
    <t xml:space="preserve">HQ / owner management charge</t>
  </si>
  <si>
    <t xml:space="preserve">Other overhead / Chi phí khác (VNĐ/month)</t>
  </si>
  <si>
    <t xml:space="preserve">G. CAPITAL EXPENDITURE / CHI PHÍ ĐẦU TƯ</t>
  </si>
  <si>
    <t xml:space="preserve">Total capex / Tổng đầu tư</t>
  </si>
  <si>
    <t xml:space="preserve">From Investment Detail sheet</t>
  </si>
  <si>
    <t xml:space="preserve">Depreciation period / Thời gian khấu hao</t>
  </si>
  <si>
    <t xml:space="preserve">months/tháng</t>
  </si>
  <si>
    <t xml:space="preserve">Straight-line over 36 months</t>
  </si>
  <si>
    <t xml:space="preserve">Deposit paid / Đặt cọc mặt bằng</t>
  </si>
  <si>
    <t xml:space="preserve">Refundable at end of lease</t>
  </si>
  <si>
    <t xml:space="preserve">Working capital / Vốn lưu động</t>
  </si>
  <si>
    <t xml:space="preserve">Initial float; recovered at close</t>
  </si>
  <si>
    <t xml:space="preserve">Liquidation value / Giá trị thanh lý</t>
  </si>
  <si>
    <t xml:space="preserve">Estimated FF&amp;E salvage value</t>
  </si>
  <si>
    <t xml:space="preserve">H. FINANCING / TÀI CHÍNH</t>
  </si>
  <si>
    <t xml:space="preserve">Equity contribution / Vốn chủ sở hữu</t>
  </si>
  <si>
    <t xml:space="preserve">Loan amount / Vốn vay</t>
  </si>
  <si>
    <t xml:space="preserve">→ Also enter in Loan Schedule sheet</t>
  </si>
  <si>
    <t xml:space="preserve">Interest rate / Lãi suất vay</t>
  </si>
  <si>
    <t xml:space="preserve">Annual interest rate</t>
  </si>
  <si>
    <t xml:space="preserve">Loan term / Thời hạn vay</t>
  </si>
  <si>
    <t xml:space="preserve">months</t>
  </si>
  <si>
    <t xml:space="preserve">Enter 12, 24, 36 or 60</t>
  </si>
  <si>
    <t xml:space="preserve">Grace period / Ân hạn</t>
  </si>
  <si>
    <t xml:space="preserve">Interest-only months at start</t>
  </si>
  <si>
    <t xml:space="preserve">I. TAX / THUẾ</t>
  </si>
  <si>
    <t xml:space="preserve">Corporate income tax (CIT) / Thuế TNDN</t>
  </si>
  <si>
    <t xml:space="preserve">20% standard Vietnam CIT rate</t>
  </si>
  <si>
    <t xml:space="preserve">Tax holiday years / Miễn thuế số năm</t>
  </si>
  <si>
    <t xml:space="preserve">years/năm</t>
  </si>
  <si>
    <t xml:space="preserve">0 if not applicable</t>
  </si>
  <si>
    <t xml:space="preserve">Tax reduction years / Giảm thuế số năm</t>
  </si>
  <si>
    <t xml:space="preserve">Years with 50% CIT reduction after holiday</t>
  </si>
  <si>
    <t xml:space="preserve">VAT rate / Thuế VAT</t>
  </si>
  <si>
    <t xml:space="preserve">8% F&amp;B Vietnam 2024</t>
  </si>
  <si>
    <t xml:space="preserve">J. KPIs &amp; BENCHMARKS / CHỈ TIÊU</t>
  </si>
  <si>
    <t xml:space="preserve">Target Food Cost % / Mục tiêu % chi phí TP</t>
  </si>
  <si>
    <t xml:space="preserve">Target Gross Margin / Mục tiêu lợi nhuận gộp</t>
  </si>
  <si>
    <t xml:space="preserve">Target EBITDA Margin</t>
  </si>
  <si>
    <t xml:space="preserve">Target Payback / Mục tiêu hoàn vốn</t>
  </si>
  <si>
    <t xml:space="preserve">Months to recover capex</t>
  </si>
  <si>
    <t xml:space="preserve">→ Fill in all yellow cells above. The model will auto-populate all other sheets. / Điền vào tất cả ô nền vàng. Các trang khác sẽ tự động cập nhật.</t>
  </si>
  <si>
    <t xml:space="preserve">REVENUE FORECAST / DỰ BÁO DOANH THU</t>
  </si>
  <si>
    <t xml:space="preserve">LINE ITEM / CHỈ TIÊU</t>
  </si>
  <si>
    <t xml:space="preserve">3-YEAR TOTAL / TỔNG 3 NĂM</t>
  </si>
  <si>
    <t xml:space="preserve">A. REVENUE DRIVERS / THÔNG SỐ DOANH THU</t>
  </si>
  <si>
    <t xml:space="preserve">Covers/day exclude seasonal index / Khách/ngày</t>
  </si>
  <si>
    <t xml:space="preserve">Operating days / Ngày hoạt động</t>
  </si>
  <si>
    <t xml:space="preserve">Seasonal index / Hệ số mùa vụ</t>
  </si>
  <si>
    <t xml:space="preserve">Avg spend/cover / Giá 1 xuất (VNĐ)</t>
  </si>
  <si>
    <t xml:space="preserve">Food revenue mix / Tỷ lệ DT thức ăn</t>
  </si>
  <si>
    <t xml:space="preserve">B. REVENUE CALCULATION / TÍNH DOANH THU</t>
  </si>
  <si>
    <t xml:space="preserve">Total covers / Tổng số suất ăn</t>
  </si>
  <si>
    <t xml:space="preserve">Gross Revenue / Doanh thu gộp (VNĐ)</t>
  </si>
  <si>
    <t xml:space="preserve">    Food revenue / DT thức ăn (VNĐ)</t>
  </si>
  <si>
    <t xml:space="preserve">    Beverage revenue / DT đồ uống (VNĐ)</t>
  </si>
  <si>
    <t xml:space="preserve">(-) Loyalty discount / Giảm giá thành viên (VNĐ)</t>
  </si>
  <si>
    <t xml:space="preserve">(-) Promotion cost / Chi phí khuyến mại (VNĐ)</t>
  </si>
  <si>
    <t xml:space="preserve">NET REVENUE / DOANH THU THUẦN (VNĐ)</t>
  </si>
  <si>
    <t xml:space="preserve">C. ANNUAL SUMMARY / TÓM TẮT NĂM</t>
  </si>
  <si>
    <t xml:space="preserve">Year 1 Net Revenue / DT Thuần Năm 1 (VNĐ)</t>
  </si>
  <si>
    <t xml:space="preserve">Year 2 Net Revenue / DT Thuần Năm 2 (VNĐ)</t>
  </si>
  <si>
    <t xml:space="preserve">Year 3 Net Revenue / DT Thuần Năm 3 (VNĐ)</t>
  </si>
  <si>
    <t xml:space="preserve">Year 4 Net Revenue / DT Thuần Năm 4 (VNĐ)</t>
  </si>
  <si>
    <t xml:space="preserve">Year 5 Net Revenue / DT Thuần Năm 5 (VNĐ)</t>
  </si>
  <si>
    <t xml:space="preserve">D. PROJECT CLOSE-OUT / THU HỒI CUỐI DỰ ÁN</t>
  </si>
  <si>
    <t xml:space="preserve">Working capital recovery + Deposit + Liquidation (VNĐ)</t>
  </si>
  <si>
    <t xml:space="preserve">TOTAL REVENUE incl. close-out / TỔNG DT (VNĐ)</t>
  </si>
  <si>
    <t xml:space="preserve">COGS &amp; OPERATING COST FORECAST / CHI PHÍ HOẠT ĐỘNG</t>
  </si>
  <si>
    <t xml:space="preserve">TOTAL / TỔNG</t>
  </si>
  <si>
    <t xml:space="preserve">YEAR 1 / NĂM 1</t>
  </si>
  <si>
    <t xml:space="preserve">YEAR 2 / NĂM 2</t>
  </si>
  <si>
    <t xml:space="preserve">YEAR 3 / NĂM 3</t>
  </si>
  <si>
    <t xml:space="preserve">5-YEAR TOTAL / TỔNG 5 NĂM</t>
  </si>
  <si>
    <t xml:space="preserve">A. COST OF GOODS SOLD / GIÁ VỐN HÀNG BÁN</t>
  </si>
  <si>
    <t xml:space="preserve">Raw Material % per Rev /Tỷ lệ NVL trên doanh thu</t>
  </si>
  <si>
    <t xml:space="preserve">    Raw Material  / Giá vốn</t>
  </si>
  <si>
    <t xml:space="preserve">TOTAL COGS / TỔNG GIÁ VỐN (VNĐ)</t>
  </si>
  <si>
    <t xml:space="preserve">B. FIXED OPERATING COSTS / CHI PHÍ CỐ ĐỊNH</t>
  </si>
  <si>
    <t xml:space="preserve">Rent / Thuê mặt bằng (VNĐ)</t>
  </si>
  <si>
    <t xml:space="preserve">Utilities / Điện nước (VNĐ):</t>
  </si>
  <si>
    <t xml:space="preserve"> - Tiền điện</t>
  </si>
  <si>
    <t xml:space="preserve">Tiền điện/ doanh thu</t>
  </si>
  <si>
    <t xml:space="preserve"> - Tiền nước</t>
  </si>
  <si>
    <t xml:space="preserve">Tiền nước/ doanh thu</t>
  </si>
  <si>
    <t xml:space="preserve">Maintainace / Sửa chữa (VNĐ)</t>
  </si>
  <si>
    <t xml:space="preserve">Maintainance/doanh thu</t>
  </si>
  <si>
    <t xml:space="preserve">Payroll / Lương (VNĐ) — from HR Plan</t>
  </si>
  <si>
    <t xml:space="preserve">Marketing / Quảng cáo (VNĐ)</t>
  </si>
  <si>
    <t xml:space="preserve">Other fixed / Chi phí cố định khác (VNĐ)</t>
  </si>
  <si>
    <t xml:space="preserve">TOTAL FIXED COSTS / TỔNG CP CỐ ĐỊNH (VNĐ)</t>
  </si>
  <si>
    <t xml:space="preserve">C. VARIABLE OVERHEAD / CHI PHÍ BIẾN ĐỔI CHUNG</t>
  </si>
  <si>
    <t xml:space="preserve">Loyalty program cost / CP chương trình thành viên (VNĐ)</t>
  </si>
  <si>
    <t xml:space="preserve">Promotions / Khuyến mãi (VNĐ)</t>
  </si>
  <si>
    <t xml:space="preserve">Opex sub-total (before contingency)</t>
  </si>
  <si>
    <t xml:space="preserve">    Contingency 2% / Dự phòng phí (VNĐ)</t>
  </si>
  <si>
    <t xml:space="preserve">    Management fee 3% / Phí quản lý (VNĐ)</t>
  </si>
  <si>
    <t xml:space="preserve">TOTAL VARIABLE OVERHEAD / TỔNG CP BIẾN ĐỔI (VNĐ)</t>
  </si>
  <si>
    <t xml:space="preserve">D. CAPEX &amp; DEPRECIATION / ĐẦU TƯ &amp; KHẤU HAO</t>
  </si>
  <si>
    <t xml:space="preserve">Capital expenditure / Chi phí đầu tư (VNĐ)</t>
  </si>
  <si>
    <t xml:space="preserve">Monthly depreciation / Khấu hao hàng tháng (VNĐ)</t>
  </si>
  <si>
    <t xml:space="preserve">E. TOTAL COST SUMMARY / TỔNG CHI PHÍ</t>
  </si>
  <si>
    <t xml:space="preserve">TOTAL OPEX (excl. Capex) / TỔNG CP VH (VNĐ)</t>
  </si>
  <si>
    <t xml:space="preserve">TOTAL COST incl. Capex / TỔNG CHI PHÍ (VNĐ)</t>
  </si>
  <si>
    <t xml:space="preserve">Total opex % revenue / Tổng CP % DT</t>
  </si>
  <si>
    <t xml:space="preserve">HR PLAN &amp; PAYROLL BUDGET / KẾ HOẠCH NHÂN SỰ &amp; LƯƠNG</t>
  </si>
  <si>
    <t xml:space="preserve">POSITION / CHỨC VỤ</t>
  </si>
  <si>
    <t xml:space="preserve">Qty/ Số lượng </t>
  </si>
  <si>
    <t xml:space="preserve">SALARY Incl Insurance (Lương đã bao gồm bảo hiểm)</t>
  </si>
  <si>
    <t xml:space="preserve">Hourly Rate (Lương trên giờ)</t>
  </si>
  <si>
    <t xml:space="preserve">SHIFTS
SỐ CA</t>
  </si>
  <si>
    <t xml:space="preserve">  General Manager / Quản lý nhà hàng</t>
  </si>
  <si>
    <t xml:space="preserve">  Waiter/Waitress / Phục vụ bàn</t>
  </si>
  <si>
    <t xml:space="preserve">2 shifts per day</t>
  </si>
  <si>
    <t xml:space="preserve">  Security / Bảo vệ (outsouce)</t>
  </si>
  <si>
    <t xml:space="preserve">  Accountant / Kế toán (Outsource)</t>
  </si>
  <si>
    <t xml:space="preserve">TOTAL HEADCOUNT / TỔNG NHÂN VIÊN</t>
  </si>
  <si>
    <t xml:space="preserve">General Manager/ Main Cook</t>
  </si>
  <si>
    <t xml:space="preserve"> # of Waiter/Waitress / Phục vụ bàn</t>
  </si>
  <si>
    <t xml:space="preserve">Number of covers</t>
  </si>
  <si>
    <t xml:space="preserve">Waiter/Waitress / Phục vụ bàn Salary</t>
  </si>
  <si>
    <t xml:space="preserve">Security / Bảo vệ</t>
  </si>
  <si>
    <t xml:space="preserve">Accountant / Kế toán (Outsource)</t>
  </si>
  <si>
    <t xml:space="preserve">Total (Tổng cộng)</t>
  </si>
  <si>
    <t xml:space="preserve">DETAILED PROFIT &amp; LOSS / BÁO CÁO KQHĐKD CHI TIẾT</t>
  </si>
  <si>
    <t xml:space="preserve">M02</t>
  </si>
  <si>
    <t xml:space="preserve">M03</t>
  </si>
  <si>
    <t xml:space="preserve">M04</t>
  </si>
  <si>
    <t xml:space="preserve">M05</t>
  </si>
  <si>
    <t xml:space="preserve">M06</t>
  </si>
  <si>
    <t xml:space="preserve">M08</t>
  </si>
  <si>
    <t xml:space="preserve">M09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</si>
  <si>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</si>
  <si>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</si>
  <si>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</si>
  <si>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</si>
  <si>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</si>
  <si>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</si>
  <si>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</si>
  <si>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</si>
  <si>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</si>
  <si>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</si>
  <si>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</si>
  <si>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</si>
  <si>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</si>
  <si>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</si>
  <si>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</si>
  <si>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M25</t>
  </si>
  <si>
    <t xml:space="preserve">M26</t>
  </si>
  <si>
    <t xml:space="preserve">M27</t>
  </si>
  <si>
    <t xml:space="preserve">M28</t>
  </si>
  <si>
    <t xml:space="preserve">M29</t>
  </si>
  <si>
    <t xml:space="preserve">M30</t>
  </si>
  <si>
    <t xml:space="preserve">M31</t>
  </si>
  <si>
    <t xml:space="preserve">M32</t>
  </si>
  <si>
    <t xml:space="preserve">M33</t>
  </si>
  <si>
    <t xml:space="preserve">M34</t>
  </si>
  <si>
    <t xml:space="preserve">M35</t>
  </si>
  <si>
    <t xml:space="preserve">M36</t>
  </si>
  <si>
    <t xml:space="preserve">M37</t>
  </si>
  <si>
    <t xml:space="preserve">M38</t>
  </si>
  <si>
    <t xml:space="preserve">M39</t>
  </si>
  <si>
    <t xml:space="preserve">M40</t>
  </si>
  <si>
    <t xml:space="preserve">M41</t>
  </si>
  <si>
    <t xml:space="preserve">M42</t>
  </si>
  <si>
    <t xml:space="preserve">M43</t>
  </si>
  <si>
    <t xml:space="preserve">M44</t>
  </si>
  <si>
    <t xml:space="preserve">M45</t>
  </si>
  <si>
    <t xml:space="preserve">M46</t>
  </si>
  <si>
    <t xml:space="preserve">M47</t>
  </si>
  <si>
    <t xml:space="preserve">M48</t>
  </si>
  <si>
    <t xml:space="preserve">M49</t>
  </si>
  <si>
    <t xml:space="preserve">M50</t>
  </si>
  <si>
    <t xml:space="preserve">M51</t>
  </si>
  <si>
    <t xml:space="preserve">M52</t>
  </si>
  <si>
    <t xml:space="preserve">M53</t>
  </si>
  <si>
    <t xml:space="preserve">M54</t>
  </si>
  <si>
    <t xml:space="preserve">M55</t>
  </si>
  <si>
    <t xml:space="preserve">M56</t>
  </si>
  <si>
    <t xml:space="preserve">M57</t>
  </si>
  <si>
    <t xml:space="preserve">M58</t>
  </si>
  <si>
    <t xml:space="preserve">M59</t>
  </si>
  <si>
    <t xml:space="preserve">M60</t>
  </si>
  <si>
    <t xml:space="preserve">── REVENUE / DOANH THU ──</t>
  </si>
  <si>
    <t xml:space="preserve">  (-) Loyalty &amp; promo / Giảm giá (VNĐ)</t>
  </si>
  <si>
    <t xml:space="preserve">Net Revenue / Doanh thu thuần (VNĐ)</t>
  </si>
  <si>
    <t xml:space="preserve">── COST OF GOODS SOLD / GIÁ VỐN ──</t>
  </si>
  <si>
    <t xml:space="preserve">    Raw Material / CP thực phẩm (VNĐ)</t>
  </si>
  <si>
    <t xml:space="preserve">GROSS PROFIT / LỢI NHUẬN GỘP (VNĐ)</t>
  </si>
  <si>
    <t xml:space="preserve">    Gross Margin %</t>
  </si>
  <si>
    <t xml:space="preserve">── OPERATING EXPENSES / CHI PHÍ VẬN HÀNH ──</t>
  </si>
  <si>
    <t xml:space="preserve">    Rent / Thuê mặt bằng (VNĐ)</t>
  </si>
  <si>
    <t xml:space="preserve">    Payroll / Lương (VNĐ)</t>
  </si>
  <si>
    <t xml:space="preserve">    Utilities / Điện nước (VNĐ)</t>
  </si>
  <si>
    <t xml:space="preserve">    Repairs / Sửa chữa (VNĐ)</t>
  </si>
  <si>
    <t xml:space="preserve">    Marketing (VNĐ)</t>
  </si>
  <si>
    <t xml:space="preserve">    Loyalty &amp; promo cost / CP khuyến mại (VNĐ)</t>
  </si>
  <si>
    <t xml:space="preserve">    Contingency / Dự phòng (VNĐ)</t>
  </si>
  <si>
    <t xml:space="preserve">    Management fee / Phí quản lý (VNĐ)</t>
  </si>
  <si>
    <t xml:space="preserve">    Depreciation / Khấu hao (VNĐ)</t>
  </si>
  <si>
    <t xml:space="preserve">    Interest expense / Chi phí lãi vay (VNĐ)</t>
  </si>
  <si>
    <t xml:space="preserve">TOTAL OPEX / TỔNG CP VẬN HÀNH (VNĐ)</t>
  </si>
  <si>
    <t xml:space="preserve">EBITDA (VNĐ)</t>
  </si>
  <si>
    <t xml:space="preserve">    EBITDA Margin %</t>
  </si>
  <si>
    <t xml:space="preserve">EBIT (VNĐ)</t>
  </si>
  <si>
    <t xml:space="preserve">    EBIT Margin %</t>
  </si>
  <si>
    <t xml:space="preserve">── TAX &amp; NET INCOME / THUẾ &amp; LỢI NHUẬN SAU THUẾ ──</t>
  </si>
  <si>
    <t xml:space="preserve">(-) Income Tax / Thuế TNDN (VNĐ)</t>
  </si>
  <si>
    <t xml:space="preserve">NET PROFIT AFTER TAX / LNST (VNĐ)</t>
  </si>
  <si>
    <t xml:space="preserve">    Net Margin %</t>
  </si>
  <si>
    <t xml:space="preserve">── ANNUAL SUMMARY / TÓM TẮT THEO NĂM ──</t>
  </si>
  <si>
    <t xml:space="preserve">Year 1 – Revenue / DT</t>
  </si>
  <si>
    <t xml:space="preserve">Year 1 – Gross Profit / LN Gộp</t>
  </si>
  <si>
    <t xml:space="preserve">Year 1 – EBITDA</t>
  </si>
  <si>
    <t xml:space="preserve">Year 1 – EBIT</t>
  </si>
  <si>
    <t xml:space="preserve">Year 1 – NPAT / LNST</t>
  </si>
  <si>
    <t xml:space="preserve">Year 2 – Revenue / DT</t>
  </si>
  <si>
    <t xml:space="preserve">Year 2 – Gross Profit / LN Gộp</t>
  </si>
  <si>
    <t xml:space="preserve">Year 2 – EBITDA</t>
  </si>
  <si>
    <t xml:space="preserve">Year 2 – EBIT</t>
  </si>
  <si>
    <t xml:space="preserve">Year 2 – NPAT / LNST</t>
  </si>
  <si>
    <t xml:space="preserve">Year 3 – Revenue / DT</t>
  </si>
  <si>
    <t xml:space="preserve">Year 3 – Gross Profit / LN Gộp</t>
  </si>
  <si>
    <t xml:space="preserve">Year 3 – EBITDA</t>
  </si>
  <si>
    <t xml:space="preserve">Year 3 – EBIT</t>
  </si>
  <si>
    <t xml:space="preserve">Year 3 – NPAT / LNST</t>
  </si>
  <si>
    <t xml:space="preserve">CASH FLOW STATEMENT / BÁO CÁO DÒNG TIỀN</t>
  </si>
  <si>
    <t xml:space="preserve">── A. OPERATING ACTIVITIES / HOẠT ĐỘNG KINH DOANH ──</t>
  </si>
  <si>
    <t xml:space="preserve">Net Profit After Tax / LNST (VNĐ)</t>
  </si>
  <si>
    <t xml:space="preserve">  (+) Add-back: Depreciation / Cộng lại Khấu hao (VNĐ)</t>
  </si>
  <si>
    <t xml:space="preserve">  (+) Add-back: Interest (net) / Cộng lại lãi vay (VNĐ)</t>
  </si>
  <si>
    <t xml:space="preserve">Changes in working capital / Thay đổi vốn lưu động (VNĐ)</t>
  </si>
  <si>
    <t xml:space="preserve">OPERATING CASH FLOW / DÒNG TIỀN HOẠT ĐỘNG (VNĐ)</t>
  </si>
  <si>
    <t xml:space="preserve">── B. INVESTING ACTIVITIES / HOẠT ĐỘNG ĐẦU TƯ ──</t>
  </si>
  <si>
    <t xml:space="preserve">  (-) Capex / Chi đầu tư (VNĐ)</t>
  </si>
  <si>
    <t xml:space="preserve">  (+) Asset disposal / Thu hồi cuối dự án (VNĐ)</t>
  </si>
  <si>
    <t xml:space="preserve">INVESTING CASH FLOW / DÒNG TIỀN ĐẦU TƯ (VNĐ)</t>
  </si>
  <si>
    <t xml:space="preserve">── C. FINANCING ACTIVITIES / HOẠT ĐỘNG TÀI CHÍNH ──</t>
  </si>
  <si>
    <t xml:space="preserve">(+) Loan drawdown / Giải ngân vay (VNĐ)</t>
  </si>
  <si>
    <t xml:space="preserve">  (-) Loan repayment / Trả nợ gốc (VNĐ)</t>
  </si>
  <si>
    <t xml:space="preserve">  (-) Interest paid / Trả lãi vay (VNĐ)</t>
  </si>
  <si>
    <t xml:space="preserve">(+) Equity injection / Vốn chủ góp (VNĐ)</t>
  </si>
  <si>
    <t xml:space="preserve">FINANCING CASH FLOW / DÒNG TIỀN TÀI CHÍNH (VNĐ)</t>
  </si>
  <si>
    <t xml:space="preserve">── D. NET CASH POSITION / DÒNG TIỀN THUẦN ──</t>
  </si>
  <si>
    <t xml:space="preserve">NET CASH FLOW / DÒNG TIỀN THUẦN (VNĐ)</t>
  </si>
  <si>
    <t xml:space="preserve">Cumulative Cash Flow / Dòng tiền luỹ kế (VNĐ)</t>
  </si>
  <si>
    <t xml:space="preserve">── E. RETURNS SUMMARY / TÓM TẮT LỢI NHUẬN ĐẦU TƯ ──</t>
  </si>
  <si>
    <t xml:space="preserve">Total Capex invested / Tổng vốn bỏ ra (VNĐ)</t>
  </si>
  <si>
    <t xml:space="preserve">Total NPAT 5Y / Tổng LNST 5 năm (VNĐ)</t>
  </si>
  <si>
    <t xml:space="preserve">Total Net Cash Flow / Tổng dòng tiền thuần (VNĐ)</t>
  </si>
  <si>
    <t xml:space="preserve">ROI cumulative</t>
  </si>
  <si>
    <t xml:space="preserve">Annualized ROI</t>
  </si>
  <si>
    <t xml:space="preserve">Payback month / Tháng hoàn vốn</t>
  </si>
  <si>
    <t xml:space="preserve">Project IRR</t>
  </si>
  <si>
    <t xml:space="preserve">Break-even</t>
  </si>
  <si>
    <t xml:space="preserve">CASH POSITION</t>
  </si>
  <si>
    <t xml:space="preserve">M00</t>
  </si>
  <si>
    <t xml:space="preserve">Cash Opening</t>
  </si>
  <si>
    <t xml:space="preserve"> - From Operating (Thu từ bán hàng)</t>
  </si>
  <si>
    <t xml:space="preserve"> - Loan (Thu từ tiền vay)</t>
  </si>
  <si>
    <t xml:space="preserve">Total Inflow (Tiền thu)</t>
  </si>
  <si>
    <t xml:space="preserve">Chi mua CAPEX</t>
  </si>
  <si>
    <t xml:space="preserve">Operating outflows (Tiền chi vận hành)</t>
  </si>
  <si>
    <t xml:space="preserve">Interest Payment (Tiền lãi)</t>
  </si>
  <si>
    <t xml:space="preserve">Principal (Tiền gốc)</t>
  </si>
  <si>
    <t xml:space="preserve">Thuế </t>
  </si>
  <si>
    <t xml:space="preserve">Total Outflows</t>
  </si>
  <si>
    <t xml:space="preserve">Closing Balance</t>
  </si>
  <si>
    <t xml:space="preserve">ROLLING FORECAST – 12-MONTH WINDOW / DỰ BÁO CUỐN CHIẾU 12 THÁNG</t>
  </si>
  <si>
    <t xml:space="preserve">Enter current period in B3, then fill Actuals (yellow) as months close. Forecast (white) auto-links from P&amp;L Detail. Variance = Actual – Forecast. / Nhập kỳ hiện tại vào B3. Điền Thực tế (vàng) khi tháng kết thúc. Phần còn lại tự động từ P&amp;L.</t>
  </si>
  <si>
    <t xml:space="preserve">Current period (start) / Kỳ hiện tại (bắt đầu):</t>
  </si>
  <si>
    <t xml:space="preserve">← Enter M01 to M36 / Nhập từ M01 đến M36</t>
  </si>
  <si>
    <t xml:space="preserve">ANNUAL BUDGET
NGÂN SÁCH NĂM</t>
  </si>
  <si>
    <t xml:space="preserve">M+00</t>
  </si>
  <si>
    <t xml:space="preserve">M+01</t>
  </si>
  <si>
    <t xml:space="preserve">M+02</t>
  </si>
  <si>
    <t xml:space="preserve">M+03</t>
  </si>
  <si>
    <t xml:space="preserve">M+04</t>
  </si>
  <si>
    <t xml:space="preserve">M+05</t>
  </si>
  <si>
    <t xml:space="preserve">M+06</t>
  </si>
  <si>
    <t xml:space="preserve">M+07</t>
  </si>
  <si>
    <t xml:space="preserve">M+08</t>
  </si>
  <si>
    <t xml:space="preserve">M+09</t>
  </si>
  <si>
    <t xml:space="preserve">M+10</t>
  </si>
  <si>
    <t xml:space="preserve">M+11</t>
  </si>
  <si>
    <t xml:space="preserve">12M TOTAL
TỔNG 12T</t>
  </si>
  <si>
    <t xml:space="preserve">vs BUDGET
SO VỚI NS</t>
  </si>
  <si>
    <t xml:space="preserve">ACT / FCST</t>
  </si>
  <si>
    <t xml:space="preserve">Net Revenue / DT Thuần (VNĐ)</t>
  </si>
  <si>
    <t xml:space="preserve">  COGS (VNĐ)</t>
  </si>
  <si>
    <t xml:space="preserve">  Gross Profit / LN Gộp (VNĐ)</t>
  </si>
  <si>
    <t xml:space="preserve">  Gross Margin %</t>
  </si>
  <si>
    <t xml:space="preserve">  Total OpEx (VNĐ)</t>
  </si>
  <si>
    <t xml:space="preserve">  EBITDA (VNĐ)</t>
  </si>
  <si>
    <t xml:space="preserve">  EBITDA Margin %</t>
  </si>
  <si>
    <t xml:space="preserve">  EBIT (VNĐ)</t>
  </si>
  <si>
    <t xml:space="preserve">NPAT / LNST (VNĐ)</t>
  </si>
  <si>
    <t xml:space="preserve">  Net Margin %</t>
  </si>
  <si>
    <t xml:space="preserve">Operating Cash Flow (VNĐ)</t>
  </si>
  <si>
    <t xml:space="preserve">Net Cash Flow (VNĐ)</t>
  </si>
  <si>
    <t xml:space="preserve">Cumulative CF (VNĐ)</t>
  </si>
  <si>
    <t xml:space="preserve">Total Covers / Lượt phục vụ</t>
  </si>
  <si>
    <t xml:space="preserve">Avg spend/cover / Giá xuất</t>
  </si>
  <si>
    <t xml:space="preserve">📝 HOW TO USE / CÁCH SỬ DỤNG:  1) Update 'Current period' in B3 each month.  2) Fill yellow actuals cells as months close.  3) Variances calculate automatically.  4) To advance the window, copy this sheet and shift period by 1. / Cập nhật B3 mỗi tháng. Điền ô vàng khi tháng kết thúc. Biến động tính tự động.</t>
  </si>
  <si>
    <t xml:space="preserve">SCENARIO MANAGER / PHÂN TÍCH CÁC KỊCH BẢN</t>
  </si>
  <si>
    <t xml:space="preserve">Adjust yellow cells to define each scenario, then paste values into Assumptions. / Điều chỉnh ô vàng để xác định kịch bản, sau đó dán giá trị vào Assumptions.</t>
  </si>
  <si>
    <t xml:space="preserve">🐻 BEAR
(Pessimistic)</t>
  </si>
  <si>
    <t xml:space="preserve">📊 BASE
(Most Likely)</t>
  </si>
  <si>
    <t xml:space="preserve">🐂 BULL
(Optimistic)</t>
  </si>
  <si>
    <t xml:space="preserve">UNIT
ĐƠN VỊ</t>
  </si>
  <si>
    <t xml:space="preserve">IMPACT
TÁC ĐỘNG</t>
  </si>
  <si>
    <t xml:space="preserve">REVENUE DRIVERS / DT</t>
  </si>
  <si>
    <t xml:space="preserve">Avg spend / Giá 1 xuất (VNĐ)</t>
  </si>
  <si>
    <t xml:space="preserve">HIGH ⬆⬆</t>
  </si>
  <si>
    <t xml:space="preserve">Target covers/day / KH/ngày</t>
  </si>
  <si>
    <t xml:space="preserve">khách</t>
  </si>
  <si>
    <t xml:space="preserve">Price growth YoY / Tăng giá</t>
  </si>
  <si>
    <t xml:space="preserve">5%</t>
  </si>
  <si>
    <t xml:space="preserve">10%</t>
  </si>
  <si>
    <t xml:space="preserve">15%</t>
  </si>
  <si>
    <t xml:space="preserve">MED ⬆</t>
  </si>
  <si>
    <t xml:space="preserve">Seasonal peak mult. / Hệ số cao điểm</t>
  </si>
  <si>
    <t xml:space="preserve">1.10x</t>
  </si>
  <si>
    <t xml:space="preserve">1.20x</t>
  </si>
  <si>
    <t xml:space="preserve">1.35x</t>
  </si>
  <si>
    <t xml:space="preserve">LOW ⬆</t>
  </si>
  <si>
    <t xml:space="preserve">COST DRIVERS / CHI PHÍ</t>
  </si>
  <si>
    <t xml:space="preserve">Food cost % / % CP thực phẩm</t>
  </si>
  <si>
    <t xml:space="preserve">38%</t>
  </si>
  <si>
    <t xml:space="preserve">30%</t>
  </si>
  <si>
    <t xml:space="preserve">25%</t>
  </si>
  <si>
    <t xml:space="preserve">Input inflation / Lạm phát TP YoY</t>
  </si>
  <si>
    <t xml:space="preserve">Monthly rent / Thuê tháng (VNĐ)</t>
  </si>
  <si>
    <t xml:space="preserve">High</t>
  </si>
  <si>
    <t xml:space="preserve">Mid</t>
  </si>
  <si>
    <t xml:space="preserve">Low</t>
  </si>
  <si>
    <t xml:space="preserve">Payroll growth YoY / Tăng lương</t>
  </si>
  <si>
    <t xml:space="preserve">8%</t>
  </si>
  <si>
    <t xml:space="preserve">CAPEX &amp; FINANCING</t>
  </si>
  <si>
    <t xml:space="preserve">+20%</t>
  </si>
  <si>
    <t xml:space="preserve">Base</t>
  </si>
  <si>
    <t xml:space="preserve">-10%</t>
  </si>
  <si>
    <t xml:space="preserve">% of base</t>
  </si>
  <si>
    <t xml:space="preserve">Interest rate / Lãi suất</t>
  </si>
  <si>
    <t xml:space="preserve">12%</t>
  </si>
  <si>
    <t xml:space="preserve">9%</t>
  </si>
  <si>
    <t xml:space="preserve">7%</t>
  </si>
  <si>
    <t xml:space="preserve">Loan % of capex / % vốn vay</t>
  </si>
  <si>
    <t xml:space="preserve">70%</t>
  </si>
  <si>
    <t xml:space="preserve">50%</t>
  </si>
  <si>
    <t xml:space="preserve">% capex</t>
  </si>
  <si>
    <t xml:space="preserve">MARKET CONDITIONS / THỊ TRƯỜNG</t>
  </si>
  <si>
    <t xml:space="preserve">Ramp-up speed / Tốc độ ramp-up</t>
  </si>
  <si>
    <t xml:space="preserve">Slow (18M)</t>
  </si>
  <si>
    <t xml:space="preserve">Normal (12M)</t>
  </si>
  <si>
    <t xml:space="preserve">Fast (6M)</t>
  </si>
  <si>
    <t xml:space="preserve">Competitive pressure / CT cạnh tranh</t>
  </si>
  <si>
    <t xml:space="preserve">Medium</t>
  </si>
  <si>
    <t xml:space="preserve">Economic climate / Kinh tế vĩ mô</t>
  </si>
  <si>
    <t xml:space="preserve">Downturn</t>
  </si>
  <si>
    <t xml:space="preserve">Stable</t>
  </si>
  <si>
    <t xml:space="preserve">Growth</t>
  </si>
  <si>
    <t xml:space="preserve">EXPECTED OUTPUT KPIs / KẾT QUẢ DỰ KIẾN TỪNG KỊCH BẢN</t>
  </si>
  <si>
    <t xml:space="preserve">KPI</t>
  </si>
  <si>
    <t xml:space="preserve">BEAR Y1</t>
  </si>
  <si>
    <t xml:space="preserve">BASE Y1</t>
  </si>
  <si>
    <t xml:space="preserve">BULL Y1</t>
  </si>
  <si>
    <t xml:space="preserve">BASE Y2</t>
  </si>
  <si>
    <t xml:space="preserve">BASE Y3</t>
  </si>
  <si>
    <t xml:space="preserve">Gross Profit / LN Gộp (VNĐ)</t>
  </si>
  <si>
    <t xml:space="preserve">Gross Margin %</t>
  </si>
  <si>
    <t xml:space="preserve">EBITDA Margin %</t>
  </si>
  <si>
    <t xml:space="preserve">Net Margin %</t>
  </si>
  <si>
    <t xml:space="preserve">💡 TIP: To run a scenario → copy Bear/Bull values from column B/D above into the Assumptions sheet (blue cells), then note outputs. Use Ctrl+Z to revert. / Để chạy kịch bản → copy giá trị Bear/Bull vào sheet Assumptions (ô xanh), ghi lại kết quả. Ctrl+Z để hoàn tác.</t>
  </si>
  <si>
    <t xml:space="preserve">LOAN SCHEDULE / LỊCH VAY &amp; TRẢ NỢ</t>
  </si>
  <si>
    <t xml:space="preserve">PARAMETER / THÔNG SỐ</t>
  </si>
  <si>
    <t xml:space="preserve">Financed? (Vay/ Không vay)</t>
  </si>
  <si>
    <t xml:space="preserve">Yes/ Có</t>
  </si>
  <si>
    <t xml:space="preserve">Tỷ lệ vay</t>
  </si>
  <si>
    <t xml:space="preserve">Loan amount / Số tiền vay (VNĐ)</t>
  </si>
  <si>
    <t xml:space="preserve">← Enter value / Nhập giá trị</t>
  </si>
  <si>
    <t xml:space="preserve">Annual interest rate / Lãi suất năm (%)</t>
  </si>
  <si>
    <t xml:space="preserve">Loan term / Thời hạn (months)</t>
  </si>
  <si>
    <t xml:space="preserve">Grace period / Ân hạn (months)</t>
  </si>
  <si>
    <t xml:space="preserve">Drawdown month / Tháng giải ngân</t>
  </si>
  <si>
    <t xml:space="preserve">Loan type / Loại vay</t>
  </si>
  <si>
    <t xml:space="preserve">Annuity</t>
  </si>
  <si>
    <t xml:space="preserve">PERIOD
KỲ</t>
  </si>
  <si>
    <t xml:space="preserve">MONTH
THÁNG</t>
  </si>
  <si>
    <t xml:space="preserve">OPENING BALANCE
DƯ NỢ ĐẦU KỲ</t>
  </si>
  <si>
    <t xml:space="preserve">INTEREST
LÃI VAY</t>
  </si>
  <si>
    <t xml:space="preserve">PRINCIPAL
GỐC TRẢ</t>
  </si>
  <si>
    <t xml:space="preserve">TOTAL PAYMENT
TỔNG TRẢ</t>
  </si>
  <si>
    <t xml:space="preserve">CLOSING BALANCE
DƯ NỢ CUỐI KỲ</t>
  </si>
  <si>
    <t xml:space="preserve">TOTAL</t>
  </si>
  <si>
    <t xml:space="preserve">No/ Không</t>
  </si>
  <si>
    <t xml:space="preserve">Phân khúc</t>
  </si>
  <si>
    <t xml:space="preserve">Avg Price/m2</t>
  </si>
  <si>
    <t xml:space="preserve">Main Area – close to sword lake (Lê Thái Tổ, Đinh Tiên Hoàng, Hàng Khay, Tràng Tiền)</t>
  </si>
  <si>
    <t xml:space="preserve">Old Quarters(Hàng Đào, Lý Quốc Sư, Lý Thái Tổ)</t>
  </si>
  <si>
    <t xml:space="preserve">Index</t>
  </si>
  <si>
    <t xml:space="preserve">Hot months (Hệ số điều chỉnh tiêu thụ điện các tháng trong năm)</t>
  </si>
  <si>
    <t xml:space="preserve">Holidays (Hệ số điều chỉnh vụ mùa các dịp lễ)</t>
  </si>
  <si>
    <t xml:space="preserve">Ramp-up Pesimistic</t>
  </si>
  <si>
    <t xml:space="preserve">Ramp-up Neutral</t>
  </si>
  <si>
    <r>
      <rPr>
        <sz val="11"/>
        <color rgb="FF000000"/>
        <rFont val="Arial"/>
        <family val="2"/>
      </rPr>
      <t xml:space="preserve">Marketing Cots</t>
    </r>
    <r>
      <rPr>
        <sz val="10"/>
        <color rgb="FF000000"/>
        <rFont val="Arial"/>
        <family val="0"/>
      </rPr>
      <t xml:space="preserve"> (% of Rev)</t>
    </r>
  </si>
  <si>
    <t xml:space="preserve">Default Marketing Cost (% of Rev) </t>
  </si>
  <si>
    <t xml:space="preserve">Operating Cashflow</t>
  </si>
  <si>
    <t xml:space="preserve">Investing Cashflow</t>
  </si>
  <si>
    <t xml:space="preserve">IRR</t>
  </si>
  <si>
    <t xml:space="preserve">Equity IRR</t>
  </si>
</sst>
</file>

<file path=xl/styles.xml><?xml version="1.0" encoding="utf-8"?>
<styleSheet xmlns="http://schemas.openxmlformats.org/spreadsheetml/2006/main">
  <numFmts count="12">
    <numFmt numFmtId="164" formatCode="General"/>
    <numFmt numFmtId="165" formatCode="mmmm\ d&quot;, &quot;yyyy"/>
    <numFmt numFmtId="166" formatCode="#,##0"/>
    <numFmt numFmtId="167" formatCode="#,##0.00"/>
    <numFmt numFmtId="168" formatCode="#,##0;\(#,##0\);\-"/>
    <numFmt numFmtId="169" formatCode="0.00%"/>
    <numFmt numFmtId="170" formatCode="0.0%;\(0.0%\);\-"/>
    <numFmt numFmtId="171" formatCode="mmm\ d&quot;, &quot;yyyy"/>
    <numFmt numFmtId="172" formatCode="#,##0.00;\(#,##0.00\);\-"/>
    <numFmt numFmtId="173" formatCode="mm/dd/yy"/>
    <numFmt numFmtId="174" formatCode="#,##0.00_);\(#,##0.00\)"/>
    <numFmt numFmtId="175" formatCode="0%"/>
  </numFmts>
  <fonts count="34">
    <font>
      <sz val="11"/>
      <color theme="1"/>
      <name val="Calibri"/>
      <family val="2"/>
    </font>
    <font>
      <sz val="10"/>
      <name val="Arial"/>
      <family val="0"/>
    </font>
    <font>
      <sz val="10"/>
      <name val="Arial"/>
      <family val="0"/>
    </font>
    <font>
      <sz val="10"/>
      <name val="Arial"/>
      <family val="0"/>
    </font>
    <font>
      <sz val="11"/>
      <color theme="1"/>
      <name val="arial"/>
      <family val="2"/>
    </font>
    <font>
      <b val="true"/>
      <sz val="14"/>
      <color theme="1"/>
      <name val="arial"/>
      <family val="2"/>
    </font>
    <font>
      <b val="true"/>
      <sz val="11"/>
      <color theme="1"/>
      <name val="arial"/>
      <family val="2"/>
    </font>
    <font>
      <sz val="10"/>
      <color theme="1"/>
      <name val="Arial"/>
      <family val="0"/>
    </font>
    <font>
      <sz val="10"/>
      <color theme="1"/>
      <name val="Arial"/>
      <family val="2"/>
    </font>
    <font>
      <sz val="10"/>
      <name val="Arial"/>
      <family val="2"/>
    </font>
    <font>
      <b val="true"/>
      <sz val="22"/>
      <color theme="1"/>
      <name val="Arial"/>
      <family val="0"/>
    </font>
    <font>
      <i val="true"/>
      <sz val="10"/>
      <color theme="1"/>
      <name val="Arial"/>
      <family val="0"/>
    </font>
    <font>
      <b val="true"/>
      <sz val="10"/>
      <color theme="1"/>
      <name val="Arial"/>
      <family val="0"/>
    </font>
    <font>
      <i val="true"/>
      <sz val="9"/>
      <color theme="1"/>
      <name val="Arial"/>
      <family val="0"/>
    </font>
    <font>
      <b val="true"/>
      <sz val="14"/>
      <color theme="1"/>
      <name val="Arial"/>
      <family val="0"/>
    </font>
    <font>
      <b val="true"/>
      <sz val="9"/>
      <color theme="1"/>
      <name val="Arial"/>
      <family val="0"/>
    </font>
    <font>
      <sz val="9"/>
      <color theme="1"/>
      <name val="Arial"/>
      <family val="0"/>
    </font>
    <font>
      <b val="true"/>
      <sz val="8"/>
      <color theme="1"/>
      <name val="Arial"/>
      <family val="0"/>
    </font>
    <font>
      <sz val="11"/>
      <color theme="1"/>
      <name val="Arial"/>
      <family val="2"/>
    </font>
    <font>
      <b val="true"/>
      <sz val="14"/>
      <color theme="1"/>
      <name val="Arial"/>
      <family val="2"/>
    </font>
    <font>
      <b val="true"/>
      <sz val="9"/>
      <color theme="1"/>
      <name val="Arial"/>
      <family val="2"/>
    </font>
    <font>
      <sz val="9"/>
      <color theme="1"/>
      <name val="Arial"/>
      <family val="2"/>
    </font>
    <font>
      <b val="true"/>
      <sz val="10"/>
      <color theme="1"/>
      <name val="Arial"/>
      <family val="2"/>
    </font>
    <font>
      <b val="true"/>
      <sz val="11"/>
      <color theme="1"/>
      <name val="Arial"/>
      <family val="2"/>
    </font>
    <font>
      <b val="true"/>
      <sz val="14"/>
      <color theme="1"/>
      <name val="Arial"/>
      <family val="2"/>
    </font>
    <font>
      <sz val="11"/>
      <color theme="1"/>
      <name val="Arial"/>
      <family val="2"/>
    </font>
    <font>
      <b val="true"/>
      <sz val="8"/>
      <color theme="1"/>
      <name val="Arial"/>
      <family val="2"/>
    </font>
    <font>
      <b val="true"/>
      <sz val="10"/>
      <color theme="1"/>
      <name val="Arial"/>
      <family val="2"/>
    </font>
    <font>
      <i val="true"/>
      <sz val="11"/>
      <color theme="1"/>
      <name val="Arial"/>
      <family val="2"/>
    </font>
    <font>
      <i val="true"/>
      <sz val="9"/>
      <color theme="1"/>
      <name val="Arial"/>
      <family val="2"/>
    </font>
    <font>
      <b val="true"/>
      <sz val="11"/>
      <color theme="1"/>
      <name val="Arial"/>
      <family val="2"/>
    </font>
    <font>
      <sz val="8"/>
      <color theme="1"/>
      <name val="Arial"/>
      <family val="0"/>
    </font>
    <font>
      <sz val="11"/>
      <color rgb="FF000000"/>
      <name val="Arial"/>
      <family val="2"/>
    </font>
    <font>
      <sz val="10"/>
      <color rgb="FF000000"/>
      <name val="Arial"/>
      <family val="0"/>
    </font>
  </fonts>
  <fills count="12">
    <fill>
      <patternFill patternType="none"/>
    </fill>
    <fill>
      <patternFill patternType="gray125"/>
    </fill>
    <fill>
      <patternFill patternType="solid">
        <fgColor rgb="FF1A3C34"/>
        <bgColor rgb="FF263238"/>
      </patternFill>
    </fill>
    <fill>
      <patternFill patternType="solid">
        <fgColor rgb="FFFFFDE7"/>
        <bgColor rgb="FFFFF3E0"/>
      </patternFill>
    </fill>
    <fill>
      <patternFill patternType="solid">
        <fgColor rgb="FFFFFFFF"/>
        <bgColor rgb="FFFFFDE7"/>
      </patternFill>
    </fill>
    <fill>
      <patternFill patternType="solid">
        <fgColor rgb="FF2E6B50"/>
        <bgColor rgb="FF008080"/>
      </patternFill>
    </fill>
    <fill>
      <patternFill patternType="solid">
        <fgColor rgb="FFF2F8F5"/>
        <bgColor rgb="FFE8F5E9"/>
      </patternFill>
    </fill>
    <fill>
      <patternFill patternType="solid">
        <fgColor rgb="FFD6EAE1"/>
        <bgColor rgb="FFE8F5E9"/>
      </patternFill>
    </fill>
    <fill>
      <patternFill patternType="solid">
        <fgColor rgb="FFFFF3E0"/>
        <bgColor rgb="FFFFEBEE"/>
      </patternFill>
    </fill>
    <fill>
      <patternFill patternType="solid">
        <fgColor rgb="FF4CAF7D"/>
        <bgColor rgb="FF33CCCC"/>
      </patternFill>
    </fill>
    <fill>
      <patternFill patternType="solid">
        <fgColor rgb="FFFFEBEE"/>
        <bgColor rgb="FFFFF3E0"/>
      </patternFill>
    </fill>
    <fill>
      <patternFill patternType="solid">
        <fgColor rgb="FFE8F5E9"/>
        <bgColor rgb="FFF2F8F5"/>
      </patternFill>
    </fill>
  </fills>
  <borders count="4">
    <border diagonalUp="false" diagonalDown="false">
      <left/>
      <right/>
      <top/>
      <bottom/>
      <diagonal/>
    </border>
    <border diagonalUp="false" diagonalDown="false">
      <left style="thin"/>
      <right style="thin"/>
      <top style="thin"/>
      <bottom style="thin"/>
      <diagonal/>
    </border>
    <border diagonalUp="false" diagonalDown="false">
      <left style="thin">
        <color rgb="FFBDBDBD"/>
      </left>
      <right style="thin">
        <color rgb="FFBDBDBD"/>
      </right>
      <top style="thin">
        <color rgb="FFBDBDBD"/>
      </top>
      <bottom style="thin">
        <color rgb="FFBDBDBD"/>
      </bottom>
      <diagonal/>
    </border>
    <border diagonalUp="false" diagonalDown="false">
      <left style="thin">
        <color rgb="FFBDBDBD"/>
      </left>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center" vertical="center"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5" fontId="7" fillId="3" borderId="2" xfId="0" applyFont="true" applyBorder="true" applyAlignment="true" applyProtection="true">
      <alignment horizontal="right" vertical="center" textRotation="0" wrapText="false" indent="0" shrinkToFit="false"/>
      <protection locked="true" hidden="false"/>
    </xf>
    <xf numFmtId="166" fontId="7" fillId="3" borderId="2" xfId="0" applyFont="true" applyBorder="true" applyAlignment="true" applyProtection="true">
      <alignment horizontal="right" vertical="center" textRotation="0" wrapText="true" indent="0" shrinkToFit="false"/>
      <protection locked="true" hidden="false"/>
    </xf>
    <xf numFmtId="166" fontId="7" fillId="3" borderId="2" xfId="0" applyFont="true" applyBorder="true" applyAlignment="true" applyProtection="true">
      <alignment horizontal="right" vertical="center" textRotation="0" wrapText="false" indent="0" shrinkToFit="false"/>
      <protection locked="true" hidden="false"/>
    </xf>
    <xf numFmtId="167" fontId="4" fillId="3" borderId="1"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4" fillId="3" borderId="1" xfId="0" applyFont="true" applyBorder="tru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6" fontId="7" fillId="3" borderId="1" xfId="0" applyFont="true" applyBorder="true" applyAlignment="true" applyProtection="true">
      <alignment horizontal="right" vertical="center" textRotation="0" wrapText="false" indent="0" shrinkToFit="false"/>
      <protection locked="true" hidden="false"/>
    </xf>
    <xf numFmtId="166" fontId="7" fillId="0" borderId="1" xfId="0" applyFont="true" applyBorder="true" applyAlignment="true" applyProtection="true">
      <alignment horizontal="right" vertical="center" textRotation="0" wrapText="false" indent="0" shrinkToFit="false"/>
      <protection locked="true" hidden="false"/>
    </xf>
    <xf numFmtId="168" fontId="8" fillId="4" borderId="2" xfId="0" applyFont="true" applyBorder="true" applyAlignment="true" applyProtection="true">
      <alignment horizontal="right" vertical="center" textRotation="0" wrapText="false" indent="0" shrinkToFit="false"/>
      <protection locked="true" hidden="false"/>
    </xf>
    <xf numFmtId="164" fontId="6" fillId="0" borderId="1" xfId="0" applyFont="true" applyBorder="true" applyAlignment="true" applyProtection="true">
      <alignment horizontal="general" vertical="bottom" textRotation="0" wrapText="true" indent="0" shrinkToFit="false"/>
      <protection locked="true" hidden="false"/>
    </xf>
    <xf numFmtId="164" fontId="6" fillId="0" borderId="1" xfId="0" applyFont="true" applyBorder="tru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9" fontId="0" fillId="0" borderId="1" xfId="0" applyFont="false" applyBorder="true" applyAlignment="true" applyProtection="true">
      <alignment horizontal="general" vertical="bottom" textRotation="0" wrapText="false" indent="0" shrinkToFit="false"/>
      <protection locked="true" hidden="false"/>
    </xf>
    <xf numFmtId="167" fontId="4" fillId="0" borderId="1" xfId="0" applyFont="true" applyBorder="true" applyAlignment="true" applyProtection="true">
      <alignment horizontal="general" vertical="bottom" textRotation="0" wrapText="false" indent="0" shrinkToFit="false"/>
      <protection locked="true" hidden="false"/>
    </xf>
    <xf numFmtId="169" fontId="4"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9" fontId="6" fillId="0" borderId="1" xfId="0" applyFont="true" applyBorder="true" applyAlignment="true" applyProtection="true">
      <alignment horizontal="general" vertical="bottom" textRotation="0" wrapText="false" indent="0" shrinkToFit="false"/>
      <protection locked="true" hidden="false"/>
    </xf>
    <xf numFmtId="167" fontId="6" fillId="0" borderId="1" xfId="0" applyFont="true" applyBorder="true" applyAlignment="true" applyProtection="true">
      <alignment horizontal="general" vertical="bottom" textRotation="0" wrapText="false" indent="0" shrinkToFit="false"/>
      <protection locked="true" hidden="false"/>
    </xf>
    <xf numFmtId="164" fontId="10" fillId="2" borderId="0" xfId="0" applyFont="true" applyBorder="true" applyAlignment="true" applyProtection="true">
      <alignment horizontal="center" vertical="center" textRotation="0" wrapText="true" indent="0" shrinkToFit="false"/>
      <protection locked="true" hidden="false"/>
    </xf>
    <xf numFmtId="164" fontId="11" fillId="2" borderId="0" xfId="0" applyFont="true" applyBorder="true" applyAlignment="true" applyProtection="true">
      <alignment horizontal="center" vertical="center" textRotation="0" wrapText="false" indent="0" shrinkToFit="false"/>
      <protection locked="true" hidden="false"/>
    </xf>
    <xf numFmtId="164" fontId="12" fillId="5" borderId="3" xfId="0" applyFont="true" applyBorder="true" applyAlignment="true" applyProtection="true">
      <alignment horizontal="left" vertical="center" textRotation="0" wrapText="false" indent="0" shrinkToFit="false"/>
      <protection locked="true" hidden="false"/>
    </xf>
    <xf numFmtId="164" fontId="0" fillId="5" borderId="2" xfId="0" applyFont="false" applyBorder="true" applyAlignment="true" applyProtection="true">
      <alignment horizontal="left" vertical="center" textRotation="0" wrapText="false" indent="0" shrinkToFit="false"/>
      <protection locked="true" hidden="false"/>
    </xf>
    <xf numFmtId="164" fontId="12" fillId="6" borderId="2" xfId="0" applyFont="true" applyBorder="true" applyAlignment="true" applyProtection="true">
      <alignment horizontal="left" vertical="center" textRotation="0" wrapText="false" indent="0" shrinkToFit="false"/>
      <protection locked="true" hidden="false"/>
    </xf>
    <xf numFmtId="164" fontId="7" fillId="3" borderId="2" xfId="0" applyFont="true" applyBorder="true" applyAlignment="true" applyProtection="true">
      <alignment horizontal="left" vertical="center" textRotation="0" wrapText="false" indent="0" shrinkToFit="false"/>
      <protection locked="true" hidden="false"/>
    </xf>
    <xf numFmtId="164" fontId="0" fillId="6" borderId="2" xfId="0" applyFont="false" applyBorder="true" applyAlignment="true" applyProtection="true">
      <alignment horizontal="left" vertical="center" textRotation="0" wrapText="false" indent="0" shrinkToFit="false"/>
      <protection locked="true" hidden="false"/>
    </xf>
    <xf numFmtId="164" fontId="12" fillId="4" borderId="2" xfId="0" applyFont="true" applyBorder="true" applyAlignment="true" applyProtection="true">
      <alignment horizontal="left" vertical="center" textRotation="0" wrapText="false" indent="0" shrinkToFit="false"/>
      <protection locked="true" hidden="false"/>
    </xf>
    <xf numFmtId="164" fontId="0" fillId="4" borderId="2" xfId="0" applyFont="false" applyBorder="true" applyAlignment="true" applyProtection="true">
      <alignment horizontal="left" vertical="center" textRotation="0" wrapText="false" indent="0" shrinkToFit="false"/>
      <protection locked="true" hidden="false"/>
    </xf>
    <xf numFmtId="164" fontId="12" fillId="5" borderId="2" xfId="0" applyFont="true" applyBorder="true" applyAlignment="true" applyProtection="true">
      <alignment horizontal="left" vertical="center" textRotation="0" wrapText="false" indent="0" shrinkToFit="false"/>
      <protection locked="true" hidden="false"/>
    </xf>
    <xf numFmtId="164" fontId="7" fillId="6" borderId="2" xfId="0" applyFont="true" applyBorder="true" applyAlignment="true" applyProtection="true">
      <alignment horizontal="left" vertical="center" textRotation="0" wrapText="false" indent="0" shrinkToFit="false"/>
      <protection locked="true" hidden="false"/>
    </xf>
    <xf numFmtId="164" fontId="7" fillId="4" borderId="2" xfId="0" applyFont="true" applyBorder="true" applyAlignment="true" applyProtection="true">
      <alignment horizontal="left" vertical="center" textRotation="0" wrapText="false" indent="0" shrinkToFit="false"/>
      <protection locked="true" hidden="false"/>
    </xf>
    <xf numFmtId="164" fontId="0" fillId="3" borderId="2" xfId="0" applyFont="false" applyBorder="true" applyAlignment="true" applyProtection="true">
      <alignment horizontal="left" vertical="center" textRotation="0" wrapText="false" indent="0" shrinkToFit="false"/>
      <protection locked="true" hidden="false"/>
    </xf>
    <xf numFmtId="164" fontId="7" fillId="7" borderId="2" xfId="0" applyFont="true" applyBorder="true" applyAlignment="true" applyProtection="true">
      <alignment horizontal="left" vertical="center" textRotation="0" wrapText="false" indent="0" shrinkToFit="false"/>
      <protection locked="true" hidden="false"/>
    </xf>
    <xf numFmtId="164" fontId="0" fillId="7" borderId="2" xfId="0" applyFont="false" applyBorder="true" applyAlignment="true" applyProtection="true">
      <alignment horizontal="left" vertical="center" textRotation="0" wrapText="false" indent="0" shrinkToFit="false"/>
      <protection locked="true" hidden="false"/>
    </xf>
    <xf numFmtId="164" fontId="13" fillId="8" borderId="3" xfId="0" applyFont="true" applyBorder="true" applyAlignment="true" applyProtection="true">
      <alignment horizontal="left" vertical="center" textRotation="0" wrapText="true" indent="0" shrinkToFit="false"/>
      <protection locked="true" hidden="false"/>
    </xf>
    <xf numFmtId="164" fontId="14" fillId="2" borderId="0" xfId="0" applyFont="true" applyBorder="true" applyAlignment="true" applyProtection="true">
      <alignment horizontal="center" vertical="center" textRotation="0" wrapText="false" indent="0" shrinkToFit="false"/>
      <protection locked="true" hidden="false"/>
    </xf>
    <xf numFmtId="164" fontId="15" fillId="2" borderId="2" xfId="0" applyFont="true" applyBorder="true" applyAlignment="true" applyProtection="true">
      <alignment horizontal="center" vertical="center" textRotation="0" wrapText="false" indent="0" shrinkToFit="false"/>
      <protection locked="true" hidden="false"/>
    </xf>
    <xf numFmtId="164" fontId="15" fillId="5" borderId="3" xfId="0" applyFont="true" applyBorder="true" applyAlignment="true" applyProtection="true">
      <alignment horizontal="left" vertical="center" textRotation="0" wrapText="false" indent="0" shrinkToFit="false"/>
      <protection locked="true" hidden="false"/>
    </xf>
    <xf numFmtId="164" fontId="7" fillId="3" borderId="2" xfId="0" applyFont="true" applyBorder="true" applyAlignment="true" applyProtection="true">
      <alignment horizontal="right" vertical="center" textRotation="0" wrapText="false" indent="0" shrinkToFit="false"/>
      <protection locked="true" hidden="false"/>
    </xf>
    <xf numFmtId="164" fontId="16" fillId="4" borderId="2" xfId="0" applyFont="true" applyBorder="true" applyAlignment="true" applyProtection="true">
      <alignment horizontal="left" vertical="center" textRotation="0" wrapText="false" indent="0" shrinkToFit="false"/>
      <protection locked="true" hidden="false"/>
    </xf>
    <xf numFmtId="164" fontId="16" fillId="4" borderId="2" xfId="0" applyFont="true" applyBorder="true" applyAlignment="true" applyProtection="true">
      <alignment horizontal="center" vertical="center" textRotation="0" wrapText="false" indent="0" shrinkToFit="false"/>
      <protection locked="true" hidden="false"/>
    </xf>
    <xf numFmtId="164" fontId="16" fillId="4" borderId="2" xfId="0" applyFont="true" applyBorder="true" applyAlignment="true" applyProtection="true">
      <alignment horizontal="left" vertical="center" textRotation="0" wrapText="true" indent="0" shrinkToFit="false"/>
      <protection locked="true" hidden="false"/>
    </xf>
    <xf numFmtId="164" fontId="16" fillId="6" borderId="2" xfId="0" applyFont="true" applyBorder="true" applyAlignment="true" applyProtection="true">
      <alignment horizontal="left" vertical="center" textRotation="0" wrapText="false" indent="0" shrinkToFit="false"/>
      <protection locked="true" hidden="false"/>
    </xf>
    <xf numFmtId="164" fontId="16" fillId="6" borderId="2" xfId="0" applyFont="true" applyBorder="true" applyAlignment="true" applyProtection="true">
      <alignment horizontal="center" vertical="center" textRotation="0" wrapText="false" indent="0" shrinkToFit="false"/>
      <protection locked="true" hidden="false"/>
    </xf>
    <xf numFmtId="164" fontId="16" fillId="6" borderId="2" xfId="0" applyFont="true" applyBorder="true" applyAlignment="true" applyProtection="true">
      <alignment horizontal="left" vertical="center" textRotation="0" wrapText="true" indent="0" shrinkToFit="false"/>
      <protection locked="true" hidden="false"/>
    </xf>
    <xf numFmtId="170" fontId="7" fillId="3" borderId="2" xfId="0" applyFont="true" applyBorder="true" applyAlignment="true" applyProtection="true">
      <alignment horizontal="right" vertical="center" textRotation="0" wrapText="false" indent="0" shrinkToFit="false"/>
      <protection locked="true" hidden="false"/>
    </xf>
    <xf numFmtId="164" fontId="14" fillId="9" borderId="0" xfId="0" applyFont="true" applyBorder="true" applyAlignment="true" applyProtection="true">
      <alignment horizontal="center" vertical="center" textRotation="0" wrapText="false" indent="0" shrinkToFit="false"/>
      <protection locked="true" hidden="false"/>
    </xf>
    <xf numFmtId="164" fontId="14" fillId="2" borderId="0" xfId="0" applyFont="true" applyBorder="false" applyAlignment="true" applyProtection="true">
      <alignment horizontal="center" vertical="center" textRotation="0" wrapText="false" indent="0" shrinkToFit="false"/>
      <protection locked="true" hidden="false"/>
    </xf>
    <xf numFmtId="164" fontId="15" fillId="9" borderId="0" xfId="0" applyFont="true" applyBorder="false" applyAlignment="true" applyProtection="true">
      <alignment horizontal="left" vertical="center" textRotation="0" wrapText="false" indent="0" shrinkToFit="false"/>
      <protection locked="true" hidden="false"/>
    </xf>
    <xf numFmtId="164" fontId="15" fillId="9" borderId="0" xfId="0" applyFont="true" applyBorder="false" applyAlignment="true" applyProtection="true">
      <alignment horizontal="center" vertical="center" textRotation="0" wrapText="false" indent="0" shrinkToFit="false"/>
      <protection locked="true" hidden="false"/>
    </xf>
    <xf numFmtId="171" fontId="17" fillId="9" borderId="0" xfId="0" applyFont="true" applyBorder="false" applyAlignment="true" applyProtection="true">
      <alignment horizontal="center" vertical="center" textRotation="0" wrapText="false" indent="0" shrinkToFit="false"/>
      <protection locked="true" hidden="false"/>
    </xf>
    <xf numFmtId="164" fontId="15" fillId="9" borderId="3" xfId="0" applyFont="true" applyBorder="true" applyAlignment="true" applyProtection="true">
      <alignment horizontal="left" vertical="center" textRotation="0" wrapText="false" indent="0" shrinkToFit="false"/>
      <protection locked="true" hidden="false"/>
    </xf>
    <xf numFmtId="168" fontId="7" fillId="4" borderId="2" xfId="0" applyFont="true" applyBorder="true" applyAlignment="true" applyProtection="true">
      <alignment horizontal="right" vertical="center" textRotation="0" wrapText="false" indent="0" shrinkToFit="false"/>
      <protection locked="true" hidden="false"/>
    </xf>
    <xf numFmtId="167" fontId="7" fillId="3" borderId="2" xfId="0" applyFont="true" applyBorder="true" applyAlignment="true" applyProtection="true">
      <alignment horizontal="right" vertical="center" textRotation="0" wrapText="false" indent="0" shrinkToFit="false"/>
      <protection locked="true" hidden="false"/>
    </xf>
    <xf numFmtId="172" fontId="7" fillId="4" borderId="2" xfId="0" applyFont="true" applyBorder="true" applyAlignment="true" applyProtection="true">
      <alignment horizontal="right" vertical="center" textRotation="0" wrapText="false" indent="0" shrinkToFit="false"/>
      <protection locked="true" hidden="false"/>
    </xf>
    <xf numFmtId="172" fontId="7" fillId="3" borderId="2" xfId="0" applyFont="true" applyBorder="true" applyAlignment="true" applyProtection="true">
      <alignment horizontal="right" vertical="center" textRotation="0" wrapText="false" indent="0" shrinkToFit="false"/>
      <protection locked="true" hidden="false"/>
    </xf>
    <xf numFmtId="168" fontId="7" fillId="3" borderId="2" xfId="0" applyFont="true" applyBorder="true" applyAlignment="true" applyProtection="true">
      <alignment horizontal="right" vertical="center" textRotation="0" wrapText="false" indent="0" shrinkToFit="false"/>
      <protection locked="true" hidden="false"/>
    </xf>
    <xf numFmtId="169" fontId="7" fillId="4" borderId="2" xfId="0" applyFont="true" applyBorder="true" applyAlignment="true" applyProtection="true">
      <alignment horizontal="right" vertical="center" textRotation="0" wrapText="false" indent="0" shrinkToFit="false"/>
      <protection locked="true" hidden="false"/>
    </xf>
    <xf numFmtId="164" fontId="12" fillId="7" borderId="2" xfId="0" applyFont="true" applyBorder="true" applyAlignment="true" applyProtection="true">
      <alignment horizontal="left" vertical="center" textRotation="0" wrapText="false" indent="0" shrinkToFit="false"/>
      <protection locked="true" hidden="false"/>
    </xf>
    <xf numFmtId="168" fontId="12" fillId="7" borderId="2" xfId="0" applyFont="true" applyBorder="true" applyAlignment="true" applyProtection="true">
      <alignment horizontal="right" vertical="center" textRotation="0" wrapText="false" indent="0" shrinkToFit="false"/>
      <protection locked="true" hidden="false"/>
    </xf>
    <xf numFmtId="168" fontId="7" fillId="6" borderId="2" xfId="0" applyFont="true" applyBorder="true" applyAlignment="true" applyProtection="true">
      <alignment horizontal="right" vertical="center" textRotation="0" wrapText="false" indent="0" shrinkToFit="false"/>
      <protection locked="true" hidden="false"/>
    </xf>
    <xf numFmtId="164" fontId="12" fillId="9" borderId="2" xfId="0" applyFont="true" applyBorder="true" applyAlignment="true" applyProtection="true">
      <alignment horizontal="left" vertical="center" textRotation="0" wrapText="false" indent="0" shrinkToFit="false"/>
      <protection locked="true" hidden="false"/>
    </xf>
    <xf numFmtId="168" fontId="12" fillId="9" borderId="2" xfId="0" applyFont="true" applyBorder="true" applyAlignment="true" applyProtection="true">
      <alignment horizontal="righ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9" fontId="7"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false" applyBorder="false" applyAlignment="true" applyProtection="true">
      <alignment horizontal="general" vertical="bottom" textRotation="0" wrapText="false" indent="0" shrinkToFit="false"/>
      <protection locked="true" hidden="false"/>
    </xf>
    <xf numFmtId="164" fontId="0" fillId="9" borderId="0" xfId="0" applyFont="false" applyBorder="false" applyAlignment="true" applyProtection="true">
      <alignment horizontal="left" vertical="center" textRotation="0" wrapText="false" indent="0" shrinkToFit="false"/>
      <protection locked="true" hidden="false"/>
    </xf>
    <xf numFmtId="164" fontId="15" fillId="9" borderId="0" xfId="0" applyFont="true" applyBorder="true" applyAlignment="true" applyProtection="true">
      <alignment horizontal="center" vertical="center" textRotation="0" wrapText="false" indent="0" shrinkToFit="false"/>
      <protection locked="true" hidden="false"/>
    </xf>
    <xf numFmtId="164" fontId="15" fillId="9" borderId="0" xfId="0" applyFont="true" applyBorder="false" applyAlignment="true" applyProtection="true">
      <alignment horizontal="center" vertical="center" textRotation="0" wrapText="true" indent="0" shrinkToFit="false"/>
      <protection locked="true" hidden="false"/>
    </xf>
    <xf numFmtId="173" fontId="17" fillId="9" borderId="0" xfId="0" applyFont="true" applyBorder="false" applyAlignment="true" applyProtection="true">
      <alignment horizontal="center" vertical="center" textRotation="0" wrapText="false" indent="0" shrinkToFit="false"/>
      <protection locked="true" hidden="false"/>
    </xf>
    <xf numFmtId="170" fontId="7" fillId="4" borderId="2" xfId="0" applyFont="true" applyBorder="true" applyAlignment="true" applyProtection="true">
      <alignment horizontal="right" vertical="center" textRotation="0" wrapText="false" indent="0" shrinkToFit="false"/>
      <protection locked="true" hidden="false"/>
    </xf>
    <xf numFmtId="169" fontId="7" fillId="3" borderId="2" xfId="0" applyFont="true" applyBorder="true" applyAlignment="true" applyProtection="true">
      <alignment horizontal="right" vertical="center" textRotation="0" wrapText="false" indent="0" shrinkToFit="false"/>
      <protection locked="true" hidden="false"/>
    </xf>
    <xf numFmtId="170" fontId="7" fillId="6" borderId="2" xfId="0" applyFont="true" applyBorder="true" applyAlignment="true" applyProtection="true">
      <alignment horizontal="right" vertical="center"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9" borderId="0" xfId="0" applyFont="true" applyBorder="true" applyAlignment="true" applyProtection="true">
      <alignment horizontal="center" vertical="center" textRotation="0" wrapText="false" indent="0" shrinkToFit="false"/>
      <protection locked="true" hidden="false"/>
    </xf>
    <xf numFmtId="164" fontId="20" fillId="9" borderId="2" xfId="0" applyFont="true" applyBorder="true" applyAlignment="true" applyProtection="true">
      <alignment horizontal="center" vertical="center" textRotation="0" wrapText="true" indent="0" shrinkToFit="false"/>
      <protection locked="true" hidden="false"/>
    </xf>
    <xf numFmtId="164" fontId="20" fillId="9" borderId="2" xfId="0" applyFont="true" applyBorder="true" applyAlignment="true" applyProtection="true">
      <alignment horizontal="center" vertical="top" textRotation="0" wrapText="true" indent="0" shrinkToFit="false"/>
      <protection locked="true" hidden="false"/>
    </xf>
    <xf numFmtId="164" fontId="8" fillId="4" borderId="2" xfId="0" applyFont="true" applyBorder="true" applyAlignment="true" applyProtection="true">
      <alignment horizontal="left" vertical="center" textRotation="0" wrapText="false" indent="0" shrinkToFit="false"/>
      <protection locked="true" hidden="false"/>
    </xf>
    <xf numFmtId="164" fontId="8" fillId="3" borderId="2" xfId="0" applyFont="true" applyBorder="true" applyAlignment="true" applyProtection="true">
      <alignment horizontal="right" vertical="center" textRotation="0" wrapText="false" indent="0" shrinkToFit="false"/>
      <protection locked="true" hidden="false"/>
    </xf>
    <xf numFmtId="167" fontId="8" fillId="3" borderId="2" xfId="0" applyFont="true" applyBorder="true" applyAlignment="true" applyProtection="true">
      <alignment horizontal="right" vertical="center" textRotation="0" wrapText="false" indent="0" shrinkToFit="false"/>
      <protection locked="true" hidden="false"/>
    </xf>
    <xf numFmtId="164" fontId="21" fillId="4" borderId="2" xfId="0" applyFont="true" applyBorder="true" applyAlignment="true" applyProtection="true">
      <alignment horizontal="left" vertical="center" textRotation="0" wrapText="true" indent="0" shrinkToFit="false"/>
      <protection locked="true" hidden="false"/>
    </xf>
    <xf numFmtId="168" fontId="18" fillId="0" borderId="1" xfId="0" applyFont="true" applyBorder="true" applyAlignment="true" applyProtection="true">
      <alignment horizontal="general" vertical="bottom" textRotation="0" wrapText="false" indent="0" shrinkToFit="false"/>
      <protection locked="true" hidden="false"/>
    </xf>
    <xf numFmtId="164" fontId="22" fillId="7" borderId="2" xfId="0" applyFont="true" applyBorder="true" applyAlignment="true" applyProtection="true">
      <alignment horizontal="left" vertical="center" textRotation="0" wrapText="false" indent="0" shrinkToFit="false"/>
      <protection locked="true" hidden="false"/>
    </xf>
    <xf numFmtId="168" fontId="22" fillId="7" borderId="2" xfId="0" applyFont="true" applyBorder="true" applyAlignment="true" applyProtection="true">
      <alignment horizontal="right" vertical="center" textRotation="0" wrapText="false" indent="0" shrinkToFit="false"/>
      <protection locked="true" hidden="false"/>
    </xf>
    <xf numFmtId="173" fontId="23" fillId="9" borderId="0" xfId="0" applyFont="true" applyBorder="false" applyAlignment="true" applyProtection="true">
      <alignment horizontal="right" vertical="center" textRotation="0" wrapText="false" indent="0" shrinkToFit="false"/>
      <protection locked="true" hidden="false"/>
    </xf>
    <xf numFmtId="164" fontId="8" fillId="4" borderId="1" xfId="0" applyFont="true" applyBorder="true" applyAlignment="true" applyProtection="true">
      <alignment horizontal="left" vertical="center" textRotation="0" wrapText="false" indent="0" shrinkToFit="false"/>
      <protection locked="true" hidden="false"/>
    </xf>
    <xf numFmtId="167" fontId="18" fillId="0" borderId="1" xfId="0" applyFont="true" applyBorder="true" applyAlignment="true" applyProtection="true">
      <alignment horizontal="general" vertical="bottom" textRotation="0" wrapText="false" indent="0" shrinkToFit="false"/>
      <protection locked="true" hidden="false"/>
    </xf>
    <xf numFmtId="164" fontId="8" fillId="4" borderId="1" xfId="0" applyFont="true" applyBorder="true" applyAlignment="true" applyProtection="true">
      <alignment horizontal="general" vertical="center" textRotation="0" wrapText="false" indent="0" shrinkToFit="false"/>
      <protection locked="true" hidden="false"/>
    </xf>
    <xf numFmtId="172" fontId="18" fillId="0" borderId="1" xfId="0" applyFont="true" applyBorder="true" applyAlignment="true" applyProtection="true">
      <alignment horizontal="general" vertical="bottom" textRotation="0" wrapText="false" indent="0" shrinkToFit="false"/>
      <protection locked="true" hidden="false"/>
    </xf>
    <xf numFmtId="164" fontId="18" fillId="0" borderId="1" xfId="0" applyFont="true" applyBorder="true" applyAlignment="true" applyProtection="true">
      <alignment horizontal="general" vertical="bottom" textRotation="0" wrapText="false" indent="0" shrinkToFit="false"/>
      <protection locked="true" hidden="false"/>
    </xf>
    <xf numFmtId="172" fontId="18" fillId="0" borderId="0" xfId="0" applyFont="true" applyBorder="false" applyAlignment="true" applyProtection="true">
      <alignment horizontal="general" vertical="bottom" textRotation="0" wrapText="false" indent="0" shrinkToFit="false"/>
      <protection locked="true" hidden="false"/>
    </xf>
    <xf numFmtId="167" fontId="18" fillId="0" borderId="0" xfId="0" applyFont="true" applyBorder="false" applyAlignment="true" applyProtection="true">
      <alignment horizontal="general" vertical="bottom" textRotation="0" wrapText="false" indent="0" shrinkToFit="false"/>
      <protection locked="true" hidden="false"/>
    </xf>
    <xf numFmtId="164" fontId="15" fillId="5" borderId="0" xfId="0" applyFont="true" applyBorder="true" applyAlignment="true" applyProtection="true">
      <alignment horizontal="center" vertical="center" textRotation="0" wrapText="false" indent="0" shrinkToFit="false"/>
      <protection locked="true" hidden="false"/>
    </xf>
    <xf numFmtId="168" fontId="7" fillId="7" borderId="2" xfId="0" applyFont="true" applyBorder="true" applyAlignment="true" applyProtection="true">
      <alignment horizontal="right" vertical="center" textRotation="0" wrapText="false" indent="0" shrinkToFit="false"/>
      <protection locked="true" hidden="false"/>
    </xf>
    <xf numFmtId="166" fontId="7" fillId="7" borderId="2" xfId="0" applyFont="true" applyBorder="true" applyAlignment="true" applyProtection="true">
      <alignment horizontal="right" vertical="center" textRotation="0" wrapText="false" indent="0" shrinkToFit="false"/>
      <protection locked="true" hidden="false"/>
    </xf>
    <xf numFmtId="164" fontId="15" fillId="9" borderId="3" xfId="0" applyFont="true" applyBorder="true" applyAlignment="true" applyProtection="true">
      <alignment horizontal="center" vertical="center" textRotation="0" wrapText="false" indent="0" shrinkToFit="false"/>
      <protection locked="true" hidden="false"/>
    </xf>
    <xf numFmtId="168" fontId="12" fillId="4" borderId="2" xfId="0" applyFont="true" applyBorder="true" applyAlignment="true" applyProtection="true">
      <alignment horizontal="right" vertical="center" textRotation="0" wrapText="false" indent="0" shrinkToFit="false"/>
      <protection locked="true" hidden="false"/>
    </xf>
    <xf numFmtId="168" fontId="12" fillId="6" borderId="2" xfId="0" applyFont="true" applyBorder="true" applyAlignment="true" applyProtection="true">
      <alignment horizontal="right" vertical="center" textRotation="0" wrapText="false" indent="0" shrinkToFit="false"/>
      <protection locked="true" hidden="false"/>
    </xf>
    <xf numFmtId="164" fontId="24" fillId="2" borderId="0" xfId="0" applyFont="true" applyBorder="true" applyAlignment="true" applyProtection="true">
      <alignment horizontal="center" vertical="center" textRotation="0" wrapText="false" indent="0" shrinkToFit="false"/>
      <protection locked="true" hidden="false"/>
    </xf>
    <xf numFmtId="164" fontId="25" fillId="5" borderId="0" xfId="0" applyFont="true" applyBorder="false" applyAlignment="true" applyProtection="true">
      <alignment horizontal="left" vertical="center" textRotation="0" wrapText="false" indent="0" shrinkToFit="false"/>
      <protection locked="true" hidden="false"/>
    </xf>
    <xf numFmtId="164" fontId="20" fillId="5"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center" vertical="center" textRotation="0" wrapText="false" indent="0" shrinkToFit="false"/>
      <protection locked="true" hidden="false"/>
    </xf>
    <xf numFmtId="164" fontId="20" fillId="9" borderId="0" xfId="0" applyFont="true" applyBorder="false" applyAlignment="true" applyProtection="true">
      <alignment horizontal="left" vertical="center" textRotation="0" wrapText="false" indent="0" shrinkToFit="false"/>
      <protection locked="true" hidden="false"/>
    </xf>
    <xf numFmtId="164" fontId="20" fillId="9" borderId="0" xfId="0" applyFont="true" applyBorder="false" applyAlignment="true" applyProtection="true">
      <alignment horizontal="center" vertical="center" textRotation="0" wrapText="false" indent="0" shrinkToFit="false"/>
      <protection locked="true" hidden="false"/>
    </xf>
    <xf numFmtId="171" fontId="26" fillId="9" borderId="0" xfId="0" applyFont="true" applyBorder="false" applyAlignment="true" applyProtection="true">
      <alignment horizontal="center" vertical="center" textRotation="0" wrapText="false" indent="0" shrinkToFit="false"/>
      <protection locked="true" hidden="false"/>
    </xf>
    <xf numFmtId="164" fontId="20" fillId="9" borderId="3" xfId="0" applyFont="true" applyBorder="true" applyAlignment="true" applyProtection="true">
      <alignment horizontal="left" vertical="center" textRotation="0" wrapText="false" indent="0" shrinkToFit="false"/>
      <protection locked="true" hidden="false"/>
    </xf>
    <xf numFmtId="164" fontId="8" fillId="6" borderId="2" xfId="0" applyFont="true" applyBorder="true" applyAlignment="true" applyProtection="true">
      <alignment horizontal="left" vertical="center" textRotation="0" wrapText="false" indent="0" shrinkToFit="false"/>
      <protection locked="true" hidden="false"/>
    </xf>
    <xf numFmtId="168" fontId="8" fillId="6" borderId="2" xfId="0" applyFont="true" applyBorder="true" applyAlignment="true" applyProtection="true">
      <alignment horizontal="right" vertical="center" textRotation="0" wrapText="false" indent="0" shrinkToFit="false"/>
      <protection locked="true" hidden="false"/>
    </xf>
    <xf numFmtId="168" fontId="8" fillId="7" borderId="2" xfId="0" applyFont="true" applyBorder="true" applyAlignment="true" applyProtection="true">
      <alignment horizontal="right" vertical="center" textRotation="0" wrapText="false" indent="0" shrinkToFit="false"/>
      <protection locked="true" hidden="false"/>
    </xf>
    <xf numFmtId="166" fontId="8" fillId="6" borderId="2" xfId="0" applyFont="true" applyBorder="true" applyAlignment="true" applyProtection="true">
      <alignment horizontal="right" vertical="center" textRotation="0" wrapText="false" indent="0" shrinkToFit="false"/>
      <protection locked="true" hidden="false"/>
    </xf>
    <xf numFmtId="164" fontId="27" fillId="9" borderId="2" xfId="0" applyFont="true" applyBorder="true" applyAlignment="true" applyProtection="true">
      <alignment horizontal="left" vertical="center" textRotation="0" wrapText="false" indent="0" shrinkToFit="false"/>
      <protection locked="true" hidden="false"/>
    </xf>
    <xf numFmtId="168" fontId="27" fillId="9" borderId="2" xfId="0" applyFont="true" applyBorder="true" applyAlignment="true" applyProtection="true">
      <alignment horizontal="right" vertical="center" textRotation="0" wrapText="false" indent="0" shrinkToFit="false"/>
      <protection locked="true" hidden="false"/>
    </xf>
    <xf numFmtId="164" fontId="22" fillId="6" borderId="2" xfId="0" applyFont="true" applyBorder="true" applyAlignment="true" applyProtection="true">
      <alignment horizontal="left" vertical="center" textRotation="0" wrapText="false" indent="0" shrinkToFit="false"/>
      <protection locked="true" hidden="false"/>
    </xf>
    <xf numFmtId="168" fontId="22" fillId="6" borderId="2" xfId="0" applyFont="true" applyBorder="true" applyAlignment="true" applyProtection="true">
      <alignment horizontal="right" vertical="center" textRotation="0" wrapText="false" indent="0" shrinkToFit="false"/>
      <protection locked="true" hidden="false"/>
    </xf>
    <xf numFmtId="164" fontId="22" fillId="4" borderId="2" xfId="0" applyFont="true" applyBorder="true" applyAlignment="true" applyProtection="true">
      <alignment horizontal="left" vertical="center" textRotation="0" wrapText="false" indent="0" shrinkToFit="false"/>
      <protection locked="true" hidden="false"/>
    </xf>
    <xf numFmtId="168" fontId="22" fillId="4" borderId="2" xfId="0" applyFont="true" applyBorder="true" applyAlignment="true" applyProtection="true">
      <alignment horizontal="right" vertical="center" textRotation="0" wrapText="false" indent="0" shrinkToFit="false"/>
      <protection locked="true" hidden="false"/>
    </xf>
    <xf numFmtId="170" fontId="22" fillId="6" borderId="2" xfId="0" applyFont="true" applyBorder="true" applyAlignment="true" applyProtection="true">
      <alignment horizontal="right" vertical="center" textRotation="0" wrapText="false" indent="0" shrinkToFit="false"/>
      <protection locked="true" hidden="false"/>
    </xf>
    <xf numFmtId="164" fontId="22" fillId="4" borderId="1" xfId="0" applyFont="true" applyBorder="true" applyAlignment="true" applyProtection="true">
      <alignment horizontal="left" vertical="center" textRotation="0" wrapText="false" indent="0" shrinkToFit="false"/>
      <protection locked="true" hidden="false"/>
    </xf>
    <xf numFmtId="169" fontId="18" fillId="0" borderId="1" xfId="0" applyFont="true" applyBorder="true" applyAlignment="true" applyProtection="true">
      <alignment horizontal="right" vertical="bottom" textRotation="0" wrapText="false" indent="0" shrinkToFit="false"/>
      <protection locked="true" hidden="false"/>
    </xf>
    <xf numFmtId="167" fontId="28" fillId="6" borderId="2" xfId="0" applyFont="true" applyBorder="true" applyAlignment="true" applyProtection="true">
      <alignment horizontal="right" vertical="center" textRotation="0" wrapText="false" indent="0" shrinkToFit="false"/>
      <protection locked="true" hidden="false"/>
    </xf>
    <xf numFmtId="168" fontId="18" fillId="0" borderId="0" xfId="0" applyFont="true" applyBorder="false" applyAlignment="true" applyProtection="true">
      <alignment horizontal="general" vertical="bottom" textRotation="0" wrapText="false" indent="0" shrinkToFit="false"/>
      <protection locked="true" hidden="false"/>
    </xf>
    <xf numFmtId="169" fontId="18" fillId="0" borderId="0" xfId="0" applyFont="true" applyBorder="false" applyAlignment="true" applyProtection="true">
      <alignment horizontal="right" vertical="bottom" textRotation="0" wrapText="false" indent="0" shrinkToFit="false"/>
      <protection locked="true" hidden="false"/>
    </xf>
    <xf numFmtId="164" fontId="29" fillId="6" borderId="2" xfId="0" applyFont="true" applyBorder="true" applyAlignment="true" applyProtection="true">
      <alignment horizontal="left" vertical="center" textRotation="0" wrapText="false" indent="0" shrinkToFit="false"/>
      <protection locked="true" hidden="false"/>
    </xf>
    <xf numFmtId="168" fontId="28" fillId="0" borderId="0" xfId="0" applyFont="true" applyBorder="false" applyAlignment="true" applyProtection="true">
      <alignment horizontal="general" vertical="bottom" textRotation="0" wrapText="false" indent="0" shrinkToFit="false"/>
      <protection locked="true" hidden="false"/>
    </xf>
    <xf numFmtId="166" fontId="18" fillId="0" borderId="1" xfId="0" applyFont="true" applyBorder="true" applyAlignment="true" applyProtection="true">
      <alignment horizontal="general" vertical="bottom" textRotation="0" wrapText="false" indent="0" shrinkToFit="false"/>
      <protection locked="true" hidden="false"/>
    </xf>
    <xf numFmtId="166" fontId="30" fillId="0" borderId="1" xfId="0" applyFont="true" applyBorder="true" applyAlignment="true" applyProtection="true">
      <alignment horizontal="general" vertical="bottom" textRotation="0" wrapText="false" indent="0" shrinkToFit="false"/>
      <protection locked="true" hidden="false"/>
    </xf>
    <xf numFmtId="164" fontId="18" fillId="4" borderId="2" xfId="0" applyFont="true" applyBorder="true" applyAlignment="true" applyProtection="true">
      <alignment horizontal="left" vertical="center" textRotation="0" wrapText="false" indent="0" shrinkToFit="false"/>
      <protection locked="true" hidden="false"/>
    </xf>
    <xf numFmtId="174" fontId="18" fillId="0" borderId="1" xfId="0" applyFont="true" applyBorder="true" applyAlignment="true" applyProtection="true">
      <alignment horizontal="general" vertical="bottom" textRotation="0" wrapText="false" indent="0" shrinkToFit="false"/>
      <protection locked="true" hidden="false"/>
    </xf>
    <xf numFmtId="164" fontId="13" fillId="7" borderId="0" xfId="0" applyFont="true" applyBorder="true" applyAlignment="true" applyProtection="true">
      <alignment horizontal="center" vertical="center" textRotation="0" wrapText="false" indent="0" shrinkToFit="false"/>
      <protection locked="true" hidden="false"/>
    </xf>
    <xf numFmtId="164" fontId="13" fillId="6" borderId="0" xfId="0" applyFont="true" applyBorder="false" applyAlignment="true" applyProtection="true">
      <alignment horizontal="left" vertical="center" textRotation="0" wrapText="false" indent="0" shrinkToFit="false"/>
      <protection locked="true" hidden="false"/>
    </xf>
    <xf numFmtId="164" fontId="15" fillId="2" borderId="2" xfId="0" applyFont="true" applyBorder="true" applyAlignment="true" applyProtection="true">
      <alignment horizontal="left" vertical="center" textRotation="0" wrapText="false" indent="0" shrinkToFit="false"/>
      <protection locked="true" hidden="false"/>
    </xf>
    <xf numFmtId="164" fontId="15" fillId="2" borderId="2" xfId="0" applyFont="true" applyBorder="true" applyAlignment="true" applyProtection="true">
      <alignment horizontal="center" vertical="center" textRotation="0" wrapText="true" indent="0" shrinkToFit="false"/>
      <protection locked="true" hidden="false"/>
    </xf>
    <xf numFmtId="164" fontId="31" fillId="5" borderId="2" xfId="0" applyFont="true" applyBorder="true" applyAlignment="true" applyProtection="true">
      <alignment horizontal="center" vertical="center" textRotation="0" wrapText="false" indent="0" shrinkToFit="false"/>
      <protection locked="true" hidden="false"/>
    </xf>
    <xf numFmtId="164" fontId="7" fillId="6" borderId="2" xfId="0" applyFont="true" applyBorder="true" applyAlignment="true" applyProtection="true">
      <alignment horizontal="right" vertical="center" textRotation="0" wrapText="false" indent="0" shrinkToFit="false"/>
      <protection locked="true" hidden="false"/>
    </xf>
    <xf numFmtId="164" fontId="7" fillId="4" borderId="2" xfId="0" applyFont="true" applyBorder="true" applyAlignment="true" applyProtection="true">
      <alignment horizontal="right" vertical="center" textRotation="0" wrapText="false" indent="0" shrinkToFit="false"/>
      <protection locked="true" hidden="false"/>
    </xf>
    <xf numFmtId="164" fontId="13" fillId="7" borderId="3" xfId="0" applyFont="true" applyBorder="true" applyAlignment="true" applyProtection="true">
      <alignment horizontal="left" vertical="center" textRotation="0" wrapText="true" indent="0" shrinkToFit="false"/>
      <protection locked="true" hidden="false"/>
    </xf>
    <xf numFmtId="164" fontId="7" fillId="10" borderId="2" xfId="0" applyFont="true" applyBorder="true" applyAlignment="true" applyProtection="true">
      <alignment horizontal="center" vertical="center" textRotation="0" wrapText="false" indent="0" shrinkToFit="false"/>
      <protection locked="true" hidden="false"/>
    </xf>
    <xf numFmtId="164" fontId="7" fillId="3" borderId="2" xfId="0" applyFont="true" applyBorder="true" applyAlignment="true" applyProtection="true">
      <alignment horizontal="center" vertical="center" textRotation="0" wrapText="false" indent="0" shrinkToFit="false"/>
      <protection locked="true" hidden="false"/>
    </xf>
    <xf numFmtId="164" fontId="7" fillId="11" borderId="2" xfId="0" applyFont="true" applyBorder="true" applyAlignment="true" applyProtection="true">
      <alignment horizontal="center" vertical="center" textRotation="0" wrapText="false" indent="0" shrinkToFit="false"/>
      <protection locked="true" hidden="false"/>
    </xf>
    <xf numFmtId="164" fontId="15" fillId="4" borderId="2" xfId="0" applyFont="true" applyBorder="true" applyAlignment="true" applyProtection="true">
      <alignment horizontal="center" vertical="center" textRotation="0" wrapText="false" indent="0" shrinkToFit="false"/>
      <protection locked="true" hidden="false"/>
    </xf>
    <xf numFmtId="164" fontId="15" fillId="6" borderId="2" xfId="0" applyFont="true" applyBorder="true" applyAlignment="true" applyProtection="true">
      <alignment horizontal="center" vertical="center" textRotation="0" wrapText="false" indent="0" shrinkToFit="false"/>
      <protection locked="true" hidden="false"/>
    </xf>
    <xf numFmtId="168" fontId="7" fillId="10" borderId="2" xfId="0" applyFont="true" applyBorder="true" applyAlignment="true" applyProtection="true">
      <alignment horizontal="right" vertical="center" textRotation="0" wrapText="false" indent="0" shrinkToFit="false"/>
      <protection locked="true" hidden="false"/>
    </xf>
    <xf numFmtId="168" fontId="7" fillId="11" borderId="2" xfId="0" applyFont="true" applyBorder="true" applyAlignment="true" applyProtection="true">
      <alignment horizontal="right" vertical="center" textRotation="0" wrapText="false" indent="0" shrinkToFit="false"/>
      <protection locked="true" hidden="false"/>
    </xf>
    <xf numFmtId="170" fontId="7" fillId="10" borderId="2" xfId="0" applyFont="true" applyBorder="true" applyAlignment="true" applyProtection="true">
      <alignment horizontal="right" vertical="center" textRotation="0" wrapText="false" indent="0" shrinkToFit="false"/>
      <protection locked="true" hidden="false"/>
    </xf>
    <xf numFmtId="170" fontId="12" fillId="6" borderId="2" xfId="0" applyFont="true" applyBorder="true" applyAlignment="true" applyProtection="true">
      <alignment horizontal="right" vertical="center" textRotation="0" wrapText="false" indent="0" shrinkToFit="false"/>
      <protection locked="true" hidden="false"/>
    </xf>
    <xf numFmtId="170" fontId="7" fillId="11" borderId="2" xfId="0" applyFont="true" applyBorder="true" applyAlignment="true" applyProtection="true">
      <alignment horizontal="right" vertical="center"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right" vertical="bottom" textRotation="0" wrapText="false" indent="0" shrinkToFit="false"/>
      <protection locked="true" hidden="false"/>
    </xf>
    <xf numFmtId="164" fontId="15" fillId="9" borderId="2" xfId="0" applyFont="true" applyBorder="true" applyAlignment="true" applyProtection="true">
      <alignment horizontal="center" vertical="center" textRotation="0" wrapText="false" indent="0" shrinkToFit="false"/>
      <protection locked="true" hidden="false"/>
    </xf>
    <xf numFmtId="164" fontId="13" fillId="6" borderId="2" xfId="0" applyFont="true" applyBorder="true" applyAlignment="true" applyProtection="true">
      <alignment horizontal="left" vertical="center" textRotation="0" wrapText="false" indent="0" shrinkToFit="false"/>
      <protection locked="true" hidden="false"/>
    </xf>
    <xf numFmtId="175" fontId="7" fillId="3" borderId="2" xfId="0" applyFont="true" applyBorder="true" applyAlignment="true" applyProtection="true">
      <alignment horizontal="right" vertical="center" textRotation="0" wrapText="false" indent="0" shrinkToFit="false"/>
      <protection locked="true" hidden="false"/>
    </xf>
    <xf numFmtId="164" fontId="13" fillId="4" borderId="2" xfId="0" applyFont="true" applyBorder="true" applyAlignment="true" applyProtection="true">
      <alignment horizontal="left" vertical="center" textRotation="0" wrapText="false" indent="0" shrinkToFit="false"/>
      <protection locked="true" hidden="false"/>
    </xf>
    <xf numFmtId="164" fontId="15" fillId="9" borderId="2" xfId="0" applyFont="true" applyBorder="true" applyAlignment="true" applyProtection="true">
      <alignment horizontal="center" vertical="center" textRotation="0" wrapText="true" indent="0" shrinkToFit="false"/>
      <protection locked="true" hidden="false"/>
    </xf>
    <xf numFmtId="164" fontId="7" fillId="6" borderId="2" xfId="0" applyFont="true" applyBorder="true" applyAlignment="true" applyProtection="true">
      <alignment horizontal="center" vertical="center" textRotation="0" wrapText="false" indent="0" shrinkToFit="false"/>
      <protection locked="true" hidden="false"/>
    </xf>
    <xf numFmtId="171" fontId="7" fillId="6" borderId="2" xfId="0" applyFont="true" applyBorder="true" applyAlignment="true" applyProtection="true">
      <alignment horizontal="center" vertical="center" textRotation="0" wrapText="false" indent="0" shrinkToFit="false"/>
      <protection locked="true" hidden="false"/>
    </xf>
    <xf numFmtId="164" fontId="7" fillId="4" borderId="2" xfId="0" applyFont="true" applyBorder="true" applyAlignment="true" applyProtection="true">
      <alignment horizontal="center" vertical="center" textRotation="0" wrapText="false" indent="0" shrinkToFit="false"/>
      <protection locked="true" hidden="false"/>
    </xf>
    <xf numFmtId="164" fontId="12" fillId="7" borderId="2" xfId="0" applyFont="true" applyBorder="tru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right" vertical="bottom" textRotation="0" wrapText="false" indent="0" shrinkToFit="false"/>
      <protection locked="true" hidden="false"/>
    </xf>
    <xf numFmtId="164" fontId="30" fillId="0" borderId="1" xfId="0" applyFont="true" applyBorder="true" applyAlignment="true" applyProtection="true">
      <alignment horizontal="general" vertical="bottom" textRotation="0" wrapText="false" indent="0" shrinkToFit="false"/>
      <protection locked="true" hidden="false"/>
    </xf>
    <xf numFmtId="164" fontId="30" fillId="0" borderId="1" xfId="0" applyFont="true" applyBorder="true" applyAlignment="true" applyProtection="true">
      <alignment horizontal="right" vertical="bottom" textRotation="0" wrapText="false" indent="0" shrinkToFit="false"/>
      <protection locked="true" hidden="false"/>
    </xf>
    <xf numFmtId="173" fontId="18" fillId="0" borderId="0" xfId="0" applyFont="true" applyBorder="false" applyAlignment="true" applyProtection="true">
      <alignment horizontal="general" vertical="bottom" textRotation="0" wrapText="false" indent="0" shrinkToFit="false"/>
      <protection locked="true" hidden="false"/>
    </xf>
    <xf numFmtId="167" fontId="18" fillId="0" borderId="1" xfId="0" applyFont="true" applyBorder="true" applyAlignment="true" applyProtection="true">
      <alignment horizontal="general" vertical="bottom" textRotation="0" wrapText="true" indent="0" shrinkToFit="false"/>
      <protection locked="true" hidden="false"/>
    </xf>
    <xf numFmtId="164" fontId="0" fillId="0" borderId="1" xfId="0" applyFont="true" applyBorder="true" applyAlignment="true" applyProtection="true">
      <alignment horizontal="general" vertical="bottom" textRotation="0" wrapText="true" indent="0" shrinkToFit="false"/>
      <protection locked="true" hidden="false"/>
    </xf>
    <xf numFmtId="169" fontId="18" fillId="0" borderId="1" xfId="0" applyFont="true" applyBorder="true" applyAlignment="true" applyProtection="true">
      <alignment horizontal="general" vertical="bottom" textRotation="0" wrapText="false" indent="0" shrinkToFit="false"/>
      <protection locked="true" hidden="false"/>
    </xf>
    <xf numFmtId="164" fontId="32" fillId="0" borderId="0" xfId="0" applyFont="true" applyBorder="false" applyAlignment="true" applyProtection="true">
      <alignment horizontal="general" vertical="bottom" textRotation="0" wrapText="false" indent="0" shrinkToFit="false"/>
      <protection locked="true" hidden="false"/>
    </xf>
    <xf numFmtId="169" fontId="18"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80E4F"/>
      <rgbColor rgb="FF2E6B50"/>
      <rgbColor rgb="FFBDBDBD"/>
      <rgbColor rgb="FF808080"/>
      <rgbColor rgb="FF9999FF"/>
      <rgbColor rgb="FF993366"/>
      <rgbColor rgb="FFFFFDE7"/>
      <rgbColor rgb="FFE8F5E9"/>
      <rgbColor rgb="FF4A148C"/>
      <rgbColor rgb="FFFF8080"/>
      <rgbColor rgb="FF1565C0"/>
      <rgbColor rgb="FFCCCCFF"/>
      <rgbColor rgb="FF000080"/>
      <rgbColor rgb="FFFF00FF"/>
      <rgbColor rgb="FFFFFF00"/>
      <rgbColor rgb="FF00FFFF"/>
      <rgbColor rgb="FF800080"/>
      <rgbColor rgb="FF800000"/>
      <rgbColor rgb="FF008080"/>
      <rgbColor rgb="FF0000FF"/>
      <rgbColor rgb="FF00CCFF"/>
      <rgbColor rgb="FFF2F8F5"/>
      <rgbColor rgb="FFD6EAE1"/>
      <rgbColor rgb="FFFFF3E0"/>
      <rgbColor rgb="FF99CCFF"/>
      <rgbColor rgb="FFFF99CC"/>
      <rgbColor rgb="FFCC99FF"/>
      <rgbColor rgb="FFFFEBEE"/>
      <rgbColor rgb="FF3366FF"/>
      <rgbColor rgb="FF33CCCC"/>
      <rgbColor rgb="FF99CC00"/>
      <rgbColor rgb="FFFFCC00"/>
      <rgbColor rgb="FFF9A825"/>
      <rgbColor rgb="FFE65100"/>
      <rgbColor rgb="FF666699"/>
      <rgbColor rgb="FF969696"/>
      <rgbColor rgb="FF1A3C34"/>
      <rgbColor rgb="FF4CAF7D"/>
      <rgbColor rgb="FF003300"/>
      <rgbColor rgb="FF333300"/>
      <rgbColor rgb="FF993300"/>
      <rgbColor rgb="FF993366"/>
      <rgbColor rgb="FF0D47A1"/>
      <rgbColor rgb="FF2632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3C34"/>
    <pageSetUpPr fitToPage="false"/>
  </sheetPr>
  <dimension ref="A1:H42"/>
  <sheetViews>
    <sheetView showFormulas="false" showGridLines="false" showRowColHeaders="true" showZeros="true" rightToLeft="false" tabSelected="false" showOutlineSymbols="true" defaultGridColor="true" view="normal" topLeftCell="A1" colorId="64" zoomScale="120" zoomScaleNormal="120" zoomScalePageLayoutView="100" workbookViewId="0">
      <pane xSplit="0" ySplit="3" topLeftCell="A4" activePane="bottomLeft" state="frozen"/>
      <selection pane="topLeft" activeCell="A1" activeCellId="0" sqref="A1"/>
      <selection pane="bottomLeft" activeCell="B13" activeCellId="0" sqref="B13"/>
    </sheetView>
  </sheetViews>
  <sheetFormatPr defaultColWidth="8.71484375" defaultRowHeight="13.8" customHeight="false" zeroHeight="false" outlineLevelRow="0" outlineLevelCol="0"/>
  <cols>
    <col collapsed="false" customWidth="true" hidden="false" outlineLevel="0" max="1" min="1" style="1" width="45.32"/>
    <col collapsed="false" customWidth="true" hidden="false" outlineLevel="0" max="5" min="2" style="1" width="28.33"/>
    <col collapsed="false" customWidth="true" hidden="false" outlineLevel="0" max="6" min="6" style="1" width="26"/>
    <col collapsed="false" customWidth="false" hidden="false" outlineLevel="0" max="16384" min="8" style="1" width="8.71"/>
  </cols>
  <sheetData>
    <row r="1" customFormat="false" ht="30" hidden="false" customHeight="true" outlineLevel="0" collapsed="false">
      <c r="A1" s="2" t="s">
        <v>0</v>
      </c>
      <c r="B1" s="2"/>
      <c r="C1" s="2"/>
      <c r="D1" s="2"/>
      <c r="E1" s="2"/>
      <c r="F1" s="2"/>
    </row>
    <row r="2" customFormat="false" ht="12" hidden="false" customHeight="true" outlineLevel="0" collapsed="false">
      <c r="A2" s="2"/>
      <c r="B2" s="2"/>
      <c r="C2" s="2"/>
      <c r="D2" s="2"/>
      <c r="E2" s="2"/>
      <c r="F2" s="2"/>
    </row>
    <row r="5" customFormat="false" ht="13.8" hidden="false" customHeight="false" outlineLevel="0" collapsed="false">
      <c r="A5" s="3" t="s">
        <v>1</v>
      </c>
      <c r="B5" s="3" t="s">
        <v>2</v>
      </c>
      <c r="F5" s="4"/>
    </row>
    <row r="6" customFormat="false" ht="13.8" hidden="false" customHeight="false" outlineLevel="0" collapsed="false">
      <c r="A6" s="5" t="s">
        <v>3</v>
      </c>
      <c r="B6" s="6" t="n">
        <v>46661</v>
      </c>
      <c r="F6" s="4"/>
    </row>
    <row r="7" customFormat="false" ht="23.85" hidden="false" customHeight="false" outlineLevel="0" collapsed="false">
      <c r="A7" s="5" t="s">
        <v>4</v>
      </c>
      <c r="B7" s="7" t="s">
        <v>5</v>
      </c>
      <c r="F7" s="4"/>
    </row>
    <row r="8" customFormat="false" ht="13.8" hidden="false" customHeight="false" outlineLevel="0" collapsed="false">
      <c r="A8" s="5" t="s">
        <v>6</v>
      </c>
      <c r="B8" s="8" t="n">
        <v>50</v>
      </c>
      <c r="F8" s="4"/>
    </row>
    <row r="9" customFormat="false" ht="13.8" hidden="false" customHeight="false" outlineLevel="0" collapsed="false">
      <c r="A9" s="5" t="s">
        <v>7</v>
      </c>
      <c r="B9" s="9" t="n">
        <f aca="false">_xlfn.XLOOKUP(B7,'⚙️ Other Assumptions'!A8:A10,'⚙️ Other Assumptions'!B8:B10,1)</f>
        <v>1150000</v>
      </c>
      <c r="F9" s="4"/>
    </row>
    <row r="10" customFormat="false" ht="13.8" hidden="false" customHeight="false" outlineLevel="0" collapsed="false">
      <c r="A10" s="5" t="s">
        <v>8</v>
      </c>
      <c r="B10" s="9" t="n">
        <f aca="false">B8*B9</f>
        <v>57500000</v>
      </c>
      <c r="F10" s="4"/>
    </row>
    <row r="11" customFormat="false" ht="13.8" hidden="false" customHeight="false" outlineLevel="0" collapsed="false">
      <c r="A11" s="5" t="s">
        <v>9</v>
      </c>
      <c r="B11" s="9" t="n">
        <v>6</v>
      </c>
      <c r="F11" s="4"/>
    </row>
    <row r="12" customFormat="false" ht="26.85" hidden="false" customHeight="false" outlineLevel="0" collapsed="false">
      <c r="A12" s="10" t="s">
        <v>10</v>
      </c>
      <c r="B12" s="9" t="n">
        <v>150</v>
      </c>
      <c r="F12" s="4"/>
    </row>
    <row r="13" customFormat="false" ht="36.05" hidden="false" customHeight="true" outlineLevel="0" collapsed="false">
      <c r="A13" s="11" t="s">
        <v>11</v>
      </c>
      <c r="B13" s="12" t="s">
        <v>12</v>
      </c>
    </row>
    <row r="14" customFormat="false" ht="13.8" hidden="false" customHeight="false" outlineLevel="0" collapsed="false">
      <c r="A14" s="1" t="s">
        <v>13</v>
      </c>
      <c r="B14" s="13" t="n">
        <f aca="false">_xlfn.LET(
_xlpm.buffer_1,-SUM(OFFSET('💵 Cash Flow'!$C$11,0,0,1,_xlfn.XLOOKUP(1,SIGN('💵 Cash Flow'!$C$11:$BJ$11),'💵 Cash Flow'!$C$3:$BJ$3,"No Negative",0,1)-1)),
_xlpm.Principal_buffer,-SUM(OFFSET('💵 Cash Flow'!$C$19,0,0,1,_xlfn.XLOOKUP(1,SIGN('💵 Cash Flow'!$C$11:$BJ$11),'💵 Cash Flow'!$C$3:$BJ$3,"No Negative",0,1)-1)),
_xlpm.interest_buffer,-SUM(OFFSET('💵 Cash Flow'!$C$20,0,0,1,_xlfn.XLOOKUP(1,SIGN('💵 Cash Flow'!$C$11:$BJ$11),'💵 Cash Flow'!$C$3:$BJ$3,"No Negative",0,1)-1)),
_xlpm.buffer_1 + _xlpm.Principal_buffer + _xlpm.interest_buffer)</f>
        <v>169904004.13789</v>
      </c>
      <c r="C14" s="14"/>
    </row>
    <row r="16" customFormat="false" ht="13.8" hidden="false" customHeight="false" outlineLevel="0" collapsed="false">
      <c r="A16" s="3" t="s">
        <v>14</v>
      </c>
      <c r="B16" s="15" t="n">
        <v>300000000</v>
      </c>
    </row>
    <row r="17" customFormat="false" ht="13.8" hidden="false" customHeight="false" outlineLevel="0" collapsed="false">
      <c r="A17" s="3" t="s">
        <v>15</v>
      </c>
      <c r="B17" s="16" t="n">
        <f aca="false">$B$11*$B$10</f>
        <v>345000000</v>
      </c>
    </row>
    <row r="18" customFormat="false" ht="13.8" hidden="false" customHeight="false" outlineLevel="0" collapsed="false">
      <c r="A18" s="3" t="s">
        <v>16</v>
      </c>
      <c r="B18" s="17" t="n">
        <f aca="false">SUM(B16:B17)</f>
        <v>645000000</v>
      </c>
    </row>
    <row r="20" customFormat="false" ht="26.85" hidden="false" customHeight="false" outlineLevel="0" collapsed="false">
      <c r="A20" s="18" t="s">
        <v>17</v>
      </c>
      <c r="B20" s="19" t="s">
        <v>18</v>
      </c>
      <c r="C20" s="19" t="s">
        <v>19</v>
      </c>
      <c r="D20" s="19" t="s">
        <v>20</v>
      </c>
      <c r="E20" s="20"/>
    </row>
    <row r="21" customFormat="false" ht="13.8" hidden="false" customHeight="false" outlineLevel="0" collapsed="false">
      <c r="A21" s="5" t="s">
        <v>21</v>
      </c>
      <c r="B21" s="21" t="n">
        <v>0.23</v>
      </c>
      <c r="C21" s="5" t="n">
        <v>1</v>
      </c>
      <c r="D21" s="22" t="n">
        <f aca="false">$B$16*B21</f>
        <v>69000000</v>
      </c>
    </row>
    <row r="22" customFormat="false" ht="13.8" hidden="false" customHeight="false" outlineLevel="0" collapsed="false">
      <c r="A22" s="5" t="s">
        <v>22</v>
      </c>
      <c r="B22" s="23" t="n">
        <v>0.17</v>
      </c>
      <c r="C22" s="24" t="n">
        <v>1</v>
      </c>
      <c r="D22" s="22" t="n">
        <f aca="false">$B$16*B22</f>
        <v>51000000</v>
      </c>
      <c r="E22" s="14"/>
      <c r="F22" s="14"/>
    </row>
    <row r="23" customFormat="false" ht="13.8" hidden="false" customHeight="false" outlineLevel="0" collapsed="false">
      <c r="A23" s="5" t="s">
        <v>23</v>
      </c>
      <c r="B23" s="23" t="n">
        <v>0.1</v>
      </c>
      <c r="C23" s="5" t="n">
        <v>1</v>
      </c>
      <c r="D23" s="22" t="n">
        <f aca="false">$B$16*B23</f>
        <v>30000000</v>
      </c>
      <c r="E23" s="14"/>
      <c r="F23" s="14"/>
    </row>
    <row r="24" customFormat="false" ht="13.8" hidden="false" customHeight="false" outlineLevel="0" collapsed="false">
      <c r="A24" s="5" t="s">
        <v>24</v>
      </c>
      <c r="B24" s="23" t="n">
        <v>0.06</v>
      </c>
      <c r="C24" s="5" t="n">
        <v>1</v>
      </c>
      <c r="D24" s="22" t="n">
        <f aca="false">$B$16*B24</f>
        <v>18000000</v>
      </c>
      <c r="E24" s="14"/>
    </row>
    <row r="25" customFormat="false" ht="13.8" hidden="false" customHeight="false" outlineLevel="0" collapsed="false">
      <c r="A25" s="5" t="s">
        <v>25</v>
      </c>
      <c r="B25" s="23" t="n">
        <v>0.03</v>
      </c>
      <c r="C25" s="5" t="n">
        <v>1</v>
      </c>
      <c r="D25" s="22" t="n">
        <f aca="false">$B$16*B25</f>
        <v>9000000</v>
      </c>
      <c r="E25" s="14"/>
    </row>
    <row r="26" customFormat="false" ht="13.8" hidden="false" customHeight="false" outlineLevel="0" collapsed="false">
      <c r="A26" s="5" t="s">
        <v>26</v>
      </c>
      <c r="B26" s="23" t="n">
        <v>0.04</v>
      </c>
      <c r="C26" s="5" t="n">
        <v>1</v>
      </c>
      <c r="D26" s="22" t="n">
        <f aca="false">$B$16*B26</f>
        <v>12000000</v>
      </c>
      <c r="E26" s="14"/>
    </row>
    <row r="27" customFormat="false" ht="13.8" hidden="false" customHeight="false" outlineLevel="0" collapsed="false">
      <c r="A27" s="5" t="s">
        <v>27</v>
      </c>
      <c r="B27" s="23" t="n">
        <v>0.05</v>
      </c>
      <c r="C27" s="5" t="n">
        <v>1</v>
      </c>
      <c r="D27" s="22" t="n">
        <f aca="false">$B$16*B27</f>
        <v>15000000</v>
      </c>
      <c r="E27" s="14"/>
    </row>
    <row r="28" customFormat="false" ht="13.8" hidden="false" customHeight="false" outlineLevel="0" collapsed="false">
      <c r="A28" s="5" t="s">
        <v>28</v>
      </c>
      <c r="B28" s="23" t="n">
        <v>0.12</v>
      </c>
      <c r="C28" s="5" t="n">
        <v>2</v>
      </c>
      <c r="D28" s="22" t="n">
        <f aca="false">$B$16*B28</f>
        <v>36000000</v>
      </c>
      <c r="E28" s="14"/>
    </row>
    <row r="29" customFormat="false" ht="13.8" hidden="false" customHeight="false" outlineLevel="0" collapsed="false">
      <c r="A29" s="5" t="s">
        <v>29</v>
      </c>
      <c r="B29" s="23" t="n">
        <v>0.1</v>
      </c>
      <c r="C29" s="5" t="n">
        <v>1</v>
      </c>
      <c r="D29" s="22" t="n">
        <f aca="false">$B$16*B29</f>
        <v>30000000</v>
      </c>
      <c r="E29" s="14"/>
    </row>
    <row r="30" customFormat="false" ht="13.8" hidden="false" customHeight="false" outlineLevel="0" collapsed="false">
      <c r="A30" s="5" t="s">
        <v>30</v>
      </c>
      <c r="B30" s="23" t="n">
        <v>0.1</v>
      </c>
      <c r="C30" s="5" t="n">
        <v>1</v>
      </c>
      <c r="D30" s="22" t="n">
        <f aca="false">$B$16*B30</f>
        <v>30000000</v>
      </c>
      <c r="E30" s="14"/>
    </row>
    <row r="31" customFormat="false" ht="13.8" hidden="false" customHeight="false" outlineLevel="0" collapsed="false">
      <c r="A31" s="3" t="s">
        <v>16</v>
      </c>
      <c r="B31" s="25" t="n">
        <f aca="false">SUM(B21:B30)</f>
        <v>1</v>
      </c>
      <c r="C31" s="3"/>
      <c r="D31" s="26" t="n">
        <f aca="false">SUM(D21:D30)</f>
        <v>300000000</v>
      </c>
      <c r="E31" s="14"/>
    </row>
    <row r="37" s="1" customFormat="true" ht="13.8" hidden="false" customHeight="false" outlineLevel="0" collapsed="false">
      <c r="B37" s="3" t="s">
        <v>31</v>
      </c>
      <c r="C37" s="3" t="s">
        <v>32</v>
      </c>
      <c r="D37" s="3" t="s">
        <v>33</v>
      </c>
      <c r="E37" s="3" t="s">
        <v>34</v>
      </c>
      <c r="F37" s="3" t="s">
        <v>35</v>
      </c>
      <c r="H37" s="4"/>
    </row>
    <row r="38" s="1" customFormat="true" ht="13.8" hidden="false" customHeight="false" outlineLevel="0" collapsed="false">
      <c r="B38" s="3" t="n">
        <f aca="false">YEAR(B6)</f>
        <v>2027</v>
      </c>
      <c r="C38" s="3" t="n">
        <f aca="false">B38+1</f>
        <v>2028</v>
      </c>
      <c r="D38" s="3" t="n">
        <f aca="false">C38+1</f>
        <v>2029</v>
      </c>
      <c r="E38" s="3" t="n">
        <f aca="false">D38+1</f>
        <v>2030</v>
      </c>
      <c r="F38" s="3" t="n">
        <f aca="false">E38+1</f>
        <v>2031</v>
      </c>
      <c r="H38" s="4"/>
    </row>
    <row r="39" customFormat="false" ht="13.8" hidden="false" customHeight="false" outlineLevel="0" collapsed="false">
      <c r="A39" s="5" t="s">
        <v>36</v>
      </c>
      <c r="B39" s="23" t="n">
        <v>0.35</v>
      </c>
      <c r="C39" s="23" t="n">
        <v>0.33</v>
      </c>
      <c r="D39" s="23" t="n">
        <v>0.3</v>
      </c>
      <c r="E39" s="23" t="n">
        <v>0.29</v>
      </c>
      <c r="F39" s="23" t="n">
        <v>0.29</v>
      </c>
      <c r="H39" s="4"/>
    </row>
    <row r="40" customFormat="false" ht="13.8" hidden="false" customHeight="false" outlineLevel="0" collapsed="false">
      <c r="A40" s="5" t="s">
        <v>37</v>
      </c>
      <c r="B40" s="23" t="n">
        <v>0.04</v>
      </c>
      <c r="C40" s="23" t="n">
        <v>0.04</v>
      </c>
      <c r="D40" s="23" t="n">
        <v>0.04</v>
      </c>
      <c r="E40" s="23" t="n">
        <v>0.04</v>
      </c>
      <c r="F40" s="23" t="n">
        <v>0.04</v>
      </c>
      <c r="H40" s="4"/>
    </row>
    <row r="41" customFormat="false" ht="13.8" hidden="false" customHeight="false" outlineLevel="0" collapsed="false">
      <c r="A41" s="5" t="s">
        <v>38</v>
      </c>
      <c r="B41" s="23" t="n">
        <v>0.015</v>
      </c>
      <c r="C41" s="23" t="n">
        <v>0.015</v>
      </c>
      <c r="D41" s="23" t="n">
        <v>0.015</v>
      </c>
      <c r="E41" s="23" t="n">
        <v>0.015</v>
      </c>
      <c r="F41" s="23" t="n">
        <v>0.015</v>
      </c>
      <c r="H41" s="4"/>
    </row>
    <row r="42" customFormat="false" ht="13.8" hidden="false" customHeight="false" outlineLevel="0" collapsed="false">
      <c r="A42" s="5" t="s">
        <v>39</v>
      </c>
      <c r="B42" s="23" t="n">
        <v>0.01</v>
      </c>
      <c r="C42" s="23" t="n">
        <v>0.01</v>
      </c>
      <c r="D42" s="23" t="n">
        <v>0.03</v>
      </c>
      <c r="E42" s="23" t="n">
        <v>0.03</v>
      </c>
      <c r="F42" s="23" t="n">
        <v>0.04</v>
      </c>
      <c r="H42" s="4"/>
    </row>
  </sheetData>
  <mergeCells count="1">
    <mergeCell ref="A1:F2"/>
  </mergeCells>
  <dataValidations count="2">
    <dataValidation allowBlank="true" errorStyle="stop" operator="equal" showDropDown="false" showErrorMessage="true" showInputMessage="false" sqref="B7" type="list">
      <formula1>'⚙️ Other Assumptions'!$A$8:$A$10</formula1>
      <formula2>0</formula2>
    </dataValidation>
    <dataValidation allowBlank="true" errorStyle="stop" operator="equal" showDropDown="false" showErrorMessage="true" showInputMessage="false" sqref="B13" type="list">
      <formula1>'⚙️ Other Assumptions'!$A$17:$A$19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63238"/>
    <pageSetUpPr fitToPage="false"/>
  </sheetPr>
  <dimension ref="A1:D36"/>
  <sheetViews>
    <sheetView showFormulas="false" showGridLines="false" showRowColHeaders="true" showZeros="true" rightToLeft="false" tabSelected="false" showOutlineSymbols="true" defaultGridColor="true" view="normal" topLeftCell="A1" colorId="64" zoomScale="120" zoomScaleNormal="120" zoomScalePageLayoutView="100" workbookViewId="0">
      <selection pane="topLeft" activeCell="C13" activeCellId="0" sqref="C13"/>
    </sheetView>
  </sheetViews>
  <sheetFormatPr defaultColWidth="8.71484375" defaultRowHeight="12.8" customHeight="false" zeroHeight="false" outlineLevelRow="0" outlineLevelCol="0"/>
  <cols>
    <col collapsed="false" customWidth="true" hidden="false" outlineLevel="0" max="1" min="1" style="4" width="2"/>
    <col collapsed="false" customWidth="true" hidden="false" outlineLevel="0" max="2" min="2" style="4" width="28"/>
    <col collapsed="false" customWidth="true" hidden="false" outlineLevel="0" max="3" min="3" style="4" width="55"/>
    <col collapsed="false" customWidth="true" hidden="false" outlineLevel="0" max="4" min="4" style="4" width="20"/>
  </cols>
  <sheetData>
    <row r="1" customFormat="false" ht="27.75" hidden="false" customHeight="true" outlineLevel="0" collapsed="false">
      <c r="A1" s="27" t="s">
        <v>40</v>
      </c>
      <c r="B1" s="27"/>
      <c r="C1" s="27"/>
      <c r="D1" s="27"/>
    </row>
    <row r="2" customFormat="false" ht="27.75" hidden="false" customHeight="true" outlineLevel="0" collapsed="false">
      <c r="A2" s="27"/>
      <c r="B2" s="27"/>
      <c r="C2" s="27"/>
      <c r="D2" s="27"/>
    </row>
    <row r="3" customFormat="false" ht="27.75" hidden="false" customHeight="true" outlineLevel="0" collapsed="false">
      <c r="A3" s="27"/>
      <c r="B3" s="27"/>
      <c r="C3" s="27"/>
      <c r="D3" s="27"/>
    </row>
    <row r="4" customFormat="false" ht="19.5" hidden="false" customHeight="true" outlineLevel="0" collapsed="false">
      <c r="A4" s="28" t="s">
        <v>41</v>
      </c>
      <c r="B4" s="28"/>
      <c r="C4" s="28"/>
      <c r="D4" s="28"/>
    </row>
    <row r="5" customFormat="false" ht="13.8" hidden="false" customHeight="false" outlineLevel="0" collapsed="false"/>
    <row r="6" customFormat="false" ht="13.8" hidden="false" customHeight="false" outlineLevel="0" collapsed="false">
      <c r="B6" s="29" t="s">
        <v>42</v>
      </c>
      <c r="C6" s="29"/>
      <c r="D6" s="30"/>
    </row>
    <row r="7" customFormat="false" ht="15" hidden="false" customHeight="true" outlineLevel="0" collapsed="false">
      <c r="B7" s="31" t="s">
        <v>43</v>
      </c>
      <c r="C7" s="32" t="s">
        <v>44</v>
      </c>
      <c r="D7" s="33"/>
    </row>
    <row r="8" customFormat="false" ht="15" hidden="false" customHeight="true" outlineLevel="0" collapsed="false">
      <c r="B8" s="34" t="s">
        <v>45</v>
      </c>
      <c r="C8" s="32" t="s">
        <v>46</v>
      </c>
      <c r="D8" s="35"/>
    </row>
    <row r="9" customFormat="false" ht="15" hidden="false" customHeight="true" outlineLevel="0" collapsed="false">
      <c r="B9" s="31" t="s">
        <v>47</v>
      </c>
      <c r="C9" s="32" t="s">
        <v>48</v>
      </c>
      <c r="D9" s="33"/>
    </row>
    <row r="10" customFormat="false" ht="15" hidden="false" customHeight="true" outlineLevel="0" collapsed="false">
      <c r="B10" s="34" t="s">
        <v>49</v>
      </c>
      <c r="C10" s="32" t="s">
        <v>50</v>
      </c>
      <c r="D10" s="35"/>
    </row>
    <row r="11" customFormat="false" ht="15" hidden="false" customHeight="true" outlineLevel="0" collapsed="false">
      <c r="B11" s="31" t="s">
        <v>51</v>
      </c>
      <c r="C11" s="32" t="s">
        <v>52</v>
      </c>
      <c r="D11" s="33"/>
    </row>
    <row r="12" customFormat="false" ht="15" hidden="false" customHeight="true" outlineLevel="0" collapsed="false">
      <c r="B12" s="34" t="s">
        <v>53</v>
      </c>
      <c r="C12" s="32" t="s">
        <v>54</v>
      </c>
      <c r="D12" s="35"/>
    </row>
    <row r="13" customFormat="false" ht="15" hidden="false" customHeight="true" outlineLevel="0" collapsed="false">
      <c r="B13" s="31" t="s">
        <v>55</v>
      </c>
      <c r="C13" s="32" t="s">
        <v>56</v>
      </c>
      <c r="D13" s="33"/>
    </row>
    <row r="14" customFormat="false" ht="15" hidden="false" customHeight="true" outlineLevel="0" collapsed="false">
      <c r="B14" s="34" t="s">
        <v>57</v>
      </c>
      <c r="C14" s="32" t="s">
        <v>58</v>
      </c>
      <c r="D14" s="35"/>
    </row>
    <row r="15" customFormat="false" ht="13.8" hidden="false" customHeight="false" outlineLevel="0" collapsed="false"/>
    <row r="16" customFormat="false" ht="13.8" hidden="false" customHeight="false" outlineLevel="0" collapsed="false">
      <c r="B16" s="29" t="s">
        <v>59</v>
      </c>
      <c r="C16" s="29"/>
      <c r="D16" s="36" t="s">
        <v>60</v>
      </c>
    </row>
    <row r="17" customFormat="false" ht="15" hidden="false" customHeight="true" outlineLevel="0" collapsed="false">
      <c r="B17" s="31" t="s">
        <v>61</v>
      </c>
      <c r="C17" s="37" t="s">
        <v>62</v>
      </c>
      <c r="D17" s="33"/>
    </row>
    <row r="18" customFormat="false" ht="15" hidden="false" customHeight="true" outlineLevel="0" collapsed="false">
      <c r="B18" s="34" t="s">
        <v>63</v>
      </c>
      <c r="C18" s="38" t="s">
        <v>64</v>
      </c>
      <c r="D18" s="35"/>
    </row>
    <row r="19" customFormat="false" ht="15" hidden="false" customHeight="true" outlineLevel="0" collapsed="false">
      <c r="B19" s="31" t="s">
        <v>65</v>
      </c>
      <c r="C19" s="37" t="s">
        <v>66</v>
      </c>
      <c r="D19" s="33"/>
    </row>
    <row r="20" customFormat="false" ht="15" hidden="false" customHeight="true" outlineLevel="0" collapsed="false">
      <c r="B20" s="34" t="s">
        <v>67</v>
      </c>
      <c r="C20" s="38" t="s">
        <v>68</v>
      </c>
      <c r="D20" s="35"/>
    </row>
    <row r="21" customFormat="false" ht="15" hidden="false" customHeight="true" outlineLevel="0" collapsed="false">
      <c r="B21" s="31" t="s">
        <v>69</v>
      </c>
      <c r="C21" s="37" t="s">
        <v>70</v>
      </c>
      <c r="D21" s="33"/>
    </row>
    <row r="22" customFormat="false" ht="15" hidden="false" customHeight="true" outlineLevel="0" collapsed="false">
      <c r="B22" s="34" t="s">
        <v>71</v>
      </c>
      <c r="C22" s="38" t="s">
        <v>72</v>
      </c>
      <c r="D22" s="35"/>
    </row>
    <row r="23" customFormat="false" ht="15" hidden="false" customHeight="true" outlineLevel="0" collapsed="false">
      <c r="B23" s="31" t="s">
        <v>73</v>
      </c>
      <c r="C23" s="37" t="s">
        <v>74</v>
      </c>
      <c r="D23" s="33"/>
    </row>
    <row r="24" customFormat="false" ht="15" hidden="false" customHeight="true" outlineLevel="0" collapsed="false">
      <c r="B24" s="34" t="s">
        <v>75</v>
      </c>
      <c r="C24" s="38" t="s">
        <v>76</v>
      </c>
      <c r="D24" s="35"/>
    </row>
    <row r="25" customFormat="false" ht="15" hidden="false" customHeight="true" outlineLevel="0" collapsed="false">
      <c r="B25" s="31" t="s">
        <v>77</v>
      </c>
      <c r="C25" s="37" t="s">
        <v>78</v>
      </c>
      <c r="D25" s="33"/>
    </row>
    <row r="26" customFormat="false" ht="15" hidden="false" customHeight="true" outlineLevel="0" collapsed="false">
      <c r="B26" s="34" t="s">
        <v>79</v>
      </c>
      <c r="C26" s="38" t="s">
        <v>80</v>
      </c>
      <c r="D26" s="35"/>
    </row>
    <row r="27" customFormat="false" ht="13.8" hidden="false" customHeight="false" outlineLevel="0" collapsed="false"/>
    <row r="28" customFormat="false" ht="13.8" hidden="false" customHeight="false" outlineLevel="0" collapsed="false">
      <c r="B28" s="29" t="s">
        <v>81</v>
      </c>
      <c r="C28" s="29"/>
      <c r="D28" s="30"/>
    </row>
    <row r="29" customFormat="false" ht="15" hidden="false" customHeight="true" outlineLevel="0" collapsed="false">
      <c r="B29" s="32" t="s">
        <v>82</v>
      </c>
      <c r="C29" s="39"/>
      <c r="D29" s="39"/>
    </row>
    <row r="30" customFormat="false" ht="15" hidden="false" customHeight="true" outlineLevel="0" collapsed="false">
      <c r="B30" s="38" t="s">
        <v>83</v>
      </c>
      <c r="C30" s="35"/>
      <c r="D30" s="35"/>
    </row>
    <row r="31" customFormat="false" ht="15" hidden="false" customHeight="true" outlineLevel="0" collapsed="false">
      <c r="B31" s="38" t="s">
        <v>84</v>
      </c>
      <c r="C31" s="35"/>
      <c r="D31" s="35"/>
    </row>
    <row r="32" customFormat="false" ht="15" hidden="false" customHeight="true" outlineLevel="0" collapsed="false">
      <c r="B32" s="38" t="s">
        <v>85</v>
      </c>
      <c r="C32" s="35"/>
      <c r="D32" s="35"/>
    </row>
    <row r="33" customFormat="false" ht="15" hidden="false" customHeight="true" outlineLevel="0" collapsed="false">
      <c r="B33" s="40" t="s">
        <v>86</v>
      </c>
      <c r="C33" s="41"/>
      <c r="D33" s="41"/>
    </row>
    <row r="34" customFormat="false" ht="15" hidden="false" customHeight="true" outlineLevel="0" collapsed="false">
      <c r="B34" s="37" t="s">
        <v>87</v>
      </c>
      <c r="C34" s="33"/>
      <c r="D34" s="33"/>
    </row>
    <row r="35" customFormat="false" ht="13.8" hidden="false" customHeight="false" outlineLevel="0" collapsed="false"/>
    <row r="36" customFormat="false" ht="39.75" hidden="false" customHeight="true" outlineLevel="0" collapsed="false">
      <c r="B36" s="42" t="s">
        <v>88</v>
      </c>
      <c r="C36" s="42"/>
      <c r="D36" s="42"/>
    </row>
  </sheetData>
  <mergeCells count="6">
    <mergeCell ref="A1:D3"/>
    <mergeCell ref="A4:D4"/>
    <mergeCell ref="B6:C6"/>
    <mergeCell ref="B16:C16"/>
    <mergeCell ref="B28:C28"/>
    <mergeCell ref="B36:D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3C34"/>
    <pageSetUpPr fitToPage="false"/>
  </sheetPr>
  <dimension ref="A1:E71"/>
  <sheetViews>
    <sheetView showFormulas="false" showGridLines="false" showRowColHeaders="true" showZeros="true" rightToLeft="false" tabSelected="false" showOutlineSymbols="true" defaultGridColor="true" view="normal" topLeftCell="A1" colorId="64" zoomScale="120" zoomScaleNormal="120" zoomScalePageLayoutView="100" workbookViewId="0">
      <pane xSplit="0" ySplit="3" topLeftCell="A39" activePane="bottomLeft" state="frozen"/>
      <selection pane="topLeft" activeCell="A1" activeCellId="0" sqref="A1"/>
      <selection pane="bottomLeft" activeCell="F33" activeCellId="0" sqref="F33"/>
    </sheetView>
  </sheetViews>
  <sheetFormatPr defaultColWidth="8.71484375" defaultRowHeight="12.8" customHeight="false" zeroHeight="false" outlineLevelRow="0" outlineLevelCol="0"/>
  <cols>
    <col collapsed="false" customWidth="true" hidden="false" outlineLevel="0" max="1" min="1" style="4" width="38"/>
    <col collapsed="false" customWidth="true" hidden="false" outlineLevel="0" max="2" min="2" style="4" width="20"/>
    <col collapsed="false" customWidth="true" hidden="false" outlineLevel="0" max="4" min="3" style="4" width="14"/>
    <col collapsed="false" customWidth="true" hidden="false" outlineLevel="0" max="5" min="5" style="4" width="32"/>
  </cols>
  <sheetData>
    <row r="1" customFormat="false" ht="30" hidden="false" customHeight="true" outlineLevel="0" collapsed="false">
      <c r="A1" s="43" t="s">
        <v>0</v>
      </c>
      <c r="B1" s="43"/>
      <c r="C1" s="43"/>
      <c r="D1" s="43"/>
      <c r="E1" s="43"/>
    </row>
    <row r="2" customFormat="false" ht="12" hidden="false" customHeight="true" outlineLevel="0" collapsed="false">
      <c r="A2" s="43"/>
      <c r="B2" s="43"/>
      <c r="C2" s="43"/>
      <c r="D2" s="43"/>
      <c r="E2" s="43"/>
    </row>
    <row r="3" customFormat="false" ht="15.75" hidden="false" customHeight="true" outlineLevel="0" collapsed="false">
      <c r="A3" s="44" t="s">
        <v>89</v>
      </c>
      <c r="B3" s="44" t="s">
        <v>90</v>
      </c>
      <c r="C3" s="44" t="s">
        <v>91</v>
      </c>
      <c r="D3" s="44" t="s">
        <v>92</v>
      </c>
      <c r="E3" s="44" t="s">
        <v>93</v>
      </c>
    </row>
    <row r="4" customFormat="false" ht="15.75" hidden="false" customHeight="true" outlineLevel="0" collapsed="false">
      <c r="A4" s="45" t="s">
        <v>94</v>
      </c>
      <c r="B4" s="45"/>
      <c r="C4" s="45"/>
      <c r="D4" s="45"/>
      <c r="E4" s="45"/>
    </row>
    <row r="5" customFormat="false" ht="15" hidden="false" customHeight="true" outlineLevel="0" collapsed="false">
      <c r="A5" s="38" t="s">
        <v>95</v>
      </c>
      <c r="B5" s="46"/>
      <c r="C5" s="47" t="s">
        <v>96</v>
      </c>
      <c r="D5" s="48"/>
      <c r="E5" s="49" t="s">
        <v>97</v>
      </c>
    </row>
    <row r="6" customFormat="false" ht="15" hidden="false" customHeight="true" outlineLevel="0" collapsed="false">
      <c r="A6" s="37" t="s">
        <v>98</v>
      </c>
      <c r="B6" s="46"/>
      <c r="C6" s="50" t="s">
        <v>99</v>
      </c>
      <c r="D6" s="51"/>
      <c r="E6" s="52" t="s">
        <v>100</v>
      </c>
    </row>
    <row r="7" customFormat="false" ht="15" hidden="false" customHeight="true" outlineLevel="0" collapsed="false">
      <c r="A7" s="38" t="s">
        <v>101</v>
      </c>
      <c r="B7" s="46" t="n">
        <v>30</v>
      </c>
      <c r="C7" s="47" t="s">
        <v>102</v>
      </c>
      <c r="D7" s="48" t="s">
        <v>103</v>
      </c>
      <c r="E7" s="49"/>
    </row>
    <row r="8" customFormat="false" ht="15" hidden="false" customHeight="true" outlineLevel="0" collapsed="false">
      <c r="A8" s="37" t="s">
        <v>104</v>
      </c>
      <c r="B8" s="46"/>
      <c r="C8" s="50"/>
      <c r="D8" s="51"/>
      <c r="E8" s="52" t="s">
        <v>105</v>
      </c>
    </row>
    <row r="9" customFormat="false" ht="15" hidden="false" customHeight="true" outlineLevel="0" collapsed="false">
      <c r="A9" s="38" t="s">
        <v>106</v>
      </c>
      <c r="B9" s="46" t="s">
        <v>107</v>
      </c>
      <c r="C9" s="47"/>
      <c r="D9" s="48"/>
      <c r="E9" s="49" t="s">
        <v>108</v>
      </c>
    </row>
    <row r="10" customFormat="false" ht="15.75" hidden="false" customHeight="true" outlineLevel="0" collapsed="false">
      <c r="A10" s="45" t="s">
        <v>109</v>
      </c>
      <c r="B10" s="45"/>
      <c r="C10" s="45"/>
      <c r="D10" s="45"/>
      <c r="E10" s="45"/>
    </row>
    <row r="11" customFormat="false" ht="15" hidden="false" customHeight="true" outlineLevel="0" collapsed="false">
      <c r="A11" s="38" t="s">
        <v>110</v>
      </c>
      <c r="B11" s="46"/>
      <c r="C11" s="47" t="s">
        <v>56</v>
      </c>
      <c r="D11" s="48"/>
      <c r="E11" s="49" t="s">
        <v>111</v>
      </c>
    </row>
    <row r="12" customFormat="false" ht="15" hidden="false" customHeight="true" outlineLevel="0" collapsed="false">
      <c r="A12" s="37" t="s">
        <v>112</v>
      </c>
      <c r="B12" s="53"/>
      <c r="C12" s="50" t="s">
        <v>113</v>
      </c>
      <c r="D12" s="51" t="s">
        <v>114</v>
      </c>
      <c r="E12" s="52" t="s">
        <v>115</v>
      </c>
    </row>
    <row r="13" customFormat="false" ht="15" hidden="false" customHeight="true" outlineLevel="0" collapsed="false">
      <c r="A13" s="38" t="s">
        <v>116</v>
      </c>
      <c r="B13" s="46"/>
      <c r="C13" s="47" t="s">
        <v>117</v>
      </c>
      <c r="D13" s="48"/>
      <c r="E13" s="49" t="s">
        <v>118</v>
      </c>
    </row>
    <row r="14" customFormat="false" ht="15" hidden="false" customHeight="true" outlineLevel="0" collapsed="false">
      <c r="A14" s="37" t="s">
        <v>119</v>
      </c>
      <c r="B14" s="46"/>
      <c r="C14" s="50" t="s">
        <v>117</v>
      </c>
      <c r="D14" s="51"/>
      <c r="E14" s="52" t="s">
        <v>120</v>
      </c>
    </row>
    <row r="15" customFormat="false" ht="15" hidden="false" customHeight="true" outlineLevel="0" collapsed="false">
      <c r="A15" s="38" t="s">
        <v>121</v>
      </c>
      <c r="B15" s="46"/>
      <c r="C15" s="47" t="s">
        <v>122</v>
      </c>
      <c r="D15" s="48"/>
      <c r="E15" s="49" t="s">
        <v>123</v>
      </c>
    </row>
    <row r="16" customFormat="false" ht="15" hidden="false" customHeight="true" outlineLevel="0" collapsed="false">
      <c r="A16" s="37" t="s">
        <v>124</v>
      </c>
      <c r="B16" s="53" t="n">
        <v>0.05</v>
      </c>
      <c r="C16" s="50" t="s">
        <v>18</v>
      </c>
      <c r="D16" s="51" t="s">
        <v>125</v>
      </c>
      <c r="E16" s="52" t="s">
        <v>126</v>
      </c>
    </row>
    <row r="17" customFormat="false" ht="15" hidden="false" customHeight="true" outlineLevel="0" collapsed="false">
      <c r="A17" s="38" t="s">
        <v>127</v>
      </c>
      <c r="B17" s="53" t="n">
        <v>0.1</v>
      </c>
      <c r="C17" s="47" t="s">
        <v>18</v>
      </c>
      <c r="D17" s="48" t="s">
        <v>125</v>
      </c>
      <c r="E17" s="49"/>
    </row>
    <row r="18" customFormat="false" ht="15" hidden="false" customHeight="true" outlineLevel="0" collapsed="false">
      <c r="A18" s="37" t="s">
        <v>128</v>
      </c>
      <c r="B18" s="53" t="n">
        <v>0.2</v>
      </c>
      <c r="C18" s="50" t="s">
        <v>18</v>
      </c>
      <c r="D18" s="51" t="s">
        <v>125</v>
      </c>
      <c r="E18" s="52"/>
    </row>
    <row r="19" customFormat="false" ht="15" hidden="false" customHeight="true" outlineLevel="0" collapsed="false">
      <c r="A19" s="38" t="s">
        <v>129</v>
      </c>
      <c r="B19" s="53" t="n">
        <v>0.35</v>
      </c>
      <c r="C19" s="47" t="s">
        <v>18</v>
      </c>
      <c r="D19" s="48" t="s">
        <v>125</v>
      </c>
      <c r="E19" s="49"/>
    </row>
    <row r="20" customFormat="false" ht="15" hidden="false" customHeight="true" outlineLevel="0" collapsed="false">
      <c r="A20" s="37" t="s">
        <v>130</v>
      </c>
      <c r="B20" s="53" t="n">
        <v>0.5</v>
      </c>
      <c r="C20" s="50" t="s">
        <v>18</v>
      </c>
      <c r="D20" s="51" t="s">
        <v>125</v>
      </c>
      <c r="E20" s="52"/>
    </row>
    <row r="21" customFormat="false" ht="15" hidden="false" customHeight="true" outlineLevel="0" collapsed="false">
      <c r="A21" s="38" t="s">
        <v>131</v>
      </c>
      <c r="B21" s="53" t="n">
        <v>0.7</v>
      </c>
      <c r="C21" s="47" t="s">
        <v>18</v>
      </c>
      <c r="D21" s="48" t="s">
        <v>125</v>
      </c>
      <c r="E21" s="49"/>
    </row>
    <row r="22" customFormat="false" ht="15" hidden="false" customHeight="true" outlineLevel="0" collapsed="false">
      <c r="A22" s="37" t="s">
        <v>132</v>
      </c>
      <c r="B22" s="46" t="s">
        <v>133</v>
      </c>
      <c r="C22" s="50"/>
      <c r="D22" s="51" t="s">
        <v>103</v>
      </c>
      <c r="E22" s="52" t="s">
        <v>134</v>
      </c>
    </row>
    <row r="23" customFormat="false" ht="15" hidden="false" customHeight="true" outlineLevel="0" collapsed="false">
      <c r="A23" s="38" t="s">
        <v>135</v>
      </c>
      <c r="B23" s="46" t="n">
        <v>1.2</v>
      </c>
      <c r="C23" s="47" t="s">
        <v>136</v>
      </c>
      <c r="D23" s="48" t="s">
        <v>103</v>
      </c>
      <c r="E23" s="49" t="s">
        <v>137</v>
      </c>
    </row>
    <row r="24" customFormat="false" ht="15" hidden="false" customHeight="true" outlineLevel="0" collapsed="false">
      <c r="A24" s="37" t="s">
        <v>138</v>
      </c>
      <c r="B24" s="46" t="n">
        <v>0.85</v>
      </c>
      <c r="C24" s="50" t="s">
        <v>136</v>
      </c>
      <c r="D24" s="51" t="s">
        <v>103</v>
      </c>
      <c r="E24" s="52" t="s">
        <v>139</v>
      </c>
    </row>
    <row r="25" customFormat="false" ht="15.75" hidden="false" customHeight="true" outlineLevel="0" collapsed="false">
      <c r="A25" s="45" t="s">
        <v>140</v>
      </c>
      <c r="B25" s="45"/>
      <c r="C25" s="45"/>
      <c r="D25" s="45"/>
      <c r="E25" s="45"/>
    </row>
    <row r="26" customFormat="false" ht="15" hidden="false" customHeight="true" outlineLevel="0" collapsed="false">
      <c r="A26" s="37" t="s">
        <v>141</v>
      </c>
      <c r="B26" s="53" t="n">
        <v>0.3</v>
      </c>
      <c r="C26" s="50" t="s">
        <v>142</v>
      </c>
      <c r="D26" s="51" t="s">
        <v>114</v>
      </c>
      <c r="E26" s="52" t="s">
        <v>143</v>
      </c>
    </row>
    <row r="27" customFormat="false" ht="15" hidden="false" customHeight="true" outlineLevel="0" collapsed="false">
      <c r="A27" s="38" t="s">
        <v>144</v>
      </c>
      <c r="B27" s="53" t="n">
        <v>0.2</v>
      </c>
      <c r="C27" s="47" t="s">
        <v>142</v>
      </c>
      <c r="D27" s="48" t="s">
        <v>103</v>
      </c>
      <c r="E27" s="49" t="s">
        <v>145</v>
      </c>
    </row>
    <row r="28" customFormat="false" ht="15" hidden="false" customHeight="true" outlineLevel="0" collapsed="false">
      <c r="A28" s="37" t="s">
        <v>146</v>
      </c>
      <c r="B28" s="53" t="n">
        <v>0.1</v>
      </c>
      <c r="C28" s="50" t="s">
        <v>113</v>
      </c>
      <c r="D28" s="51" t="s">
        <v>114</v>
      </c>
      <c r="E28" s="52" t="s">
        <v>147</v>
      </c>
    </row>
    <row r="29" customFormat="false" ht="15" hidden="false" customHeight="true" outlineLevel="0" collapsed="false">
      <c r="A29" s="38" t="s">
        <v>148</v>
      </c>
      <c r="B29" s="53" t="n">
        <v>0.65</v>
      </c>
      <c r="C29" s="47" t="s">
        <v>149</v>
      </c>
      <c r="D29" s="48" t="s">
        <v>103</v>
      </c>
      <c r="E29" s="49" t="s">
        <v>150</v>
      </c>
    </row>
    <row r="30" customFormat="false" ht="15.75" hidden="false" customHeight="true" outlineLevel="0" collapsed="false">
      <c r="A30" s="45" t="s">
        <v>151</v>
      </c>
      <c r="B30" s="45"/>
      <c r="C30" s="45"/>
      <c r="D30" s="45"/>
      <c r="E30" s="45"/>
    </row>
    <row r="31" customFormat="false" ht="15" hidden="false" customHeight="true" outlineLevel="0" collapsed="false">
      <c r="A31" s="38" t="s">
        <v>152</v>
      </c>
      <c r="B31" s="46"/>
      <c r="C31" s="47" t="s">
        <v>153</v>
      </c>
      <c r="D31" s="48" t="s">
        <v>103</v>
      </c>
      <c r="E31" s="49" t="s">
        <v>154</v>
      </c>
    </row>
    <row r="32" customFormat="false" ht="15" hidden="false" customHeight="true" outlineLevel="0" collapsed="false">
      <c r="A32" s="37" t="s">
        <v>155</v>
      </c>
      <c r="B32" s="46" t="n">
        <v>24000</v>
      </c>
      <c r="C32" s="50" t="s">
        <v>156</v>
      </c>
      <c r="D32" s="51" t="s">
        <v>103</v>
      </c>
      <c r="E32" s="52" t="s">
        <v>157</v>
      </c>
    </row>
    <row r="33" customFormat="false" ht="15" hidden="false" customHeight="true" outlineLevel="0" collapsed="false">
      <c r="A33" s="38" t="s">
        <v>158</v>
      </c>
      <c r="B33" s="46"/>
      <c r="C33" s="47" t="s">
        <v>159</v>
      </c>
      <c r="D33" s="48" t="s">
        <v>114</v>
      </c>
      <c r="E33" s="49" t="s">
        <v>160</v>
      </c>
    </row>
    <row r="34" customFormat="false" ht="15" hidden="false" customHeight="true" outlineLevel="0" collapsed="false">
      <c r="A34" s="37" t="s">
        <v>161</v>
      </c>
      <c r="B34" s="46"/>
      <c r="C34" s="50" t="s">
        <v>159</v>
      </c>
      <c r="D34" s="51" t="s">
        <v>114</v>
      </c>
      <c r="E34" s="52"/>
    </row>
    <row r="35" customFormat="false" ht="15" hidden="false" customHeight="true" outlineLevel="0" collapsed="false">
      <c r="A35" s="38" t="s">
        <v>162</v>
      </c>
      <c r="B35" s="46"/>
      <c r="C35" s="47" t="s">
        <v>159</v>
      </c>
      <c r="D35" s="48" t="s">
        <v>103</v>
      </c>
      <c r="E35" s="49"/>
    </row>
    <row r="36" customFormat="false" ht="15" hidden="false" customHeight="true" outlineLevel="0" collapsed="false">
      <c r="A36" s="37" t="s">
        <v>163</v>
      </c>
      <c r="B36" s="53" t="n">
        <v>0.1</v>
      </c>
      <c r="C36" s="50" t="s">
        <v>113</v>
      </c>
      <c r="D36" s="51" t="s">
        <v>114</v>
      </c>
      <c r="E36" s="52" t="s">
        <v>164</v>
      </c>
    </row>
    <row r="37" customFormat="false" ht="15.75" hidden="false" customHeight="true" outlineLevel="0" collapsed="false">
      <c r="A37" s="45" t="s">
        <v>165</v>
      </c>
      <c r="B37" s="45"/>
      <c r="C37" s="45"/>
      <c r="D37" s="45"/>
      <c r="E37" s="45"/>
    </row>
    <row r="38" customFormat="false" ht="15" hidden="false" customHeight="true" outlineLevel="0" collapsed="false">
      <c r="A38" s="37" t="s">
        <v>166</v>
      </c>
      <c r="B38" s="46"/>
      <c r="C38" s="50" t="s">
        <v>159</v>
      </c>
      <c r="D38" s="51" t="s">
        <v>103</v>
      </c>
      <c r="E38" s="52"/>
    </row>
    <row r="39" customFormat="false" ht="15" hidden="false" customHeight="true" outlineLevel="0" collapsed="false">
      <c r="A39" s="38" t="s">
        <v>167</v>
      </c>
      <c r="B39" s="46"/>
      <c r="C39" s="47" t="s">
        <v>56</v>
      </c>
      <c r="D39" s="48" t="s">
        <v>168</v>
      </c>
      <c r="E39" s="49"/>
    </row>
    <row r="40" customFormat="false" ht="15" hidden="false" customHeight="true" outlineLevel="0" collapsed="false">
      <c r="A40" s="37" t="s">
        <v>169</v>
      </c>
      <c r="B40" s="53" t="n">
        <v>0.15</v>
      </c>
      <c r="C40" s="50" t="s">
        <v>18</v>
      </c>
      <c r="D40" s="51" t="s">
        <v>103</v>
      </c>
      <c r="E40" s="52" t="s">
        <v>170</v>
      </c>
    </row>
    <row r="41" customFormat="false" ht="15" hidden="false" customHeight="true" outlineLevel="0" collapsed="false">
      <c r="A41" s="38" t="s">
        <v>171</v>
      </c>
      <c r="B41" s="53" t="n">
        <v>0.05</v>
      </c>
      <c r="C41" s="47" t="s">
        <v>172</v>
      </c>
      <c r="D41" s="48" t="s">
        <v>103</v>
      </c>
      <c r="E41" s="49" t="s">
        <v>173</v>
      </c>
    </row>
    <row r="42" customFormat="false" ht="15" hidden="false" customHeight="true" outlineLevel="0" collapsed="false">
      <c r="A42" s="37" t="s">
        <v>174</v>
      </c>
      <c r="B42" s="53" t="n">
        <v>0.2</v>
      </c>
      <c r="C42" s="50" t="s">
        <v>18</v>
      </c>
      <c r="D42" s="51" t="s">
        <v>103</v>
      </c>
      <c r="E42" s="52" t="s">
        <v>175</v>
      </c>
    </row>
    <row r="43" customFormat="false" ht="15" hidden="false" customHeight="true" outlineLevel="0" collapsed="false">
      <c r="A43" s="38" t="s">
        <v>176</v>
      </c>
      <c r="B43" s="53" t="n">
        <v>0.1</v>
      </c>
      <c r="C43" s="47" t="s">
        <v>113</v>
      </c>
      <c r="D43" s="48" t="s">
        <v>114</v>
      </c>
      <c r="E43" s="49"/>
    </row>
    <row r="44" customFormat="false" ht="15.75" hidden="false" customHeight="true" outlineLevel="0" collapsed="false">
      <c r="A44" s="45" t="s">
        <v>177</v>
      </c>
      <c r="B44" s="45"/>
      <c r="C44" s="45"/>
      <c r="D44" s="45"/>
      <c r="E44" s="45"/>
    </row>
    <row r="45" customFormat="false" ht="15" hidden="false" customHeight="true" outlineLevel="0" collapsed="false">
      <c r="A45" s="38" t="s">
        <v>178</v>
      </c>
      <c r="B45" s="53" t="n">
        <v>0.02</v>
      </c>
      <c r="C45" s="47" t="s">
        <v>18</v>
      </c>
      <c r="D45" s="48" t="s">
        <v>103</v>
      </c>
      <c r="E45" s="49" t="s">
        <v>179</v>
      </c>
    </row>
    <row r="46" customFormat="false" ht="15" hidden="false" customHeight="true" outlineLevel="0" collapsed="false">
      <c r="A46" s="37" t="s">
        <v>180</v>
      </c>
      <c r="B46" s="53" t="n">
        <v>0.03</v>
      </c>
      <c r="C46" s="50" t="s">
        <v>18</v>
      </c>
      <c r="D46" s="51" t="s">
        <v>103</v>
      </c>
      <c r="E46" s="52" t="s">
        <v>181</v>
      </c>
    </row>
    <row r="47" customFormat="false" ht="15" hidden="false" customHeight="true" outlineLevel="0" collapsed="false">
      <c r="A47" s="38" t="s">
        <v>182</v>
      </c>
      <c r="B47" s="46"/>
      <c r="C47" s="47" t="s">
        <v>159</v>
      </c>
      <c r="D47" s="48" t="s">
        <v>103</v>
      </c>
      <c r="E47" s="49"/>
    </row>
    <row r="48" customFormat="false" ht="15.75" hidden="false" customHeight="true" outlineLevel="0" collapsed="false">
      <c r="A48" s="45" t="s">
        <v>183</v>
      </c>
      <c r="B48" s="45"/>
      <c r="C48" s="45"/>
      <c r="D48" s="45"/>
      <c r="E48" s="45"/>
    </row>
    <row r="49" customFormat="false" ht="15" hidden="false" customHeight="true" outlineLevel="0" collapsed="false">
      <c r="A49" s="38" t="s">
        <v>184</v>
      </c>
      <c r="B49" s="46"/>
      <c r="C49" s="47" t="s">
        <v>56</v>
      </c>
      <c r="D49" s="48" t="s">
        <v>103</v>
      </c>
      <c r="E49" s="49" t="s">
        <v>185</v>
      </c>
    </row>
    <row r="50" customFormat="false" ht="15" hidden="false" customHeight="true" outlineLevel="0" collapsed="false">
      <c r="A50" s="37" t="s">
        <v>186</v>
      </c>
      <c r="B50" s="46" t="n">
        <v>36</v>
      </c>
      <c r="C50" s="50" t="s">
        <v>187</v>
      </c>
      <c r="D50" s="51" t="s">
        <v>103</v>
      </c>
      <c r="E50" s="52" t="s">
        <v>188</v>
      </c>
    </row>
    <row r="51" customFormat="false" ht="15" hidden="false" customHeight="true" outlineLevel="0" collapsed="false">
      <c r="A51" s="38" t="s">
        <v>189</v>
      </c>
      <c r="B51" s="46"/>
      <c r="C51" s="47" t="s">
        <v>56</v>
      </c>
      <c r="D51" s="48" t="s">
        <v>103</v>
      </c>
      <c r="E51" s="49" t="s">
        <v>190</v>
      </c>
    </row>
    <row r="52" customFormat="false" ht="15" hidden="false" customHeight="true" outlineLevel="0" collapsed="false">
      <c r="A52" s="37" t="s">
        <v>191</v>
      </c>
      <c r="B52" s="46"/>
      <c r="C52" s="50" t="s">
        <v>56</v>
      </c>
      <c r="D52" s="51" t="s">
        <v>103</v>
      </c>
      <c r="E52" s="52" t="s">
        <v>192</v>
      </c>
    </row>
    <row r="53" customFormat="false" ht="15" hidden="false" customHeight="true" outlineLevel="0" collapsed="false">
      <c r="A53" s="38" t="s">
        <v>193</v>
      </c>
      <c r="B53" s="46"/>
      <c r="C53" s="47" t="s">
        <v>56</v>
      </c>
      <c r="D53" s="48" t="s">
        <v>103</v>
      </c>
      <c r="E53" s="49" t="s">
        <v>194</v>
      </c>
    </row>
    <row r="54" customFormat="false" ht="15.75" hidden="false" customHeight="true" outlineLevel="0" collapsed="false">
      <c r="A54" s="45" t="s">
        <v>195</v>
      </c>
      <c r="B54" s="45"/>
      <c r="C54" s="45"/>
      <c r="D54" s="45"/>
      <c r="E54" s="45"/>
    </row>
    <row r="55" customFormat="false" ht="15" hidden="false" customHeight="true" outlineLevel="0" collapsed="false">
      <c r="A55" s="38" t="s">
        <v>196</v>
      </c>
      <c r="B55" s="46"/>
      <c r="C55" s="47" t="s">
        <v>56</v>
      </c>
      <c r="D55" s="48" t="s">
        <v>103</v>
      </c>
      <c r="E55" s="49"/>
    </row>
    <row r="56" customFormat="false" ht="15" hidden="false" customHeight="true" outlineLevel="0" collapsed="false">
      <c r="A56" s="37" t="s">
        <v>197</v>
      </c>
      <c r="B56" s="46"/>
      <c r="C56" s="50" t="s">
        <v>56</v>
      </c>
      <c r="D56" s="51" t="s">
        <v>103</v>
      </c>
      <c r="E56" s="52" t="s">
        <v>198</v>
      </c>
    </row>
    <row r="57" customFormat="false" ht="15" hidden="false" customHeight="true" outlineLevel="0" collapsed="false">
      <c r="A57" s="38" t="s">
        <v>199</v>
      </c>
      <c r="B57" s="53" t="n">
        <v>0.09</v>
      </c>
      <c r="C57" s="47" t="s">
        <v>113</v>
      </c>
      <c r="D57" s="48" t="s">
        <v>103</v>
      </c>
      <c r="E57" s="49" t="s">
        <v>200</v>
      </c>
    </row>
    <row r="58" customFormat="false" ht="15" hidden="false" customHeight="true" outlineLevel="0" collapsed="false">
      <c r="A58" s="37" t="s">
        <v>201</v>
      </c>
      <c r="B58" s="46" t="n">
        <v>36</v>
      </c>
      <c r="C58" s="50" t="s">
        <v>202</v>
      </c>
      <c r="D58" s="51" t="s">
        <v>103</v>
      </c>
      <c r="E58" s="52" t="s">
        <v>203</v>
      </c>
    </row>
    <row r="59" customFormat="false" ht="15" hidden="false" customHeight="true" outlineLevel="0" collapsed="false">
      <c r="A59" s="38" t="s">
        <v>204</v>
      </c>
      <c r="B59" s="46" t="n">
        <v>0</v>
      </c>
      <c r="C59" s="47" t="s">
        <v>202</v>
      </c>
      <c r="D59" s="48" t="s">
        <v>103</v>
      </c>
      <c r="E59" s="49" t="s">
        <v>205</v>
      </c>
    </row>
    <row r="60" customFormat="false" ht="15.75" hidden="false" customHeight="true" outlineLevel="0" collapsed="false">
      <c r="A60" s="45" t="s">
        <v>206</v>
      </c>
      <c r="B60" s="45"/>
      <c r="C60" s="45"/>
      <c r="D60" s="45"/>
      <c r="E60" s="45"/>
    </row>
    <row r="61" customFormat="false" ht="15" hidden="false" customHeight="true" outlineLevel="0" collapsed="false">
      <c r="A61" s="38" t="s">
        <v>207</v>
      </c>
      <c r="B61" s="53" t="n">
        <v>0.2</v>
      </c>
      <c r="C61" s="47" t="s">
        <v>18</v>
      </c>
      <c r="D61" s="48" t="s">
        <v>103</v>
      </c>
      <c r="E61" s="49" t="s">
        <v>208</v>
      </c>
    </row>
    <row r="62" customFormat="false" ht="15" hidden="false" customHeight="true" outlineLevel="0" collapsed="false">
      <c r="A62" s="37" t="s">
        <v>209</v>
      </c>
      <c r="B62" s="46" t="n">
        <v>2</v>
      </c>
      <c r="C62" s="50" t="s">
        <v>210</v>
      </c>
      <c r="D62" s="51" t="s">
        <v>103</v>
      </c>
      <c r="E62" s="52" t="s">
        <v>211</v>
      </c>
    </row>
    <row r="63" customFormat="false" ht="15" hidden="false" customHeight="true" outlineLevel="0" collapsed="false">
      <c r="A63" s="38" t="s">
        <v>212</v>
      </c>
      <c r="B63" s="46" t="n">
        <v>2</v>
      </c>
      <c r="C63" s="47" t="s">
        <v>210</v>
      </c>
      <c r="D63" s="48" t="s">
        <v>103</v>
      </c>
      <c r="E63" s="49" t="s">
        <v>213</v>
      </c>
    </row>
    <row r="64" customFormat="false" ht="15" hidden="false" customHeight="true" outlineLevel="0" collapsed="false">
      <c r="A64" s="37" t="s">
        <v>214</v>
      </c>
      <c r="B64" s="53" t="n">
        <v>0.08</v>
      </c>
      <c r="C64" s="50" t="s">
        <v>18</v>
      </c>
      <c r="D64" s="51" t="s">
        <v>103</v>
      </c>
      <c r="E64" s="52" t="s">
        <v>215</v>
      </c>
    </row>
    <row r="65" customFormat="false" ht="15.75" hidden="false" customHeight="true" outlineLevel="0" collapsed="false">
      <c r="A65" s="45" t="s">
        <v>216</v>
      </c>
      <c r="B65" s="45"/>
      <c r="C65" s="45"/>
      <c r="D65" s="45"/>
      <c r="E65" s="45"/>
    </row>
    <row r="66" customFormat="false" ht="15" hidden="false" customHeight="true" outlineLevel="0" collapsed="false">
      <c r="A66" s="37" t="s">
        <v>217</v>
      </c>
      <c r="B66" s="53" t="n">
        <v>0.32</v>
      </c>
      <c r="C66" s="50" t="s">
        <v>18</v>
      </c>
      <c r="D66" s="51" t="s">
        <v>103</v>
      </c>
      <c r="E66" s="52"/>
    </row>
    <row r="67" customFormat="false" ht="15" hidden="false" customHeight="true" outlineLevel="0" collapsed="false">
      <c r="A67" s="38" t="s">
        <v>218</v>
      </c>
      <c r="B67" s="53" t="n">
        <v>0.45</v>
      </c>
      <c r="C67" s="47" t="s">
        <v>18</v>
      </c>
      <c r="D67" s="48" t="s">
        <v>103</v>
      </c>
      <c r="E67" s="49"/>
    </row>
    <row r="68" customFormat="false" ht="15" hidden="false" customHeight="true" outlineLevel="0" collapsed="false">
      <c r="A68" s="37" t="s">
        <v>219</v>
      </c>
      <c r="B68" s="53" t="n">
        <v>0.15</v>
      </c>
      <c r="C68" s="50" t="s">
        <v>18</v>
      </c>
      <c r="D68" s="51" t="s">
        <v>103</v>
      </c>
      <c r="E68" s="52"/>
    </row>
    <row r="69" customFormat="false" ht="15" hidden="false" customHeight="true" outlineLevel="0" collapsed="false">
      <c r="A69" s="38" t="s">
        <v>220</v>
      </c>
      <c r="B69" s="46" t="n">
        <v>24</v>
      </c>
      <c r="C69" s="47" t="s">
        <v>202</v>
      </c>
      <c r="D69" s="48" t="s">
        <v>103</v>
      </c>
      <c r="E69" s="49" t="s">
        <v>221</v>
      </c>
    </row>
    <row r="70" customFormat="false" ht="13.8" hidden="false" customHeight="false" outlineLevel="0" collapsed="false"/>
    <row r="71" customFormat="false" ht="30" hidden="false" customHeight="true" outlineLevel="0" collapsed="false">
      <c r="A71" s="42" t="s">
        <v>222</v>
      </c>
      <c r="B71" s="42"/>
      <c r="C71" s="42"/>
      <c r="D71" s="42"/>
      <c r="E71" s="42"/>
    </row>
  </sheetData>
  <mergeCells count="12">
    <mergeCell ref="A1:E2"/>
    <mergeCell ref="A4:E4"/>
    <mergeCell ref="A10:E10"/>
    <mergeCell ref="A25:E25"/>
    <mergeCell ref="A30:E30"/>
    <mergeCell ref="A37:E37"/>
    <mergeCell ref="A44:E44"/>
    <mergeCell ref="A48:E48"/>
    <mergeCell ref="A54:E54"/>
    <mergeCell ref="A60:E60"/>
    <mergeCell ref="A65:E65"/>
    <mergeCell ref="A71:E7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6B50"/>
    <pageSetUpPr fitToPage="false"/>
  </sheetPr>
  <dimension ref="A1:XFD33"/>
  <sheetViews>
    <sheetView showFormulas="false" showGridLines="false" showRowColHeaders="true" showZeros="true" rightToLeft="false" tabSelected="false" showOutlineSymbols="true" defaultGridColor="true" view="normal" topLeftCell="A1" colorId="64" zoomScale="120" zoomScaleNormal="12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H28" activeCellId="0" sqref="H28"/>
    </sheetView>
  </sheetViews>
  <sheetFormatPr defaultColWidth="8.71484375" defaultRowHeight="13.8" customHeight="false" zeroHeight="false" outlineLevelRow="0" outlineLevelCol="0"/>
  <cols>
    <col collapsed="false" customWidth="true" hidden="false" outlineLevel="0" max="1" min="1" style="4" width="48.4"/>
    <col collapsed="false" customWidth="true" hidden="false" outlineLevel="0" max="2" min="2" style="4" width="26.05"/>
    <col collapsed="false" customWidth="true" hidden="false" outlineLevel="0" max="36" min="3" style="4" width="11.18"/>
    <col collapsed="false" customWidth="true" hidden="false" outlineLevel="0" max="62" min="37" style="4" width="12.24"/>
    <col collapsed="false" customWidth="true" hidden="false" outlineLevel="0" max="16384" min="16384" style="4" width="11.53"/>
  </cols>
  <sheetData>
    <row r="1" customFormat="false" ht="30" hidden="false" customHeight="true" outlineLevel="0" collapsed="false">
      <c r="A1" s="54" t="s">
        <v>223</v>
      </c>
      <c r="B1" s="54"/>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row>
    <row r="2" customFormat="false" ht="30" hidden="false" customHeight="true" outlineLevel="0" collapsed="false">
      <c r="A2" s="43"/>
      <c r="B2" s="55"/>
      <c r="C2" s="55"/>
      <c r="D2" s="55" t="n">
        <v>1</v>
      </c>
      <c r="E2" s="55" t="n">
        <v>2</v>
      </c>
      <c r="F2" s="55" t="n">
        <v>3</v>
      </c>
      <c r="G2" s="55" t="n">
        <v>4</v>
      </c>
      <c r="H2" s="55" t="n">
        <v>5</v>
      </c>
      <c r="I2" s="55" t="n">
        <v>6</v>
      </c>
      <c r="J2" s="55" t="n">
        <v>7</v>
      </c>
      <c r="K2" s="55" t="n">
        <v>8</v>
      </c>
      <c r="L2" s="55" t="n">
        <v>9</v>
      </c>
      <c r="M2" s="55" t="n">
        <v>10</v>
      </c>
      <c r="N2" s="55" t="n">
        <v>11</v>
      </c>
      <c r="O2" s="55" t="n">
        <v>12</v>
      </c>
      <c r="P2" s="55" t="n">
        <v>13</v>
      </c>
      <c r="Q2" s="55" t="n">
        <v>14</v>
      </c>
      <c r="R2" s="55" t="n">
        <v>15</v>
      </c>
      <c r="S2" s="55" t="n">
        <v>16</v>
      </c>
      <c r="T2" s="55" t="n">
        <v>17</v>
      </c>
      <c r="U2" s="55" t="n">
        <v>18</v>
      </c>
      <c r="V2" s="55" t="n">
        <v>19</v>
      </c>
      <c r="W2" s="55" t="n">
        <v>20</v>
      </c>
      <c r="X2" s="55" t="n">
        <v>21</v>
      </c>
      <c r="Y2" s="55" t="n">
        <v>22</v>
      </c>
      <c r="Z2" s="55" t="n">
        <v>23</v>
      </c>
      <c r="AA2" s="55" t="n">
        <v>24</v>
      </c>
      <c r="AB2" s="55" t="n">
        <v>25</v>
      </c>
      <c r="AC2" s="55" t="n">
        <v>26</v>
      </c>
      <c r="AD2" s="55" t="n">
        <v>27</v>
      </c>
      <c r="AE2" s="55" t="n">
        <v>28</v>
      </c>
      <c r="AF2" s="55" t="n">
        <v>29</v>
      </c>
      <c r="AG2" s="55" t="n">
        <v>30</v>
      </c>
      <c r="AH2" s="55" t="n">
        <v>31</v>
      </c>
      <c r="AI2" s="55" t="n">
        <v>32</v>
      </c>
      <c r="AJ2" s="55" t="n">
        <v>33</v>
      </c>
      <c r="AK2" s="55" t="n">
        <v>34</v>
      </c>
      <c r="AL2" s="55" t="n">
        <v>35</v>
      </c>
      <c r="AM2" s="55" t="n">
        <v>36</v>
      </c>
      <c r="AN2" s="55" t="n">
        <v>37</v>
      </c>
      <c r="AO2" s="55" t="n">
        <v>38</v>
      </c>
      <c r="AP2" s="55" t="n">
        <v>39</v>
      </c>
      <c r="AQ2" s="55" t="n">
        <v>40</v>
      </c>
      <c r="AR2" s="55" t="n">
        <v>41</v>
      </c>
      <c r="AS2" s="55" t="n">
        <v>42</v>
      </c>
      <c r="AT2" s="55" t="n">
        <v>43</v>
      </c>
      <c r="AU2" s="55" t="n">
        <v>44</v>
      </c>
      <c r="AV2" s="55" t="n">
        <v>45</v>
      </c>
      <c r="AW2" s="55" t="n">
        <v>46</v>
      </c>
      <c r="AX2" s="55" t="n">
        <v>47</v>
      </c>
      <c r="AY2" s="55" t="n">
        <v>48</v>
      </c>
      <c r="AZ2" s="55" t="n">
        <v>49</v>
      </c>
      <c r="BA2" s="55" t="n">
        <v>50</v>
      </c>
      <c r="BB2" s="55" t="n">
        <v>51</v>
      </c>
      <c r="BC2" s="55" t="n">
        <v>52</v>
      </c>
      <c r="BD2" s="55" t="n">
        <v>53</v>
      </c>
      <c r="BE2" s="55" t="n">
        <v>54</v>
      </c>
      <c r="BF2" s="55" t="n">
        <v>55</v>
      </c>
      <c r="BG2" s="55" t="n">
        <v>56</v>
      </c>
      <c r="BH2" s="55" t="n">
        <v>57</v>
      </c>
      <c r="BI2" s="55" t="n">
        <v>58</v>
      </c>
      <c r="BJ2" s="55" t="n">
        <v>59</v>
      </c>
    </row>
    <row r="3" customFormat="false" ht="30" hidden="false" customHeight="true" outlineLevel="0" collapsed="false">
      <c r="A3" s="43"/>
      <c r="B3" s="55"/>
      <c r="C3" s="55" t="n">
        <f aca="false">YEAR(C5)-YEAR('⚙️ Assumptions'!$B$6) + 1</f>
        <v>1</v>
      </c>
      <c r="D3" s="55" t="n">
        <f aca="false">YEAR(D5)-YEAR('⚙️ Assumptions'!$B$6) + 1</f>
        <v>1</v>
      </c>
      <c r="E3" s="55" t="n">
        <f aca="false">YEAR(E5)-YEAR('⚙️ Assumptions'!$B$6) + 1</f>
        <v>1</v>
      </c>
      <c r="F3" s="55" t="n">
        <f aca="false">YEAR(F5)-YEAR('⚙️ Assumptions'!$B$6) + 1</f>
        <v>2</v>
      </c>
      <c r="G3" s="55" t="n">
        <f aca="false">YEAR(G5)-YEAR('⚙️ Assumptions'!$B$6) + 1</f>
        <v>2</v>
      </c>
      <c r="H3" s="55" t="n">
        <f aca="false">YEAR(H5)-YEAR('⚙️ Assumptions'!$B$6) + 1</f>
        <v>2</v>
      </c>
      <c r="I3" s="55" t="n">
        <f aca="false">YEAR(I5)-YEAR('⚙️ Assumptions'!$B$6) + 1</f>
        <v>2</v>
      </c>
      <c r="J3" s="55" t="n">
        <f aca="false">YEAR(J5)-YEAR('⚙️ Assumptions'!$B$6) + 1</f>
        <v>2</v>
      </c>
      <c r="K3" s="55" t="n">
        <f aca="false">YEAR(K5)-YEAR('⚙️ Assumptions'!$B$6) + 1</f>
        <v>2</v>
      </c>
      <c r="L3" s="55" t="n">
        <f aca="false">YEAR(L5)-YEAR('⚙️ Assumptions'!$B$6) + 1</f>
        <v>2</v>
      </c>
      <c r="M3" s="55" t="n">
        <f aca="false">YEAR(M5)-YEAR('⚙️ Assumptions'!$B$6) + 1</f>
        <v>2</v>
      </c>
      <c r="N3" s="55" t="n">
        <f aca="false">YEAR(N5)-YEAR('⚙️ Assumptions'!$B$6) + 1</f>
        <v>2</v>
      </c>
      <c r="O3" s="55" t="n">
        <f aca="false">YEAR(O5)-YEAR('⚙️ Assumptions'!$B$6) + 1</f>
        <v>2</v>
      </c>
      <c r="P3" s="55" t="n">
        <f aca="false">YEAR(P5)-YEAR('⚙️ Assumptions'!$B$6) + 1</f>
        <v>2</v>
      </c>
      <c r="Q3" s="55" t="n">
        <f aca="false">YEAR(Q5)-YEAR('⚙️ Assumptions'!$B$6) + 1</f>
        <v>2</v>
      </c>
      <c r="R3" s="55" t="n">
        <f aca="false">YEAR(R5)-YEAR('⚙️ Assumptions'!$B$6) + 1</f>
        <v>3</v>
      </c>
      <c r="S3" s="55" t="n">
        <f aca="false">YEAR(S5)-YEAR('⚙️ Assumptions'!$B$6) + 1</f>
        <v>3</v>
      </c>
      <c r="T3" s="55" t="n">
        <f aca="false">YEAR(T5)-YEAR('⚙️ Assumptions'!$B$6) + 1</f>
        <v>3</v>
      </c>
      <c r="U3" s="55" t="n">
        <f aca="false">YEAR(U5)-YEAR('⚙️ Assumptions'!$B$6) + 1</f>
        <v>3</v>
      </c>
      <c r="V3" s="55" t="n">
        <f aca="false">YEAR(V5)-YEAR('⚙️ Assumptions'!$B$6) + 1</f>
        <v>3</v>
      </c>
      <c r="W3" s="55" t="n">
        <f aca="false">YEAR(W5)-YEAR('⚙️ Assumptions'!$B$6) + 1</f>
        <v>3</v>
      </c>
      <c r="X3" s="55" t="n">
        <f aca="false">YEAR(X5)-YEAR('⚙️ Assumptions'!$B$6) + 1</f>
        <v>3</v>
      </c>
      <c r="Y3" s="55" t="n">
        <f aca="false">YEAR(Y5)-YEAR('⚙️ Assumptions'!$B$6) + 1</f>
        <v>3</v>
      </c>
      <c r="Z3" s="55" t="n">
        <f aca="false">YEAR(Z5)-YEAR('⚙️ Assumptions'!$B$6) + 1</f>
        <v>3</v>
      </c>
      <c r="AA3" s="55" t="n">
        <f aca="false">YEAR(AA5)-YEAR('⚙️ Assumptions'!$B$6) + 1</f>
        <v>3</v>
      </c>
      <c r="AB3" s="55" t="n">
        <f aca="false">YEAR(AB5)-YEAR('⚙️ Assumptions'!$B$6) + 1</f>
        <v>3</v>
      </c>
      <c r="AC3" s="55" t="n">
        <f aca="false">YEAR(AC5)-YEAR('⚙️ Assumptions'!$B$6) + 1</f>
        <v>3</v>
      </c>
      <c r="AD3" s="55" t="n">
        <f aca="false">YEAR(AD5)-YEAR('⚙️ Assumptions'!$B$6) + 1</f>
        <v>4</v>
      </c>
      <c r="AE3" s="55" t="n">
        <f aca="false">YEAR(AE5)-YEAR('⚙️ Assumptions'!$B$6) + 1</f>
        <v>4</v>
      </c>
      <c r="AF3" s="55" t="n">
        <f aca="false">YEAR(AF5)-YEAR('⚙️ Assumptions'!$B$6) + 1</f>
        <v>4</v>
      </c>
      <c r="AG3" s="55" t="n">
        <f aca="false">YEAR(AG5)-YEAR('⚙️ Assumptions'!$B$6) + 1</f>
        <v>4</v>
      </c>
      <c r="AH3" s="55" t="n">
        <f aca="false">YEAR(AH5)-YEAR('⚙️ Assumptions'!$B$6) + 1</f>
        <v>4</v>
      </c>
      <c r="AI3" s="55" t="n">
        <f aca="false">YEAR(AI5)-YEAR('⚙️ Assumptions'!$B$6) + 1</f>
        <v>4</v>
      </c>
      <c r="AJ3" s="55" t="n">
        <f aca="false">YEAR(AJ5)-YEAR('⚙️ Assumptions'!$B$6) + 1</f>
        <v>4</v>
      </c>
      <c r="AK3" s="55" t="n">
        <f aca="false">YEAR(AK5)-YEAR('⚙️ Assumptions'!$B$6) + 1</f>
        <v>4</v>
      </c>
      <c r="AL3" s="55" t="n">
        <f aca="false">YEAR(AL5)-YEAR('⚙️ Assumptions'!$B$6) + 1</f>
        <v>4</v>
      </c>
      <c r="AM3" s="55" t="n">
        <f aca="false">YEAR(AM5)-YEAR('⚙️ Assumptions'!$B$6) + 1</f>
        <v>4</v>
      </c>
      <c r="AN3" s="55" t="n">
        <f aca="false">YEAR(AN5)-YEAR('⚙️ Assumptions'!$B$6) + 1</f>
        <v>4</v>
      </c>
      <c r="AO3" s="55" t="n">
        <f aca="false">YEAR(AO5)-YEAR('⚙️ Assumptions'!$B$6) + 1</f>
        <v>4</v>
      </c>
      <c r="AP3" s="55" t="n">
        <f aca="false">YEAR(AP5)-YEAR('⚙️ Assumptions'!$B$6) + 1</f>
        <v>5</v>
      </c>
      <c r="AQ3" s="55" t="n">
        <f aca="false">YEAR(AQ5)-YEAR('⚙️ Assumptions'!$B$6) + 1</f>
        <v>5</v>
      </c>
      <c r="AR3" s="55" t="n">
        <f aca="false">YEAR(AR5)-YEAR('⚙️ Assumptions'!$B$6) + 1</f>
        <v>5</v>
      </c>
      <c r="AS3" s="55" t="n">
        <f aca="false">YEAR(AS5)-YEAR('⚙️ Assumptions'!$B$6) + 1</f>
        <v>5</v>
      </c>
      <c r="AT3" s="55" t="n">
        <f aca="false">YEAR(AT5)-YEAR('⚙️ Assumptions'!$B$6) + 1</f>
        <v>5</v>
      </c>
      <c r="AU3" s="55" t="n">
        <f aca="false">YEAR(AU5)-YEAR('⚙️ Assumptions'!$B$6) + 1</f>
        <v>5</v>
      </c>
      <c r="AV3" s="55" t="n">
        <f aca="false">YEAR(AV5)-YEAR('⚙️ Assumptions'!$B$6) + 1</f>
        <v>5</v>
      </c>
      <c r="AW3" s="55" t="n">
        <f aca="false">YEAR(AW5)-YEAR('⚙️ Assumptions'!$B$6) + 1</f>
        <v>5</v>
      </c>
      <c r="AX3" s="55" t="n">
        <f aca="false">YEAR(AX5)-YEAR('⚙️ Assumptions'!$B$6) + 1</f>
        <v>5</v>
      </c>
      <c r="AY3" s="55" t="n">
        <f aca="false">YEAR(AY5)-YEAR('⚙️ Assumptions'!$B$6) + 1</f>
        <v>5</v>
      </c>
      <c r="AZ3" s="55" t="n">
        <f aca="false">YEAR(AZ5)-YEAR('⚙️ Assumptions'!$B$6) + 1</f>
        <v>5</v>
      </c>
      <c r="BA3" s="55" t="n">
        <f aca="false">YEAR(BA5)-YEAR('⚙️ Assumptions'!$B$6) + 1</f>
        <v>5</v>
      </c>
      <c r="BB3" s="55" t="n">
        <f aca="false">YEAR(BB5)-YEAR('⚙️ Assumptions'!$B$6) + 1</f>
        <v>6</v>
      </c>
      <c r="BC3" s="55" t="n">
        <f aca="false">YEAR(BC5)-YEAR('⚙️ Assumptions'!$B$6) + 1</f>
        <v>6</v>
      </c>
      <c r="BD3" s="55" t="n">
        <f aca="false">YEAR(BD5)-YEAR('⚙️ Assumptions'!$B$6) + 1</f>
        <v>6</v>
      </c>
      <c r="BE3" s="55" t="n">
        <f aca="false">YEAR(BE5)-YEAR('⚙️ Assumptions'!$B$6) + 1</f>
        <v>6</v>
      </c>
      <c r="BF3" s="55" t="n">
        <f aca="false">YEAR(BF5)-YEAR('⚙️ Assumptions'!$B$6) + 1</f>
        <v>6</v>
      </c>
      <c r="BG3" s="55" t="n">
        <f aca="false">YEAR(BG5)-YEAR('⚙️ Assumptions'!$B$6) + 1</f>
        <v>6</v>
      </c>
      <c r="BH3" s="55" t="n">
        <f aca="false">YEAR(BH5)-YEAR('⚙️ Assumptions'!$B$6) + 1</f>
        <v>6</v>
      </c>
      <c r="BI3" s="55" t="n">
        <f aca="false">YEAR(BI5)-YEAR('⚙️ Assumptions'!$B$6) + 1</f>
        <v>6</v>
      </c>
      <c r="BJ3" s="55" t="n">
        <f aca="false">YEAR(BJ5)-YEAR('⚙️ Assumptions'!$B$6) + 1</f>
        <v>6</v>
      </c>
    </row>
    <row r="4" customFormat="false" ht="30" hidden="false" customHeight="true" outlineLevel="0" collapsed="false">
      <c r="A4" s="43"/>
      <c r="B4" s="55"/>
      <c r="C4" s="55" t="n">
        <v>1</v>
      </c>
      <c r="D4" s="55" t="n">
        <v>2</v>
      </c>
      <c r="E4" s="55" t="n">
        <v>3</v>
      </c>
      <c r="F4" s="55" t="n">
        <v>4</v>
      </c>
      <c r="G4" s="55" t="n">
        <v>5</v>
      </c>
      <c r="H4" s="55" t="n">
        <v>6</v>
      </c>
      <c r="I4" s="55" t="n">
        <v>7</v>
      </c>
      <c r="J4" s="55" t="n">
        <v>8</v>
      </c>
      <c r="K4" s="55" t="n">
        <v>9</v>
      </c>
      <c r="L4" s="55" t="n">
        <v>10</v>
      </c>
      <c r="M4" s="55" t="n">
        <v>11</v>
      </c>
      <c r="N4" s="55" t="n">
        <v>12</v>
      </c>
      <c r="O4" s="55" t="n">
        <v>13</v>
      </c>
      <c r="P4" s="55" t="n">
        <v>14</v>
      </c>
      <c r="Q4" s="55" t="n">
        <v>15</v>
      </c>
      <c r="R4" s="55" t="n">
        <v>16</v>
      </c>
      <c r="S4" s="55" t="n">
        <v>17</v>
      </c>
      <c r="T4" s="55" t="n">
        <v>18</v>
      </c>
      <c r="U4" s="55" t="n">
        <v>19</v>
      </c>
      <c r="V4" s="55" t="n">
        <v>20</v>
      </c>
      <c r="W4" s="55" t="n">
        <v>21</v>
      </c>
      <c r="X4" s="55" t="n">
        <v>22</v>
      </c>
      <c r="Y4" s="55" t="n">
        <v>23</v>
      </c>
      <c r="Z4" s="55" t="n">
        <v>24</v>
      </c>
      <c r="AA4" s="55" t="n">
        <v>25</v>
      </c>
      <c r="AB4" s="55" t="n">
        <v>26</v>
      </c>
      <c r="AC4" s="55" t="n">
        <v>27</v>
      </c>
      <c r="AD4" s="55" t="n">
        <v>28</v>
      </c>
      <c r="AE4" s="55" t="n">
        <v>29</v>
      </c>
      <c r="AF4" s="55" t="n">
        <v>30</v>
      </c>
      <c r="AG4" s="55" t="n">
        <v>31</v>
      </c>
      <c r="AH4" s="55" t="n">
        <v>32</v>
      </c>
      <c r="AI4" s="55" t="n">
        <v>33</v>
      </c>
      <c r="AJ4" s="55" t="n">
        <v>34</v>
      </c>
      <c r="AK4" s="55" t="n">
        <v>35</v>
      </c>
      <c r="AL4" s="55" t="n">
        <v>36</v>
      </c>
      <c r="AM4" s="55" t="n">
        <v>37</v>
      </c>
      <c r="AN4" s="55" t="n">
        <v>38</v>
      </c>
      <c r="AO4" s="55" t="n">
        <v>39</v>
      </c>
      <c r="AP4" s="55" t="n">
        <v>40</v>
      </c>
      <c r="AQ4" s="55" t="n">
        <v>41</v>
      </c>
      <c r="AR4" s="55" t="n">
        <v>42</v>
      </c>
      <c r="AS4" s="55" t="n">
        <v>43</v>
      </c>
      <c r="AT4" s="55" t="n">
        <v>44</v>
      </c>
      <c r="AU4" s="55" t="n">
        <v>45</v>
      </c>
      <c r="AV4" s="55" t="n">
        <v>46</v>
      </c>
      <c r="AW4" s="55" t="n">
        <v>47</v>
      </c>
      <c r="AX4" s="55" t="n">
        <v>48</v>
      </c>
      <c r="AY4" s="55" t="n">
        <v>49</v>
      </c>
      <c r="AZ4" s="55" t="n">
        <v>50</v>
      </c>
      <c r="BA4" s="55" t="n">
        <v>51</v>
      </c>
      <c r="BB4" s="55" t="n">
        <v>52</v>
      </c>
      <c r="BC4" s="55" t="n">
        <v>53</v>
      </c>
      <c r="BD4" s="55" t="n">
        <v>54</v>
      </c>
      <c r="BE4" s="55" t="n">
        <v>55</v>
      </c>
      <c r="BF4" s="55" t="n">
        <v>56</v>
      </c>
      <c r="BG4" s="55" t="n">
        <v>57</v>
      </c>
      <c r="BH4" s="55" t="n">
        <v>58</v>
      </c>
      <c r="BI4" s="55" t="n">
        <v>59</v>
      </c>
      <c r="BJ4" s="55" t="n">
        <v>60</v>
      </c>
    </row>
    <row r="5" customFormat="false" ht="21.75" hidden="false" customHeight="true" outlineLevel="0" collapsed="false">
      <c r="A5" s="56" t="s">
        <v>224</v>
      </c>
      <c r="B5" s="57" t="s">
        <v>225</v>
      </c>
      <c r="C5" s="58" t="n">
        <f aca="false">'⚙️ Assumptions'!B6</f>
        <v>46661</v>
      </c>
      <c r="D5" s="58" t="n">
        <f aca="false">EDATE(C$5,$D$2)</f>
        <v>46692</v>
      </c>
      <c r="E5" s="58" t="n">
        <f aca="false">EDATE($C$5,E2)</f>
        <v>46722</v>
      </c>
      <c r="F5" s="58" t="n">
        <f aca="false">EDATE($C$5,F2)</f>
        <v>46753</v>
      </c>
      <c r="G5" s="58" t="n">
        <f aca="false">EDATE($C$5,G2)</f>
        <v>46784</v>
      </c>
      <c r="H5" s="58" t="n">
        <f aca="false">EDATE($C$5,H2)</f>
        <v>46813</v>
      </c>
      <c r="I5" s="58" t="n">
        <f aca="false">EDATE($C$5,I2)</f>
        <v>46844</v>
      </c>
      <c r="J5" s="58" t="n">
        <f aca="false">EDATE($C$5,J2)</f>
        <v>46874</v>
      </c>
      <c r="K5" s="58" t="n">
        <f aca="false">EDATE($C$5,K2)</f>
        <v>46905</v>
      </c>
      <c r="L5" s="58" t="n">
        <f aca="false">EDATE($C$5,L2)</f>
        <v>46935</v>
      </c>
      <c r="M5" s="58" t="n">
        <f aca="false">EDATE($C$5,M2)</f>
        <v>46966</v>
      </c>
      <c r="N5" s="58" t="n">
        <f aca="false">EDATE($C$5,N2)</f>
        <v>46997</v>
      </c>
      <c r="O5" s="58" t="n">
        <f aca="false">EDATE($C$5,O2)</f>
        <v>47027</v>
      </c>
      <c r="P5" s="58" t="n">
        <f aca="false">EDATE($C$5,P2)</f>
        <v>47058</v>
      </c>
      <c r="Q5" s="58" t="n">
        <f aca="false">EDATE($C$5,Q2)</f>
        <v>47088</v>
      </c>
      <c r="R5" s="58" t="n">
        <f aca="false">EDATE($C$5,R2)</f>
        <v>47119</v>
      </c>
      <c r="S5" s="58" t="n">
        <f aca="false">EDATE($C$5,S2)</f>
        <v>47150</v>
      </c>
      <c r="T5" s="58" t="n">
        <f aca="false">EDATE($C$5,T2)</f>
        <v>47178</v>
      </c>
      <c r="U5" s="58" t="n">
        <f aca="false">EDATE($C$5,U2)</f>
        <v>47209</v>
      </c>
      <c r="V5" s="58" t="n">
        <f aca="false">EDATE($C$5,V2)</f>
        <v>47239</v>
      </c>
      <c r="W5" s="58" t="n">
        <f aca="false">EDATE($C$5,W2)</f>
        <v>47270</v>
      </c>
      <c r="X5" s="58" t="n">
        <f aca="false">EDATE($C$5,X2)</f>
        <v>47300</v>
      </c>
      <c r="Y5" s="58" t="n">
        <f aca="false">EDATE($C$5,Y2)</f>
        <v>47331</v>
      </c>
      <c r="Z5" s="58" t="n">
        <f aca="false">EDATE($C$5,Z2)</f>
        <v>47362</v>
      </c>
      <c r="AA5" s="58" t="n">
        <f aca="false">EDATE($C$5,AA2)</f>
        <v>47392</v>
      </c>
      <c r="AB5" s="58" t="n">
        <f aca="false">EDATE($C$5,AB2)</f>
        <v>47423</v>
      </c>
      <c r="AC5" s="58" t="n">
        <f aca="false">EDATE($C$5,AC2)</f>
        <v>47453</v>
      </c>
      <c r="AD5" s="58" t="n">
        <f aca="false">EDATE($C$5,AD2)</f>
        <v>47484</v>
      </c>
      <c r="AE5" s="58" t="n">
        <f aca="false">EDATE($C$5,AE2)</f>
        <v>47515</v>
      </c>
      <c r="AF5" s="58" t="n">
        <f aca="false">EDATE($C$5,AF2)</f>
        <v>47543</v>
      </c>
      <c r="AG5" s="58" t="n">
        <f aca="false">EDATE($C$5,AG2)</f>
        <v>47574</v>
      </c>
      <c r="AH5" s="58" t="n">
        <f aca="false">EDATE($C$5,AH2)</f>
        <v>47604</v>
      </c>
      <c r="AI5" s="58" t="n">
        <f aca="false">EDATE($C$5,AI2)</f>
        <v>47635</v>
      </c>
      <c r="AJ5" s="58" t="n">
        <f aca="false">EDATE($C$5,AJ2)</f>
        <v>47665</v>
      </c>
      <c r="AK5" s="58" t="n">
        <f aca="false">EDATE($C$5,AK2)</f>
        <v>47696</v>
      </c>
      <c r="AL5" s="58" t="n">
        <f aca="false">EDATE($C$5,AL2)</f>
        <v>47727</v>
      </c>
      <c r="AM5" s="58" t="n">
        <f aca="false">EDATE($C$5,AM2)</f>
        <v>47757</v>
      </c>
      <c r="AN5" s="58" t="n">
        <f aca="false">EDATE($C$5,AN2)</f>
        <v>47788</v>
      </c>
      <c r="AO5" s="58" t="n">
        <f aca="false">EDATE($C$5,AO2)</f>
        <v>47818</v>
      </c>
      <c r="AP5" s="58" t="n">
        <f aca="false">EDATE($C$5,AP2)</f>
        <v>47849</v>
      </c>
      <c r="AQ5" s="58" t="n">
        <f aca="false">EDATE($C$5,AQ2)</f>
        <v>47880</v>
      </c>
      <c r="AR5" s="58" t="n">
        <f aca="false">EDATE($C$5,AR2)</f>
        <v>47908</v>
      </c>
      <c r="AS5" s="58" t="n">
        <f aca="false">EDATE($C$5,AS2)</f>
        <v>47939</v>
      </c>
      <c r="AT5" s="58" t="n">
        <f aca="false">EDATE($C$5,AT2)</f>
        <v>47969</v>
      </c>
      <c r="AU5" s="58" t="n">
        <f aca="false">EDATE($C$5,AU2)</f>
        <v>48000</v>
      </c>
      <c r="AV5" s="58" t="n">
        <f aca="false">EDATE($C$5,AV2)</f>
        <v>48030</v>
      </c>
      <c r="AW5" s="58" t="n">
        <f aca="false">EDATE($C$5,AW2)</f>
        <v>48061</v>
      </c>
      <c r="AX5" s="58" t="n">
        <f aca="false">EDATE($C$5,AX2)</f>
        <v>48092</v>
      </c>
      <c r="AY5" s="58" t="n">
        <f aca="false">EDATE($C$5,AY2)</f>
        <v>48122</v>
      </c>
      <c r="AZ5" s="58" t="n">
        <f aca="false">EDATE($C$5,AZ2)</f>
        <v>48153</v>
      </c>
      <c r="BA5" s="58" t="n">
        <f aca="false">EDATE($C$5,BA2)</f>
        <v>48183</v>
      </c>
      <c r="BB5" s="58" t="n">
        <f aca="false">EDATE($C$5,BB2)</f>
        <v>48214</v>
      </c>
      <c r="BC5" s="58" t="n">
        <f aca="false">EDATE($C$5,BC2)</f>
        <v>48245</v>
      </c>
      <c r="BD5" s="58" t="n">
        <f aca="false">EDATE($C$5,BD2)</f>
        <v>48274</v>
      </c>
      <c r="BE5" s="58" t="n">
        <f aca="false">EDATE($C$5,BE2)</f>
        <v>48305</v>
      </c>
      <c r="BF5" s="58" t="n">
        <f aca="false">EDATE($C$5,BF2)</f>
        <v>48335</v>
      </c>
      <c r="BG5" s="58" t="n">
        <f aca="false">EDATE($C$5,BG2)</f>
        <v>48366</v>
      </c>
      <c r="BH5" s="58" t="n">
        <f aca="false">EDATE($C$5,BH2)</f>
        <v>48396</v>
      </c>
      <c r="BI5" s="58" t="n">
        <f aca="false">EDATE($C$5,BI2)</f>
        <v>48427</v>
      </c>
      <c r="BJ5" s="58" t="n">
        <f aca="false">EDATE($C$5,BJ2)</f>
        <v>48458</v>
      </c>
    </row>
    <row r="6" customFormat="false" ht="13.5" hidden="false" customHeight="true" outlineLevel="0" collapsed="false">
      <c r="A6" s="59" t="s">
        <v>226</v>
      </c>
      <c r="B6" s="59"/>
      <c r="C6" s="59"/>
      <c r="D6" s="59"/>
      <c r="E6" s="59"/>
      <c r="F6" s="59"/>
      <c r="G6" s="59"/>
      <c r="H6" s="59"/>
      <c r="I6" s="59"/>
      <c r="J6" s="59"/>
      <c r="K6" s="59"/>
      <c r="L6" s="59"/>
      <c r="M6" s="59"/>
      <c r="N6" s="59"/>
      <c r="O6" s="59"/>
      <c r="P6" s="59"/>
      <c r="Q6" s="59"/>
      <c r="R6" s="59"/>
      <c r="S6" s="59"/>
      <c r="T6" s="59"/>
      <c r="U6" s="59"/>
      <c r="V6" s="59"/>
      <c r="W6" s="59"/>
      <c r="X6" s="59"/>
      <c r="Y6" s="59"/>
      <c r="Z6" s="59"/>
      <c r="AA6" s="59"/>
      <c r="AB6" s="59"/>
      <c r="AC6" s="59"/>
      <c r="AD6" s="59"/>
      <c r="AE6" s="59"/>
      <c r="AF6" s="59"/>
      <c r="AG6" s="59"/>
      <c r="AH6" s="59"/>
      <c r="AI6" s="59"/>
      <c r="AJ6" s="59"/>
      <c r="AK6" s="59"/>
      <c r="AL6" s="59"/>
      <c r="AM6" s="59"/>
      <c r="AN6" s="59"/>
      <c r="AO6" s="59"/>
      <c r="AP6" s="59"/>
      <c r="AQ6" s="59"/>
      <c r="AR6" s="59"/>
      <c r="AS6" s="59"/>
      <c r="AT6" s="59"/>
      <c r="AU6" s="59"/>
      <c r="AV6" s="59"/>
      <c r="AW6" s="59"/>
      <c r="AX6" s="59"/>
      <c r="AY6" s="59"/>
      <c r="AZ6" s="59"/>
      <c r="BA6" s="59"/>
      <c r="BB6" s="59"/>
      <c r="BC6" s="59"/>
      <c r="BD6" s="59"/>
      <c r="BE6" s="59"/>
      <c r="BF6" s="59"/>
      <c r="BG6" s="59"/>
      <c r="BH6" s="59"/>
      <c r="BI6" s="59"/>
      <c r="BJ6" s="59"/>
    </row>
    <row r="7" customFormat="false" ht="13.5" hidden="false" customHeight="true" outlineLevel="0" collapsed="false">
      <c r="A7" s="38" t="s">
        <v>227</v>
      </c>
      <c r="B7" s="60" t="n">
        <f aca="false">AVERAGEA(C7:AL7)</f>
        <v>151.875</v>
      </c>
      <c r="C7" s="61" t="n">
        <f aca="false">_xlfn.LET(
_xlpm.Ramp_up_Percentage, INDEX('⚙️ Other Assumptions'!$B$17:$Q$19,MATCH('⚙️ Assumptions'!$B$13,'⚙️ Other Assumptions'!$A$17:$A$19,0),MATCH(C4,'⚙️ Other Assumptions'!$B$14:$AI$14,0)),
_xlpm.Default_max_val,INDEX('⚙️ Other Assumptions'!$B$24:$B$26,MATCH('⚙️ Assumptions'!$B$13,'⚙️ Other Assumptions'!$A$24:$A$26)),
_xlpm.Expected_number_of_sales, '⚙️ Assumptions'!$B$12,
IFERROR(_xlpm.Ramp_up_Percentage,_xlpm.Default_max_val)*_xlpm.Expected_number_of_sales)</f>
        <v>0</v>
      </c>
      <c r="D7" s="61" t="n">
        <f aca="false">_xlfn.LET(
_xlpm.Ramp_up_Percentage, INDEX('⚙️ Other Assumptions'!$B$17:$Q$19,MATCH('⚙️ Assumptions'!$B$13,'⚙️ Other Assumptions'!$A$17:$A$19,0),MATCH(D4,'⚙️ Other Assumptions'!$B$14:$AI$14,0)),
_xlpm.Default_max_val,INDEX('⚙️ Other Assumptions'!$B$24:$B$26,MATCH('⚙️ Assumptions'!$B$13,'⚙️ Other Assumptions'!$A$24:$A$26)),
_xlpm.Expected_number_of_sales, '⚙️ Assumptions'!$B$12,
IFERROR(_xlpm.Ramp_up_Percentage,_xlpm.Default_max_val)*_xlpm.Expected_number_of_sales)</f>
        <v>0</v>
      </c>
      <c r="E7" s="61" t="n">
        <f aca="false">_xlfn.LET(
_xlpm.Ramp_up_Percentage, INDEX('⚙️ Other Assumptions'!$B$17:$Q$19,MATCH('⚙️ Assumptions'!$B$13,'⚙️ Other Assumptions'!$A$17:$A$19,0),MATCH(E4,'⚙️ Other Assumptions'!$B$14:$AI$14,0)),
_xlpm.Default_max_val,INDEX('⚙️ Other Assumptions'!$B$24:$B$26,MATCH('⚙️ Assumptions'!$B$13,'⚙️ Other Assumptions'!$A$24:$A$26)),
_xlpm.Expected_number_of_sales, '⚙️ Assumptions'!$B$12,
IFERROR(_xlpm.Ramp_up_Percentage,_xlpm.Default_max_val)*_xlpm.Expected_number_of_sales)</f>
        <v>67.5</v>
      </c>
      <c r="F7" s="61" t="n">
        <f aca="false">_xlfn.LET(
_xlpm.Ramp_up_Percentage, INDEX('⚙️ Other Assumptions'!$B$17:$Q$19,MATCH('⚙️ Assumptions'!$B$13,'⚙️ Other Assumptions'!$A$17:$A$19,0),MATCH(F4,'⚙️ Other Assumptions'!$B$14:$AI$14,0)),
_xlpm.Default_max_val,INDEX('⚙️ Other Assumptions'!$B$24:$B$26,MATCH('⚙️ Assumptions'!$B$13,'⚙️ Other Assumptions'!$A$24:$A$26)),
_xlpm.Expected_number_of_sales, '⚙️ Assumptions'!$B$12,
IFERROR(_xlpm.Ramp_up_Percentage,_xlpm.Default_max_val)*_xlpm.Expected_number_of_sales)</f>
        <v>90</v>
      </c>
      <c r="G7" s="61" t="n">
        <f aca="false">_xlfn.LET(
_xlpm.Ramp_up_Percentage, INDEX('⚙️ Other Assumptions'!$B$17:$Q$19,MATCH('⚙️ Assumptions'!$B$13,'⚙️ Other Assumptions'!$A$17:$A$19,0),MATCH(G4,'⚙️ Other Assumptions'!$B$14:$AI$14,0)),
_xlpm.Default_max_val,INDEX('⚙️ Other Assumptions'!$B$24:$B$26,MATCH('⚙️ Assumptions'!$B$13,'⚙️ Other Assumptions'!$A$24:$A$26)),
_xlpm.Expected_number_of_sales, '⚙️ Assumptions'!$B$12,
IFERROR(_xlpm.Ramp_up_Percentage,_xlpm.Default_max_val)*_xlpm.Expected_number_of_sales)</f>
        <v>105</v>
      </c>
      <c r="H7" s="61" t="n">
        <f aca="false">_xlfn.LET(
_xlpm.Ramp_up_Percentage, INDEX('⚙️ Other Assumptions'!$B$17:$Q$19,MATCH('⚙️ Assumptions'!$B$13,'⚙️ Other Assumptions'!$A$17:$A$19,0),MATCH(H4,'⚙️ Other Assumptions'!$B$14:$AI$14,0)),
_xlpm.Default_max_val,INDEX('⚙️ Other Assumptions'!$B$24:$B$26,MATCH('⚙️ Assumptions'!$B$13,'⚙️ Other Assumptions'!$A$24:$A$26)),
_xlpm.Expected_number_of_sales, '⚙️ Assumptions'!$B$12,
IFERROR(_xlpm.Ramp_up_Percentage,_xlpm.Default_max_val)*_xlpm.Expected_number_of_sales)</f>
        <v>120</v>
      </c>
      <c r="I7" s="61" t="n">
        <f aca="false">_xlfn.LET(
_xlpm.Ramp_up_Percentage, INDEX('⚙️ Other Assumptions'!$B$17:$Q$19,MATCH('⚙️ Assumptions'!$B$13,'⚙️ Other Assumptions'!$A$17:$A$19,0),MATCH(I4,'⚙️ Other Assumptions'!$B$14:$AI$14,0)),
_xlpm.Default_max_val,INDEX('⚙️ Other Assumptions'!$B$24:$B$26,MATCH('⚙️ Assumptions'!$B$13,'⚙️ Other Assumptions'!$A$24:$A$26)),
_xlpm.Expected_number_of_sales, '⚙️ Assumptions'!$B$12,
IFERROR(_xlpm.Ramp_up_Percentage,_xlpm.Default_max_val)*_xlpm.Expected_number_of_sales)</f>
        <v>135</v>
      </c>
      <c r="J7" s="61" t="n">
        <f aca="false">_xlfn.LET(
_xlpm.Ramp_up_Percentage, INDEX('⚙️ Other Assumptions'!$B$17:$Q$19,MATCH('⚙️ Assumptions'!$B$13,'⚙️ Other Assumptions'!$A$17:$A$19,0),MATCH(J4,'⚙️ Other Assumptions'!$B$14:$AI$14,0)),
_xlpm.Default_max_val,INDEX('⚙️ Other Assumptions'!$B$24:$B$26,MATCH('⚙️ Assumptions'!$B$13,'⚙️ Other Assumptions'!$A$24:$A$26)),
_xlpm.Expected_number_of_sales, '⚙️ Assumptions'!$B$12,
IFERROR(_xlpm.Ramp_up_Percentage,_xlpm.Default_max_val)*_xlpm.Expected_number_of_sales)</f>
        <v>150</v>
      </c>
      <c r="K7" s="61" t="n">
        <f aca="false">_xlfn.LET(
_xlpm.Ramp_up_Percentage, INDEX('⚙️ Other Assumptions'!$B$17:$Q$19,MATCH('⚙️ Assumptions'!$B$13,'⚙️ Other Assumptions'!$A$17:$A$19,0),MATCH(K4,'⚙️ Other Assumptions'!$B$14:$AI$14,0)),
_xlpm.Default_max_val,INDEX('⚙️ Other Assumptions'!$B$24:$B$26,MATCH('⚙️ Assumptions'!$B$13,'⚙️ Other Assumptions'!$A$24:$A$26)),
_xlpm.Expected_number_of_sales, '⚙️ Assumptions'!$B$12,
IFERROR(_xlpm.Ramp_up_Percentage,_xlpm.Default_max_val)*_xlpm.Expected_number_of_sales)</f>
        <v>150</v>
      </c>
      <c r="L7" s="61" t="n">
        <f aca="false">_xlfn.LET(
_xlpm.Ramp_up_Percentage, INDEX('⚙️ Other Assumptions'!$B$17:$Q$19,MATCH('⚙️ Assumptions'!$B$13,'⚙️ Other Assumptions'!$A$17:$A$19,0),MATCH(L4,'⚙️ Other Assumptions'!$B$14:$AI$14,0)),
_xlpm.Default_max_val,INDEX('⚙️ Other Assumptions'!$B$24:$B$26,MATCH('⚙️ Assumptions'!$B$13,'⚙️ Other Assumptions'!$A$24:$A$26)),
_xlpm.Expected_number_of_sales, '⚙️ Assumptions'!$B$12,
IFERROR(_xlpm.Ramp_up_Percentage,_xlpm.Default_max_val)*_xlpm.Expected_number_of_sales)</f>
        <v>150</v>
      </c>
      <c r="M7" s="61" t="n">
        <f aca="false">_xlfn.LET(
_xlpm.Ramp_up_Percentage, INDEX('⚙️ Other Assumptions'!$B$17:$Q$19,MATCH('⚙️ Assumptions'!$B$13,'⚙️ Other Assumptions'!$A$17:$A$19,0),MATCH(M4,'⚙️ Other Assumptions'!$B$14:$AI$14,0)),
_xlpm.Default_max_val,INDEX('⚙️ Other Assumptions'!$B$24:$B$26,MATCH('⚙️ Assumptions'!$B$13,'⚙️ Other Assumptions'!$A$24:$A$26)),
_xlpm.Expected_number_of_sales, '⚙️ Assumptions'!$B$12,
IFERROR(_xlpm.Ramp_up_Percentage,_xlpm.Default_max_val)*_xlpm.Expected_number_of_sales)</f>
        <v>150</v>
      </c>
      <c r="N7" s="61" t="n">
        <f aca="false">_xlfn.LET(
_xlpm.Ramp_up_Percentage, INDEX('⚙️ Other Assumptions'!$B$17:$Q$19,MATCH('⚙️ Assumptions'!$B$13,'⚙️ Other Assumptions'!$A$17:$A$19,0),MATCH(N4,'⚙️ Other Assumptions'!$B$14:$AI$14,0)),
_xlpm.Default_max_val,INDEX('⚙️ Other Assumptions'!$B$24:$B$26,MATCH('⚙️ Assumptions'!$B$13,'⚙️ Other Assumptions'!$A$24:$A$26)),
_xlpm.Expected_number_of_sales, '⚙️ Assumptions'!$B$12,
IFERROR(_xlpm.Ramp_up_Percentage,_xlpm.Default_max_val)*_xlpm.Expected_number_of_sales)</f>
        <v>150</v>
      </c>
      <c r="O7" s="61" t="n">
        <f aca="false">_xlfn.LET(
_xlpm.Ramp_up_Percentage, INDEX('⚙️ Other Assumptions'!$B$17:$Q$19,MATCH('⚙️ Assumptions'!$B$13,'⚙️ Other Assumptions'!$A$17:$A$19,0),MATCH(O4,'⚙️ Other Assumptions'!$B$14:$AI$14,0)),
_xlpm.Default_max_val,INDEX('⚙️ Other Assumptions'!$B$24:$B$26,MATCH('⚙️ Assumptions'!$B$13,'⚙️ Other Assumptions'!$A$24:$A$26)),
_xlpm.Expected_number_of_sales, '⚙️ Assumptions'!$B$12,
IFERROR(_xlpm.Ramp_up_Percentage,_xlpm.Default_max_val)*_xlpm.Expected_number_of_sales)</f>
        <v>150</v>
      </c>
      <c r="P7" s="61" t="n">
        <f aca="false">_xlfn.LET(
_xlpm.Ramp_up_Percentage, INDEX('⚙️ Other Assumptions'!$B$17:$Q$19,MATCH('⚙️ Assumptions'!$B$13,'⚙️ Other Assumptions'!$A$17:$A$19,0),MATCH(P4,'⚙️ Other Assumptions'!$B$14:$AI$14,0)),
_xlpm.Default_max_val,INDEX('⚙️ Other Assumptions'!$B$24:$B$26,MATCH('⚙️ Assumptions'!$B$13,'⚙️ Other Assumptions'!$A$24:$A$26)),
_xlpm.Expected_number_of_sales, '⚙️ Assumptions'!$B$12,
IFERROR(_xlpm.Ramp_up_Percentage,_xlpm.Default_max_val)*_xlpm.Expected_number_of_sales)</f>
        <v>150</v>
      </c>
      <c r="Q7" s="61" t="n">
        <f aca="false">_xlfn.LET(
_xlpm.Ramp_up_Percentage, INDEX('⚙️ Other Assumptions'!$B$17:$Q$19,MATCH('⚙️ Assumptions'!$B$13,'⚙️ Other Assumptions'!$A$17:$A$19,0),MATCH(Q4,'⚙️ Other Assumptions'!$B$14:$AI$14,0)),
_xlpm.Default_max_val,INDEX('⚙️ Other Assumptions'!$B$24:$B$26,MATCH('⚙️ Assumptions'!$B$13,'⚙️ Other Assumptions'!$A$24:$A$26)),
_xlpm.Expected_number_of_sales, '⚙️ Assumptions'!$B$12,
IFERROR(_xlpm.Ramp_up_Percentage,_xlpm.Default_max_val)*_xlpm.Expected_number_of_sales)</f>
        <v>150</v>
      </c>
      <c r="R7" s="61" t="n">
        <f aca="false">_xlfn.LET(
_xlpm.Ramp_up_Percentage, INDEX('⚙️ Other Assumptions'!$B$17:$Q$19,MATCH('⚙️ Assumptions'!$B$13,'⚙️ Other Assumptions'!$A$17:$A$19,0),MATCH(R4,'⚙️ Other Assumptions'!$B$14:$AI$14,0)),
_xlpm.Default_max_val,INDEX('⚙️ Other Assumptions'!$B$24:$B$26,MATCH('⚙️ Assumptions'!$B$13,'⚙️ Other Assumptions'!$A$24:$A$26)),
_xlpm.Expected_number_of_sales, '⚙️ Assumptions'!$B$12,
IFERROR(_xlpm.Ramp_up_Percentage,_xlpm.Default_max_val)*_xlpm.Expected_number_of_sales)</f>
        <v>150</v>
      </c>
      <c r="S7" s="61" t="n">
        <f aca="false">_xlfn.LET(
_xlpm.Ramp_up_Percentage, INDEX('⚙️ Other Assumptions'!$B$17:$Q$19,MATCH('⚙️ Assumptions'!$B$13,'⚙️ Other Assumptions'!$A$17:$A$19,0),MATCH(S4,'⚙️ Other Assumptions'!$B$14:$AI$14,0)),
_xlpm.Default_max_val,INDEX('⚙️ Other Assumptions'!$B$24:$B$26,MATCH('⚙️ Assumptions'!$B$13,'⚙️ Other Assumptions'!$A$24:$A$26)),
_xlpm.Expected_number_of_sales, '⚙️ Assumptions'!$B$12,
IFERROR(_xlpm.Ramp_up_Percentage,_xlpm.Default_max_val)*_xlpm.Expected_number_of_sales)</f>
        <v>180</v>
      </c>
      <c r="T7" s="61" t="n">
        <f aca="false">_xlfn.LET(
_xlpm.Ramp_up_Percentage, INDEX('⚙️ Other Assumptions'!$B$17:$Q$19,MATCH('⚙️ Assumptions'!$B$13,'⚙️ Other Assumptions'!$A$17:$A$19,0),MATCH(T4,'⚙️ Other Assumptions'!$B$14:$AI$14,0)),
_xlpm.Default_max_val,INDEX('⚙️ Other Assumptions'!$B$24:$B$26,MATCH('⚙️ Assumptions'!$B$13,'⚙️ Other Assumptions'!$A$24:$A$26)),
_xlpm.Expected_number_of_sales, '⚙️ Assumptions'!$B$12,
IFERROR(_xlpm.Ramp_up_Percentage,_xlpm.Default_max_val)*_xlpm.Expected_number_of_sales)</f>
        <v>180</v>
      </c>
      <c r="U7" s="61" t="n">
        <f aca="false">_xlfn.LET(
_xlpm.Ramp_up_Percentage, INDEX('⚙️ Other Assumptions'!$B$17:$Q$19,MATCH('⚙️ Assumptions'!$B$13,'⚙️ Other Assumptions'!$A$17:$A$19,0),MATCH(U4,'⚙️ Other Assumptions'!$B$14:$AI$14,0)),
_xlpm.Default_max_val,INDEX('⚙️ Other Assumptions'!$B$24:$B$26,MATCH('⚙️ Assumptions'!$B$13,'⚙️ Other Assumptions'!$A$24:$A$26)),
_xlpm.Expected_number_of_sales, '⚙️ Assumptions'!$B$12,
IFERROR(_xlpm.Ramp_up_Percentage,_xlpm.Default_max_val)*_xlpm.Expected_number_of_sales)</f>
        <v>180</v>
      </c>
      <c r="V7" s="61" t="n">
        <f aca="false">_xlfn.LET(
_xlpm.Ramp_up_Percentage, INDEX('⚙️ Other Assumptions'!$B$17:$Q$19,MATCH('⚙️ Assumptions'!$B$13,'⚙️ Other Assumptions'!$A$17:$A$19,0),MATCH(V4,'⚙️ Other Assumptions'!$B$14:$AI$14,0)),
_xlpm.Default_max_val,INDEX('⚙️ Other Assumptions'!$B$24:$B$26,MATCH('⚙️ Assumptions'!$B$13,'⚙️ Other Assumptions'!$A$24:$A$26)),
_xlpm.Expected_number_of_sales, '⚙️ Assumptions'!$B$12,
IFERROR(_xlpm.Ramp_up_Percentage,_xlpm.Default_max_val)*_xlpm.Expected_number_of_sales)</f>
        <v>180</v>
      </c>
      <c r="W7" s="61" t="n">
        <f aca="false">_xlfn.LET(
_xlpm.Ramp_up_Percentage, INDEX('⚙️ Other Assumptions'!$B$17:$Q$19,MATCH('⚙️ Assumptions'!$B$13,'⚙️ Other Assumptions'!$A$17:$A$19,0),MATCH(W4,'⚙️ Other Assumptions'!$B$14:$AI$14,0)),
_xlpm.Default_max_val,INDEX('⚙️ Other Assumptions'!$B$24:$B$26,MATCH('⚙️ Assumptions'!$B$13,'⚙️ Other Assumptions'!$A$24:$A$26)),
_xlpm.Expected_number_of_sales, '⚙️ Assumptions'!$B$12,
IFERROR(_xlpm.Ramp_up_Percentage,_xlpm.Default_max_val)*_xlpm.Expected_number_of_sales)</f>
        <v>180</v>
      </c>
      <c r="X7" s="61" t="n">
        <f aca="false">_xlfn.LET(
_xlpm.Ramp_up_Percentage, INDEX('⚙️ Other Assumptions'!$B$17:$Q$19,MATCH('⚙️ Assumptions'!$B$13,'⚙️ Other Assumptions'!$A$17:$A$19,0),MATCH(X4,'⚙️ Other Assumptions'!$B$14:$AI$14,0)),
_xlpm.Default_max_val,INDEX('⚙️ Other Assumptions'!$B$24:$B$26,MATCH('⚙️ Assumptions'!$B$13,'⚙️ Other Assumptions'!$A$24:$A$26)),
_xlpm.Expected_number_of_sales, '⚙️ Assumptions'!$B$12,
IFERROR(_xlpm.Ramp_up_Percentage,_xlpm.Default_max_val)*_xlpm.Expected_number_of_sales)</f>
        <v>180</v>
      </c>
      <c r="Y7" s="61" t="n">
        <f aca="false">_xlfn.LET(
_xlpm.Ramp_up_Percentage, INDEX('⚙️ Other Assumptions'!$B$17:$Q$19,MATCH('⚙️ Assumptions'!$B$13,'⚙️ Other Assumptions'!$A$17:$A$19,0),MATCH(Y4,'⚙️ Other Assumptions'!$B$14:$AI$14,0)),
_xlpm.Default_max_val,INDEX('⚙️ Other Assumptions'!$B$24:$B$26,MATCH('⚙️ Assumptions'!$B$13,'⚙️ Other Assumptions'!$A$24:$A$26)),
_xlpm.Expected_number_of_sales, '⚙️ Assumptions'!$B$12,
IFERROR(_xlpm.Ramp_up_Percentage,_xlpm.Default_max_val)*_xlpm.Expected_number_of_sales)</f>
        <v>180</v>
      </c>
      <c r="Z7" s="61" t="n">
        <f aca="false">_xlfn.LET(
_xlpm.Ramp_up_Percentage, INDEX('⚙️ Other Assumptions'!$B$17:$Q$19,MATCH('⚙️ Assumptions'!$B$13,'⚙️ Other Assumptions'!$A$17:$A$19,0),MATCH(Z4,'⚙️ Other Assumptions'!$B$14:$AI$14,0)),
_xlpm.Default_max_val,INDEX('⚙️ Other Assumptions'!$B$24:$B$26,MATCH('⚙️ Assumptions'!$B$13,'⚙️ Other Assumptions'!$A$24:$A$26)),
_xlpm.Expected_number_of_sales, '⚙️ Assumptions'!$B$12,
IFERROR(_xlpm.Ramp_up_Percentage,_xlpm.Default_max_val)*_xlpm.Expected_number_of_sales)</f>
        <v>180</v>
      </c>
      <c r="AA7" s="61" t="n">
        <f aca="false">_xlfn.LET(
_xlpm.Ramp_up_Percentage, INDEX('⚙️ Other Assumptions'!$B$17:$Q$19,MATCH('⚙️ Assumptions'!$B$13,'⚙️ Other Assumptions'!$A$17:$A$19,0),MATCH(AA4,'⚙️ Other Assumptions'!$B$14:$AI$14,0)),
_xlpm.Default_max_val,INDEX('⚙️ Other Assumptions'!$B$24:$B$26,MATCH('⚙️ Assumptions'!$B$13,'⚙️ Other Assumptions'!$A$24:$A$26)),
_xlpm.Expected_number_of_sales, '⚙️ Assumptions'!$B$12,
IFERROR(_xlpm.Ramp_up_Percentage,_xlpm.Default_max_val)*_xlpm.Expected_number_of_sales)</f>
        <v>180</v>
      </c>
      <c r="AB7" s="61" t="n">
        <f aca="false">_xlfn.LET(
_xlpm.Ramp_up_Percentage, INDEX('⚙️ Other Assumptions'!$B$17:$Q$19,MATCH('⚙️ Assumptions'!$B$13,'⚙️ Other Assumptions'!$A$17:$A$19,0),MATCH(AB4,'⚙️ Other Assumptions'!$B$14:$AI$14,0)),
_xlpm.Default_max_val,INDEX('⚙️ Other Assumptions'!$B$24:$B$26,MATCH('⚙️ Assumptions'!$B$13,'⚙️ Other Assumptions'!$A$24:$A$26)),
_xlpm.Expected_number_of_sales, '⚙️ Assumptions'!$B$12,
IFERROR(_xlpm.Ramp_up_Percentage,_xlpm.Default_max_val)*_xlpm.Expected_number_of_sales)</f>
        <v>180</v>
      </c>
      <c r="AC7" s="61" t="n">
        <f aca="false">_xlfn.LET(
_xlpm.Ramp_up_Percentage, INDEX('⚙️ Other Assumptions'!$B$17:$Q$19,MATCH('⚙️ Assumptions'!$B$13,'⚙️ Other Assumptions'!$A$17:$A$19,0),MATCH(AC4,'⚙️ Other Assumptions'!$B$14:$AI$14,0)),
_xlpm.Default_max_val,INDEX('⚙️ Other Assumptions'!$B$24:$B$26,MATCH('⚙️ Assumptions'!$B$13,'⚙️ Other Assumptions'!$A$24:$A$26)),
_xlpm.Expected_number_of_sales, '⚙️ Assumptions'!$B$12,
IFERROR(_xlpm.Ramp_up_Percentage,_xlpm.Default_max_val)*_xlpm.Expected_number_of_sales)</f>
        <v>180</v>
      </c>
      <c r="AD7" s="61" t="n">
        <f aca="false">_xlfn.LET(
_xlpm.Ramp_up_Percentage, INDEX('⚙️ Other Assumptions'!$B$17:$Q$19,MATCH('⚙️ Assumptions'!$B$13,'⚙️ Other Assumptions'!$A$17:$A$19,0),MATCH(AD4,'⚙️ Other Assumptions'!$B$14:$AI$14,0)),
_xlpm.Default_max_val,INDEX('⚙️ Other Assumptions'!$B$24:$B$26,MATCH('⚙️ Assumptions'!$B$13,'⚙️ Other Assumptions'!$A$24:$A$26)),
_xlpm.Expected_number_of_sales, '⚙️ Assumptions'!$B$12,
IFERROR(_xlpm.Ramp_up_Percentage,_xlpm.Default_max_val)*_xlpm.Expected_number_of_sales)</f>
        <v>180</v>
      </c>
      <c r="AE7" s="61" t="n">
        <f aca="false">_xlfn.LET(
_xlpm.Ramp_up_Percentage, INDEX('⚙️ Other Assumptions'!$B$17:$Q$19,MATCH('⚙️ Assumptions'!$B$13,'⚙️ Other Assumptions'!$A$17:$A$19,0),MATCH(AE4,'⚙️ Other Assumptions'!$B$14:$AI$14,0)),
_xlpm.Default_max_val,INDEX('⚙️ Other Assumptions'!$B$24:$B$26,MATCH('⚙️ Assumptions'!$B$13,'⚙️ Other Assumptions'!$A$24:$A$26)),
_xlpm.Expected_number_of_sales, '⚙️ Assumptions'!$B$12,
IFERROR(_xlpm.Ramp_up_Percentage,_xlpm.Default_max_val)*_xlpm.Expected_number_of_sales)</f>
        <v>180</v>
      </c>
      <c r="AF7" s="61" t="n">
        <f aca="false">_xlfn.LET(
_xlpm.Ramp_up_Percentage, INDEX('⚙️ Other Assumptions'!$B$17:$Q$19,MATCH('⚙️ Assumptions'!$B$13,'⚙️ Other Assumptions'!$A$17:$A$19,0),MATCH(AF4,'⚙️ Other Assumptions'!$B$14:$AI$14,0)),
_xlpm.Default_max_val,INDEX('⚙️ Other Assumptions'!$B$24:$B$26,MATCH('⚙️ Assumptions'!$B$13,'⚙️ Other Assumptions'!$A$24:$A$26)),
_xlpm.Expected_number_of_sales, '⚙️ Assumptions'!$B$12,
IFERROR(_xlpm.Ramp_up_Percentage,_xlpm.Default_max_val)*_xlpm.Expected_number_of_sales)</f>
        <v>180</v>
      </c>
      <c r="AG7" s="61" t="n">
        <f aca="false">_xlfn.LET(
_xlpm.Ramp_up_Percentage, INDEX('⚙️ Other Assumptions'!$B$17:$Q$19,MATCH('⚙️ Assumptions'!$B$13,'⚙️ Other Assumptions'!$A$17:$A$19,0),MATCH(AG4,'⚙️ Other Assumptions'!$B$14:$AI$14,0)),
_xlpm.Default_max_val,INDEX('⚙️ Other Assumptions'!$B$24:$B$26,MATCH('⚙️ Assumptions'!$B$13,'⚙️ Other Assumptions'!$A$24:$A$26)),
_xlpm.Expected_number_of_sales, '⚙️ Assumptions'!$B$12,
IFERROR(_xlpm.Ramp_up_Percentage,_xlpm.Default_max_val)*_xlpm.Expected_number_of_sales)</f>
        <v>180</v>
      </c>
      <c r="AH7" s="61" t="n">
        <f aca="false">_xlfn.LET(
_xlpm.Ramp_up_Percentage, INDEX('⚙️ Other Assumptions'!$B$17:$Q$19,MATCH('⚙️ Assumptions'!$B$13,'⚙️ Other Assumptions'!$A$17:$A$19,0),MATCH(AH4,'⚙️ Other Assumptions'!$B$14:$AI$14,0)),
_xlpm.Default_max_val,INDEX('⚙️ Other Assumptions'!$B$24:$B$26,MATCH('⚙️ Assumptions'!$B$13,'⚙️ Other Assumptions'!$A$24:$A$26)),
_xlpm.Expected_number_of_sales, '⚙️ Assumptions'!$B$12,
IFERROR(_xlpm.Ramp_up_Percentage,_xlpm.Default_max_val)*_xlpm.Expected_number_of_sales)</f>
        <v>180</v>
      </c>
      <c r="AI7" s="61" t="n">
        <f aca="false">_xlfn.LET(
_xlpm.Ramp_up_Percentage, INDEX('⚙️ Other Assumptions'!$B$17:$Q$19,MATCH('⚙️ Assumptions'!$B$13,'⚙️ Other Assumptions'!$A$17:$A$19,0),MATCH(AI4,'⚙️ Other Assumptions'!$B$14:$AI$14,0)),
_xlpm.Default_max_val,INDEX('⚙️ Other Assumptions'!$B$24:$B$26,MATCH('⚙️ Assumptions'!$B$13,'⚙️ Other Assumptions'!$A$24:$A$26)),
_xlpm.Expected_number_of_sales, '⚙️ Assumptions'!$B$12,
IFERROR(_xlpm.Ramp_up_Percentage,_xlpm.Default_max_val)*_xlpm.Expected_number_of_sales)</f>
        <v>180</v>
      </c>
      <c r="AJ7" s="61" t="n">
        <f aca="false">_xlfn.LET(
_xlpm.Ramp_up_Percentage, INDEX('⚙️ Other Assumptions'!$B$17:$Q$19,MATCH('⚙️ Assumptions'!$B$13,'⚙️ Other Assumptions'!$A$17:$A$19,0),MATCH(AJ4,'⚙️ Other Assumptions'!$B$14:$AI$14,0)),
_xlpm.Default_max_val,INDEX('⚙️ Other Assumptions'!$B$24:$B$26,MATCH('⚙️ Assumptions'!$B$13,'⚙️ Other Assumptions'!$A$24:$A$26)),
_xlpm.Expected_number_of_sales, '⚙️ Assumptions'!$B$12,
IFERROR(_xlpm.Ramp_up_Percentage,_xlpm.Default_max_val)*_xlpm.Expected_number_of_sales)</f>
        <v>180</v>
      </c>
      <c r="AK7" s="61" t="n">
        <f aca="false">_xlfn.LET(
_xlpm.Ramp_up_Percentage, INDEX('⚙️ Other Assumptions'!$B$17:$Q$19,MATCH('⚙️ Assumptions'!$B$13,'⚙️ Other Assumptions'!$A$17:$A$19,0),MATCH(AK4,'⚙️ Other Assumptions'!$B$14:$AI$14,0)),
_xlpm.Default_max_val,INDEX('⚙️ Other Assumptions'!$B$24:$B$26,MATCH('⚙️ Assumptions'!$B$13,'⚙️ Other Assumptions'!$A$24:$A$26)),
_xlpm.Expected_number_of_sales, '⚙️ Assumptions'!$B$12,
IFERROR(_xlpm.Ramp_up_Percentage,_xlpm.Default_max_val)*_xlpm.Expected_number_of_sales)</f>
        <v>180</v>
      </c>
      <c r="AL7" s="61" t="n">
        <f aca="false">_xlfn.LET(
_xlpm.Ramp_up_Percentage, INDEX('⚙️ Other Assumptions'!$B$17:$Q$19,MATCH('⚙️ Assumptions'!$B$13,'⚙️ Other Assumptions'!$A$17:$A$19,0),MATCH(AL4,'⚙️ Other Assumptions'!$B$14:$AI$14,0)),
_xlpm.Default_max_val,INDEX('⚙️ Other Assumptions'!$B$24:$B$26,MATCH('⚙️ Assumptions'!$B$13,'⚙️ Other Assumptions'!$A$24:$A$26)),
_xlpm.Expected_number_of_sales, '⚙️ Assumptions'!$B$12,
IFERROR(_xlpm.Ramp_up_Percentage,_xlpm.Default_max_val)*_xlpm.Expected_number_of_sales)</f>
        <v>180</v>
      </c>
      <c r="AM7" s="61" t="n">
        <f aca="false">_xlfn.LET(
_xlpm.Ramp_up_Percentage, INDEX('⚙️ Other Assumptions'!$B$17:$Q$19,MATCH('⚙️ Assumptions'!$B$13,'⚙️ Other Assumptions'!$A$17:$A$19,0),MATCH(AM4,'⚙️ Other Assumptions'!$B$14:$AI$14,0)),
_xlpm.Default_max_val,INDEX('⚙️ Other Assumptions'!$B$24:$B$26,MATCH('⚙️ Assumptions'!$B$13,'⚙️ Other Assumptions'!$A$24:$A$26)),
_xlpm.Expected_number_of_sales, '⚙️ Assumptions'!$B$12,
IFERROR(_xlpm.Ramp_up_Percentage,_xlpm.Default_max_val)*_xlpm.Expected_number_of_sales)</f>
        <v>180</v>
      </c>
      <c r="AN7" s="61" t="n">
        <f aca="false">_xlfn.LET(
_xlpm.Ramp_up_Percentage, INDEX('⚙️ Other Assumptions'!$B$17:$Q$19,MATCH('⚙️ Assumptions'!$B$13,'⚙️ Other Assumptions'!$A$17:$A$19,0),MATCH(AN4,'⚙️ Other Assumptions'!$B$14:$AI$14,0)),
_xlpm.Default_max_val,INDEX('⚙️ Other Assumptions'!$B$24:$B$26,MATCH('⚙️ Assumptions'!$B$13,'⚙️ Other Assumptions'!$A$24:$A$26)),
_xlpm.Expected_number_of_sales, '⚙️ Assumptions'!$B$12,
IFERROR(_xlpm.Ramp_up_Percentage,_xlpm.Default_max_val)*_xlpm.Expected_number_of_sales)</f>
        <v>180</v>
      </c>
      <c r="AO7" s="61" t="n">
        <f aca="false">_xlfn.LET(
_xlpm.Ramp_up_Percentage, INDEX('⚙️ Other Assumptions'!$B$17:$Q$19,MATCH('⚙️ Assumptions'!$B$13,'⚙️ Other Assumptions'!$A$17:$A$19,0),MATCH(AO4,'⚙️ Other Assumptions'!$B$14:$AI$14,0)),
_xlpm.Default_max_val,INDEX('⚙️ Other Assumptions'!$B$24:$B$26,MATCH('⚙️ Assumptions'!$B$13,'⚙️ Other Assumptions'!$A$24:$A$26)),
_xlpm.Expected_number_of_sales, '⚙️ Assumptions'!$B$12,
IFERROR(_xlpm.Ramp_up_Percentage,_xlpm.Default_max_val)*_xlpm.Expected_number_of_sales)</f>
        <v>180</v>
      </c>
      <c r="AP7" s="61" t="n">
        <f aca="false">_xlfn.LET(
_xlpm.Ramp_up_Percentage, INDEX('⚙️ Other Assumptions'!$B$17:$Q$19,MATCH('⚙️ Assumptions'!$B$13,'⚙️ Other Assumptions'!$A$17:$A$19,0),MATCH(AP4,'⚙️ Other Assumptions'!$B$14:$AI$14,0)),
_xlpm.Default_max_val,INDEX('⚙️ Other Assumptions'!$B$24:$B$26,MATCH('⚙️ Assumptions'!$B$13,'⚙️ Other Assumptions'!$A$24:$A$26)),
_xlpm.Expected_number_of_sales, '⚙️ Assumptions'!$B$12,
IFERROR(_xlpm.Ramp_up_Percentage,_xlpm.Default_max_val)*_xlpm.Expected_number_of_sales)</f>
        <v>180</v>
      </c>
      <c r="AQ7" s="61" t="n">
        <f aca="false">_xlfn.LET(
_xlpm.Ramp_up_Percentage, INDEX('⚙️ Other Assumptions'!$B$17:$Q$19,MATCH('⚙️ Assumptions'!$B$13,'⚙️ Other Assumptions'!$A$17:$A$19,0),MATCH(AQ4,'⚙️ Other Assumptions'!$B$14:$AI$14,0)),
_xlpm.Default_max_val,INDEX('⚙️ Other Assumptions'!$B$24:$B$26,MATCH('⚙️ Assumptions'!$B$13,'⚙️ Other Assumptions'!$A$24:$A$26)),
_xlpm.Expected_number_of_sales, '⚙️ Assumptions'!$B$12,
IFERROR(_xlpm.Ramp_up_Percentage,_xlpm.Default_max_val)*_xlpm.Expected_number_of_sales)</f>
        <v>180</v>
      </c>
      <c r="AR7" s="61" t="n">
        <f aca="false">_xlfn.LET(
_xlpm.Ramp_up_Percentage, INDEX('⚙️ Other Assumptions'!$B$17:$Q$19,MATCH('⚙️ Assumptions'!$B$13,'⚙️ Other Assumptions'!$A$17:$A$19,0),MATCH(AR4,'⚙️ Other Assumptions'!$B$14:$AI$14,0)),
_xlpm.Default_max_val,INDEX('⚙️ Other Assumptions'!$B$24:$B$26,MATCH('⚙️ Assumptions'!$B$13,'⚙️ Other Assumptions'!$A$24:$A$26)),
_xlpm.Expected_number_of_sales, '⚙️ Assumptions'!$B$12,
IFERROR(_xlpm.Ramp_up_Percentage,_xlpm.Default_max_val)*_xlpm.Expected_number_of_sales)</f>
        <v>180</v>
      </c>
      <c r="AS7" s="61" t="n">
        <f aca="false">_xlfn.LET(
_xlpm.Ramp_up_Percentage, INDEX('⚙️ Other Assumptions'!$B$17:$Q$19,MATCH('⚙️ Assumptions'!$B$13,'⚙️ Other Assumptions'!$A$17:$A$19,0),MATCH(AS4,'⚙️ Other Assumptions'!$B$14:$AI$14,0)),
_xlpm.Default_max_val,INDEX('⚙️ Other Assumptions'!$B$24:$B$26,MATCH('⚙️ Assumptions'!$B$13,'⚙️ Other Assumptions'!$A$24:$A$26)),
_xlpm.Expected_number_of_sales, '⚙️ Assumptions'!$B$12,
IFERROR(_xlpm.Ramp_up_Percentage,_xlpm.Default_max_val)*_xlpm.Expected_number_of_sales)</f>
        <v>180</v>
      </c>
      <c r="AT7" s="61" t="n">
        <f aca="false">_xlfn.LET(
_xlpm.Ramp_up_Percentage, INDEX('⚙️ Other Assumptions'!$B$17:$Q$19,MATCH('⚙️ Assumptions'!$B$13,'⚙️ Other Assumptions'!$A$17:$A$19,0),MATCH(AT4,'⚙️ Other Assumptions'!$B$14:$AI$14,0)),
_xlpm.Default_max_val,INDEX('⚙️ Other Assumptions'!$B$24:$B$26,MATCH('⚙️ Assumptions'!$B$13,'⚙️ Other Assumptions'!$A$24:$A$26)),
_xlpm.Expected_number_of_sales, '⚙️ Assumptions'!$B$12,
IFERROR(_xlpm.Ramp_up_Percentage,_xlpm.Default_max_val)*_xlpm.Expected_number_of_sales)</f>
        <v>180</v>
      </c>
      <c r="AU7" s="61" t="n">
        <f aca="false">_xlfn.LET(
_xlpm.Ramp_up_Percentage, INDEX('⚙️ Other Assumptions'!$B$17:$Q$19,MATCH('⚙️ Assumptions'!$B$13,'⚙️ Other Assumptions'!$A$17:$A$19,0),MATCH(AU4,'⚙️ Other Assumptions'!$B$14:$AI$14,0)),
_xlpm.Default_max_val,INDEX('⚙️ Other Assumptions'!$B$24:$B$26,MATCH('⚙️ Assumptions'!$B$13,'⚙️ Other Assumptions'!$A$24:$A$26)),
_xlpm.Expected_number_of_sales, '⚙️ Assumptions'!$B$12,
IFERROR(_xlpm.Ramp_up_Percentage,_xlpm.Default_max_val)*_xlpm.Expected_number_of_sales)</f>
        <v>180</v>
      </c>
      <c r="AV7" s="61" t="n">
        <f aca="false">_xlfn.LET(
_xlpm.Ramp_up_Percentage, INDEX('⚙️ Other Assumptions'!$B$17:$Q$19,MATCH('⚙️ Assumptions'!$B$13,'⚙️ Other Assumptions'!$A$17:$A$19,0),MATCH(AV4,'⚙️ Other Assumptions'!$B$14:$AI$14,0)),
_xlpm.Default_max_val,INDEX('⚙️ Other Assumptions'!$B$24:$B$26,MATCH('⚙️ Assumptions'!$B$13,'⚙️ Other Assumptions'!$A$24:$A$26)),
_xlpm.Expected_number_of_sales, '⚙️ Assumptions'!$B$12,
IFERROR(_xlpm.Ramp_up_Percentage,_xlpm.Default_max_val)*_xlpm.Expected_number_of_sales)</f>
        <v>180</v>
      </c>
      <c r="AW7" s="61" t="n">
        <f aca="false">_xlfn.LET(
_xlpm.Ramp_up_Percentage, INDEX('⚙️ Other Assumptions'!$B$17:$Q$19,MATCH('⚙️ Assumptions'!$B$13,'⚙️ Other Assumptions'!$A$17:$A$19,0),MATCH(AW4,'⚙️ Other Assumptions'!$B$14:$AI$14,0)),
_xlpm.Default_max_val,INDEX('⚙️ Other Assumptions'!$B$24:$B$26,MATCH('⚙️ Assumptions'!$B$13,'⚙️ Other Assumptions'!$A$24:$A$26)),
_xlpm.Expected_number_of_sales, '⚙️ Assumptions'!$B$12,
IFERROR(_xlpm.Ramp_up_Percentage,_xlpm.Default_max_val)*_xlpm.Expected_number_of_sales)</f>
        <v>180</v>
      </c>
      <c r="AX7" s="61" t="n">
        <f aca="false">_xlfn.LET(
_xlpm.Ramp_up_Percentage, INDEX('⚙️ Other Assumptions'!$B$17:$Q$19,MATCH('⚙️ Assumptions'!$B$13,'⚙️ Other Assumptions'!$A$17:$A$19,0),MATCH(AX4,'⚙️ Other Assumptions'!$B$14:$AI$14,0)),
_xlpm.Default_max_val,INDEX('⚙️ Other Assumptions'!$B$24:$B$26,MATCH('⚙️ Assumptions'!$B$13,'⚙️ Other Assumptions'!$A$24:$A$26)),
_xlpm.Expected_number_of_sales, '⚙️ Assumptions'!$B$12,
IFERROR(_xlpm.Ramp_up_Percentage,_xlpm.Default_max_val)*_xlpm.Expected_number_of_sales)</f>
        <v>180</v>
      </c>
      <c r="AY7" s="61" t="n">
        <f aca="false">_xlfn.LET(
_xlpm.Ramp_up_Percentage, INDEX('⚙️ Other Assumptions'!$B$17:$Q$19,MATCH('⚙️ Assumptions'!$B$13,'⚙️ Other Assumptions'!$A$17:$A$19,0),MATCH(AY4,'⚙️ Other Assumptions'!$B$14:$AI$14,0)),
_xlpm.Default_max_val,INDEX('⚙️ Other Assumptions'!$B$24:$B$26,MATCH('⚙️ Assumptions'!$B$13,'⚙️ Other Assumptions'!$A$24:$A$26)),
_xlpm.Expected_number_of_sales, '⚙️ Assumptions'!$B$12,
IFERROR(_xlpm.Ramp_up_Percentage,_xlpm.Default_max_val)*_xlpm.Expected_number_of_sales)</f>
        <v>180</v>
      </c>
      <c r="AZ7" s="61" t="n">
        <f aca="false">_xlfn.LET(
_xlpm.Ramp_up_Percentage, INDEX('⚙️ Other Assumptions'!$B$17:$Q$19,MATCH('⚙️ Assumptions'!$B$13,'⚙️ Other Assumptions'!$A$17:$A$19,0),MATCH(AZ4,'⚙️ Other Assumptions'!$B$14:$AI$14,0)),
_xlpm.Default_max_val,INDEX('⚙️ Other Assumptions'!$B$24:$B$26,MATCH('⚙️ Assumptions'!$B$13,'⚙️ Other Assumptions'!$A$24:$A$26)),
_xlpm.Expected_number_of_sales, '⚙️ Assumptions'!$B$12,
IFERROR(_xlpm.Ramp_up_Percentage,_xlpm.Default_max_val)*_xlpm.Expected_number_of_sales)</f>
        <v>180</v>
      </c>
      <c r="BA7" s="61" t="n">
        <f aca="false">_xlfn.LET(
_xlpm.Ramp_up_Percentage, INDEX('⚙️ Other Assumptions'!$B$17:$Q$19,MATCH('⚙️ Assumptions'!$B$13,'⚙️ Other Assumptions'!$A$17:$A$19,0),MATCH(BA4,'⚙️ Other Assumptions'!$B$14:$AI$14,0)),
_xlpm.Default_max_val,INDEX('⚙️ Other Assumptions'!$B$24:$B$26,MATCH('⚙️ Assumptions'!$B$13,'⚙️ Other Assumptions'!$A$24:$A$26)),
_xlpm.Expected_number_of_sales, '⚙️ Assumptions'!$B$12,
IFERROR(_xlpm.Ramp_up_Percentage,_xlpm.Default_max_val)*_xlpm.Expected_number_of_sales)</f>
        <v>180</v>
      </c>
      <c r="BB7" s="61" t="n">
        <f aca="false">_xlfn.LET(
_xlpm.Ramp_up_Percentage, INDEX('⚙️ Other Assumptions'!$B$17:$Q$19,MATCH('⚙️ Assumptions'!$B$13,'⚙️ Other Assumptions'!$A$17:$A$19,0),MATCH(BB4,'⚙️ Other Assumptions'!$B$14:$AI$14,0)),
_xlpm.Default_max_val,INDEX('⚙️ Other Assumptions'!$B$24:$B$26,MATCH('⚙️ Assumptions'!$B$13,'⚙️ Other Assumptions'!$A$24:$A$26)),
_xlpm.Expected_number_of_sales, '⚙️ Assumptions'!$B$12,
IFERROR(_xlpm.Ramp_up_Percentage,_xlpm.Default_max_val)*_xlpm.Expected_number_of_sales)</f>
        <v>180</v>
      </c>
      <c r="BC7" s="61" t="n">
        <f aca="false">_xlfn.LET(
_xlpm.Ramp_up_Percentage, INDEX('⚙️ Other Assumptions'!$B$17:$Q$19,MATCH('⚙️ Assumptions'!$B$13,'⚙️ Other Assumptions'!$A$17:$A$19,0),MATCH(BC4,'⚙️ Other Assumptions'!$B$14:$AI$14,0)),
_xlpm.Default_max_val,INDEX('⚙️ Other Assumptions'!$B$24:$B$26,MATCH('⚙️ Assumptions'!$B$13,'⚙️ Other Assumptions'!$A$24:$A$26)),
_xlpm.Expected_number_of_sales, '⚙️ Assumptions'!$B$12,
IFERROR(_xlpm.Ramp_up_Percentage,_xlpm.Default_max_val)*_xlpm.Expected_number_of_sales)</f>
        <v>180</v>
      </c>
      <c r="BD7" s="61" t="n">
        <f aca="false">_xlfn.LET(
_xlpm.Ramp_up_Percentage, INDEX('⚙️ Other Assumptions'!$B$17:$Q$19,MATCH('⚙️ Assumptions'!$B$13,'⚙️ Other Assumptions'!$A$17:$A$19,0),MATCH(BD4,'⚙️ Other Assumptions'!$B$14:$AI$14,0)),
_xlpm.Default_max_val,INDEX('⚙️ Other Assumptions'!$B$24:$B$26,MATCH('⚙️ Assumptions'!$B$13,'⚙️ Other Assumptions'!$A$24:$A$26)),
_xlpm.Expected_number_of_sales, '⚙️ Assumptions'!$B$12,
IFERROR(_xlpm.Ramp_up_Percentage,_xlpm.Default_max_val)*_xlpm.Expected_number_of_sales)</f>
        <v>180</v>
      </c>
      <c r="BE7" s="61" t="n">
        <f aca="false">_xlfn.LET(
_xlpm.Ramp_up_Percentage, INDEX('⚙️ Other Assumptions'!$B$17:$Q$19,MATCH('⚙️ Assumptions'!$B$13,'⚙️ Other Assumptions'!$A$17:$A$19,0),MATCH(BE4,'⚙️ Other Assumptions'!$B$14:$AI$14,0)),
_xlpm.Default_max_val,INDEX('⚙️ Other Assumptions'!$B$24:$B$26,MATCH('⚙️ Assumptions'!$B$13,'⚙️ Other Assumptions'!$A$24:$A$26)),
_xlpm.Expected_number_of_sales, '⚙️ Assumptions'!$B$12,
IFERROR(_xlpm.Ramp_up_Percentage,_xlpm.Default_max_val)*_xlpm.Expected_number_of_sales)</f>
        <v>180</v>
      </c>
      <c r="BF7" s="61" t="n">
        <f aca="false">_xlfn.LET(
_xlpm.Ramp_up_Percentage, INDEX('⚙️ Other Assumptions'!$B$17:$Q$19,MATCH('⚙️ Assumptions'!$B$13,'⚙️ Other Assumptions'!$A$17:$A$19,0),MATCH(BF4,'⚙️ Other Assumptions'!$B$14:$AI$14,0)),
_xlpm.Default_max_val,INDEX('⚙️ Other Assumptions'!$B$24:$B$26,MATCH('⚙️ Assumptions'!$B$13,'⚙️ Other Assumptions'!$A$24:$A$26)),
_xlpm.Expected_number_of_sales, '⚙️ Assumptions'!$B$12,
IFERROR(_xlpm.Ramp_up_Percentage,_xlpm.Default_max_val)*_xlpm.Expected_number_of_sales)</f>
        <v>180</v>
      </c>
      <c r="BG7" s="61" t="n">
        <f aca="false">_xlfn.LET(
_xlpm.Ramp_up_Percentage, INDEX('⚙️ Other Assumptions'!$B$17:$Q$19,MATCH('⚙️ Assumptions'!$B$13,'⚙️ Other Assumptions'!$A$17:$A$19,0),MATCH(BG4,'⚙️ Other Assumptions'!$B$14:$AI$14,0)),
_xlpm.Default_max_val,INDEX('⚙️ Other Assumptions'!$B$24:$B$26,MATCH('⚙️ Assumptions'!$B$13,'⚙️ Other Assumptions'!$A$24:$A$26)),
_xlpm.Expected_number_of_sales, '⚙️ Assumptions'!$B$12,
IFERROR(_xlpm.Ramp_up_Percentage,_xlpm.Default_max_val)*_xlpm.Expected_number_of_sales)</f>
        <v>180</v>
      </c>
      <c r="BH7" s="61" t="n">
        <f aca="false">_xlfn.LET(
_xlpm.Ramp_up_Percentage, INDEX('⚙️ Other Assumptions'!$B$17:$Q$19,MATCH('⚙️ Assumptions'!$B$13,'⚙️ Other Assumptions'!$A$17:$A$19,0),MATCH(BH4,'⚙️ Other Assumptions'!$B$14:$AI$14,0)),
_xlpm.Default_max_val,INDEX('⚙️ Other Assumptions'!$B$24:$B$26,MATCH('⚙️ Assumptions'!$B$13,'⚙️ Other Assumptions'!$A$24:$A$26)),
_xlpm.Expected_number_of_sales, '⚙️ Assumptions'!$B$12,
IFERROR(_xlpm.Ramp_up_Percentage,_xlpm.Default_max_val)*_xlpm.Expected_number_of_sales)</f>
        <v>180</v>
      </c>
      <c r="BI7" s="61" t="n">
        <f aca="false">_xlfn.LET(
_xlpm.Ramp_up_Percentage, INDEX('⚙️ Other Assumptions'!$B$17:$Q$19,MATCH('⚙️ Assumptions'!$B$13,'⚙️ Other Assumptions'!$A$17:$A$19,0),MATCH(BI4,'⚙️ Other Assumptions'!$B$14:$AI$14,0)),
_xlpm.Default_max_val,INDEX('⚙️ Other Assumptions'!$B$24:$B$26,MATCH('⚙️ Assumptions'!$B$13,'⚙️ Other Assumptions'!$A$24:$A$26)),
_xlpm.Expected_number_of_sales, '⚙️ Assumptions'!$B$12,
IFERROR(_xlpm.Ramp_up_Percentage,_xlpm.Default_max_val)*_xlpm.Expected_number_of_sales)</f>
        <v>180</v>
      </c>
      <c r="BJ7" s="61" t="n">
        <f aca="false">_xlfn.LET(
_xlpm.Ramp_up_Percentage, INDEX('⚙️ Other Assumptions'!$B$17:$Q$19,MATCH('⚙️ Assumptions'!$B$13,'⚙️ Other Assumptions'!$A$17:$A$19,0),MATCH(BJ4,'⚙️ Other Assumptions'!$B$14:$AI$14,0)),
_xlpm.Default_max_val,INDEX('⚙️ Other Assumptions'!$B$24:$B$26,MATCH('⚙️ Assumptions'!$B$13,'⚙️ Other Assumptions'!$A$24:$A$26)),
_xlpm.Expected_number_of_sales, '⚙️ Assumptions'!$B$12,
IFERROR(_xlpm.Ramp_up_Percentage,_xlpm.Default_max_val)*_xlpm.Expected_number_of_sales)</f>
        <v>180</v>
      </c>
    </row>
    <row r="8" customFormat="false" ht="13.5" hidden="false" customHeight="true" outlineLevel="0" collapsed="false">
      <c r="A8" s="37" t="s">
        <v>228</v>
      </c>
      <c r="B8" s="62" t="n">
        <f aca="false">AVERAGEA(C8:AL8)</f>
        <v>30.4444444444444</v>
      </c>
      <c r="C8" s="63" t="n">
        <f aca="false">DAY(DATE(YEAR(C5), MONTH(C5)+1, 0))</f>
        <v>31</v>
      </c>
      <c r="D8" s="63" t="n">
        <f aca="false">DAY(DATE(YEAR(D5), MONTH(D5)+1, 0))</f>
        <v>30</v>
      </c>
      <c r="E8" s="63" t="n">
        <f aca="false">DAY(DATE(YEAR(E5), MONTH(E5)+1, 0))</f>
        <v>31</v>
      </c>
      <c r="F8" s="63" t="n">
        <f aca="false">DAY(DATE(YEAR(F5), MONTH(F5)+1, 0))</f>
        <v>31</v>
      </c>
      <c r="G8" s="63" t="n">
        <f aca="false">DAY(DATE(YEAR(G5), MONTH(G5)+1, 0))</f>
        <v>29</v>
      </c>
      <c r="H8" s="63" t="n">
        <f aca="false">DAY(DATE(YEAR(H5), MONTH(H5)+1, 0))</f>
        <v>31</v>
      </c>
      <c r="I8" s="63" t="n">
        <f aca="false">DAY(DATE(YEAR(I5), MONTH(I5)+1, 0))</f>
        <v>30</v>
      </c>
      <c r="J8" s="63" t="n">
        <f aca="false">DAY(DATE(YEAR(J5), MONTH(J5)+1, 0))</f>
        <v>31</v>
      </c>
      <c r="K8" s="63" t="n">
        <f aca="false">DAY(DATE(YEAR(K5), MONTH(K5)+1, 0))</f>
        <v>30</v>
      </c>
      <c r="L8" s="63" t="n">
        <f aca="false">DAY(DATE(YEAR(L5), MONTH(L5)+1, 0))</f>
        <v>31</v>
      </c>
      <c r="M8" s="63" t="n">
        <f aca="false">DAY(DATE(YEAR(M5), MONTH(M5)+1, 0))</f>
        <v>31</v>
      </c>
      <c r="N8" s="63" t="n">
        <f aca="false">DAY(DATE(YEAR(N5), MONTH(N5)+1, 0))</f>
        <v>30</v>
      </c>
      <c r="O8" s="63" t="n">
        <f aca="false">DAY(DATE(YEAR(O5), MONTH(O5)+1, 0))</f>
        <v>31</v>
      </c>
      <c r="P8" s="63" t="n">
        <f aca="false">DAY(DATE(YEAR(P5), MONTH(P5)+1, 0))</f>
        <v>30</v>
      </c>
      <c r="Q8" s="63" t="n">
        <f aca="false">DAY(DATE(YEAR(Q5), MONTH(Q5)+1, 0))</f>
        <v>31</v>
      </c>
      <c r="R8" s="63" t="n">
        <f aca="false">DAY(DATE(YEAR(R5), MONTH(R5)+1, 0))</f>
        <v>31</v>
      </c>
      <c r="S8" s="63" t="n">
        <f aca="false">DAY(DATE(YEAR(S5), MONTH(S5)+1, 0))</f>
        <v>28</v>
      </c>
      <c r="T8" s="63" t="n">
        <f aca="false">DAY(DATE(YEAR(T5), MONTH(T5)+1, 0))</f>
        <v>31</v>
      </c>
      <c r="U8" s="63" t="n">
        <f aca="false">DAY(DATE(YEAR(U5), MONTH(U5)+1, 0))</f>
        <v>30</v>
      </c>
      <c r="V8" s="63" t="n">
        <f aca="false">DAY(DATE(YEAR(V5), MONTH(V5)+1, 0))</f>
        <v>31</v>
      </c>
      <c r="W8" s="63" t="n">
        <f aca="false">DAY(DATE(YEAR(W5), MONTH(W5)+1, 0))</f>
        <v>30</v>
      </c>
      <c r="X8" s="63" t="n">
        <f aca="false">DAY(DATE(YEAR(X5), MONTH(X5)+1, 0))</f>
        <v>31</v>
      </c>
      <c r="Y8" s="63" t="n">
        <f aca="false">DAY(DATE(YEAR(Y5), MONTH(Y5)+1, 0))</f>
        <v>31</v>
      </c>
      <c r="Z8" s="63" t="n">
        <f aca="false">DAY(DATE(YEAR(Z5), MONTH(Z5)+1, 0))</f>
        <v>30</v>
      </c>
      <c r="AA8" s="63" t="n">
        <f aca="false">DAY(DATE(YEAR(AA5), MONTH(AA5)+1, 0))</f>
        <v>31</v>
      </c>
      <c r="AB8" s="63" t="n">
        <f aca="false">DAY(DATE(YEAR(AB5), MONTH(AB5)+1, 0))</f>
        <v>30</v>
      </c>
      <c r="AC8" s="63" t="n">
        <f aca="false">DAY(DATE(YEAR(AC5), MONTH(AC5)+1, 0))</f>
        <v>31</v>
      </c>
      <c r="AD8" s="63" t="n">
        <f aca="false">DAY(DATE(YEAR(AD5), MONTH(AD5)+1, 0))</f>
        <v>31</v>
      </c>
      <c r="AE8" s="63" t="n">
        <f aca="false">DAY(DATE(YEAR(AE5), MONTH(AE5)+1, 0))</f>
        <v>28</v>
      </c>
      <c r="AF8" s="63" t="n">
        <f aca="false">DAY(DATE(YEAR(AF5), MONTH(AF5)+1, 0))</f>
        <v>31</v>
      </c>
      <c r="AG8" s="63" t="n">
        <f aca="false">DAY(DATE(YEAR(AG5), MONTH(AG5)+1, 0))</f>
        <v>30</v>
      </c>
      <c r="AH8" s="63" t="n">
        <f aca="false">DAY(DATE(YEAR(AH5), MONTH(AH5)+1, 0))</f>
        <v>31</v>
      </c>
      <c r="AI8" s="63" t="n">
        <f aca="false">DAY(DATE(YEAR(AI5), MONTH(AI5)+1, 0))</f>
        <v>30</v>
      </c>
      <c r="AJ8" s="63" t="n">
        <f aca="false">DAY(DATE(YEAR(AJ5), MONTH(AJ5)+1, 0))</f>
        <v>31</v>
      </c>
      <c r="AK8" s="63" t="n">
        <f aca="false">DAY(DATE(YEAR(AK5), MONTH(AK5)+1, 0))</f>
        <v>31</v>
      </c>
      <c r="AL8" s="63" t="n">
        <f aca="false">DAY(DATE(YEAR(AL5), MONTH(AL5)+1, 0))</f>
        <v>30</v>
      </c>
      <c r="AM8" s="63" t="n">
        <f aca="false">DAY(DATE(YEAR(AM5), MONTH(AM5)+1, 0))</f>
        <v>31</v>
      </c>
      <c r="AN8" s="63" t="n">
        <f aca="false">DAY(DATE(YEAR(AN5), MONTH(AN5)+1, 0))</f>
        <v>30</v>
      </c>
      <c r="AO8" s="63" t="n">
        <f aca="false">DAY(DATE(YEAR(AO5), MONTH(AO5)+1, 0))</f>
        <v>31</v>
      </c>
      <c r="AP8" s="63" t="n">
        <f aca="false">DAY(DATE(YEAR(AP5), MONTH(AP5)+1, 0))</f>
        <v>31</v>
      </c>
      <c r="AQ8" s="63" t="n">
        <f aca="false">DAY(DATE(YEAR(AQ5), MONTH(AQ5)+1, 0))</f>
        <v>28</v>
      </c>
      <c r="AR8" s="63" t="n">
        <f aca="false">DAY(DATE(YEAR(AR5), MONTH(AR5)+1, 0))</f>
        <v>31</v>
      </c>
      <c r="AS8" s="63" t="n">
        <f aca="false">DAY(DATE(YEAR(AS5), MONTH(AS5)+1, 0))</f>
        <v>30</v>
      </c>
      <c r="AT8" s="63" t="n">
        <f aca="false">DAY(DATE(YEAR(AT5), MONTH(AT5)+1, 0))</f>
        <v>31</v>
      </c>
      <c r="AU8" s="63" t="n">
        <f aca="false">DAY(DATE(YEAR(AU5), MONTH(AU5)+1, 0))</f>
        <v>30</v>
      </c>
      <c r="AV8" s="63" t="n">
        <f aca="false">DAY(DATE(YEAR(AV5), MONTH(AV5)+1, 0))</f>
        <v>31</v>
      </c>
      <c r="AW8" s="63" t="n">
        <f aca="false">DAY(DATE(YEAR(AW5), MONTH(AW5)+1, 0))</f>
        <v>31</v>
      </c>
      <c r="AX8" s="63" t="n">
        <f aca="false">DAY(DATE(YEAR(AX5), MONTH(AX5)+1, 0))</f>
        <v>30</v>
      </c>
      <c r="AY8" s="63" t="n">
        <f aca="false">DAY(DATE(YEAR(AY5), MONTH(AY5)+1, 0))</f>
        <v>31</v>
      </c>
      <c r="AZ8" s="63" t="n">
        <f aca="false">DAY(DATE(YEAR(AZ5), MONTH(AZ5)+1, 0))</f>
        <v>30</v>
      </c>
      <c r="BA8" s="63" t="n">
        <f aca="false">DAY(DATE(YEAR(BA5), MONTH(BA5)+1, 0))</f>
        <v>31</v>
      </c>
      <c r="BB8" s="63" t="n">
        <f aca="false">DAY(DATE(YEAR(BB5), MONTH(BB5)+1, 0))</f>
        <v>31</v>
      </c>
      <c r="BC8" s="63" t="n">
        <f aca="false">DAY(DATE(YEAR(BC5), MONTH(BC5)+1, 0))</f>
        <v>29</v>
      </c>
      <c r="BD8" s="63" t="n">
        <f aca="false">DAY(DATE(YEAR(BD5), MONTH(BD5)+1, 0))</f>
        <v>31</v>
      </c>
      <c r="BE8" s="63" t="n">
        <f aca="false">DAY(DATE(YEAR(BE5), MONTH(BE5)+1, 0))</f>
        <v>30</v>
      </c>
      <c r="BF8" s="63" t="n">
        <f aca="false">DAY(DATE(YEAR(BF5), MONTH(BF5)+1, 0))</f>
        <v>31</v>
      </c>
      <c r="BG8" s="63" t="n">
        <f aca="false">DAY(DATE(YEAR(BG5), MONTH(BG5)+1, 0))</f>
        <v>30</v>
      </c>
      <c r="BH8" s="63" t="n">
        <f aca="false">DAY(DATE(YEAR(BH5), MONTH(BH5)+1, 0))</f>
        <v>31</v>
      </c>
      <c r="BI8" s="63" t="n">
        <f aca="false">DAY(DATE(YEAR(BI5), MONTH(BI5)+1, 0))</f>
        <v>31</v>
      </c>
      <c r="BJ8" s="63" t="n">
        <f aca="false">DAY(DATE(YEAR(BJ5), MONTH(BJ5)+1, 0))</f>
        <v>30</v>
      </c>
    </row>
    <row r="9" customFormat="false" ht="13.5" hidden="false" customHeight="true" outlineLevel="0" collapsed="false">
      <c r="A9" s="38" t="s">
        <v>229</v>
      </c>
      <c r="B9" s="62" t="n">
        <f aca="false">SUM(C9:AL9)</f>
        <v>38.1</v>
      </c>
      <c r="C9" s="63" t="n">
        <f aca="false">INDEX('⚙️ Other Assumptions'!$B$16:$M$16,MATCH(MONTH(C5),'⚙️ Other Assumptions'!$B$14:$M$14,0))</f>
        <v>0.95</v>
      </c>
      <c r="D9" s="63" t="n">
        <f aca="false">INDEX('⚙️ Other Assumptions'!$B$16:$M$16,MATCH(MONTH(D5),'⚙️ Other Assumptions'!$B$14:$M$14,0))</f>
        <v>1.05</v>
      </c>
      <c r="E9" s="63" t="n">
        <f aca="false">INDEX('⚙️ Other Assumptions'!$B$16:$M$16,MATCH(MONTH(E5),'⚙️ Other Assumptions'!$B$14:$M$14,0))</f>
        <v>1.2</v>
      </c>
      <c r="F9" s="63" t="n">
        <f aca="false">INDEX('⚙️ Other Assumptions'!$B$16:$M$16,MATCH(MONTH(F5),'⚙️ Other Assumptions'!$B$14:$M$14,0))</f>
        <v>1.2</v>
      </c>
      <c r="G9" s="63" t="n">
        <f aca="false">INDEX('⚙️ Other Assumptions'!$B$16:$M$16,MATCH(MONTH(G5),'⚙️ Other Assumptions'!$B$14:$M$14,0))</f>
        <v>0.85</v>
      </c>
      <c r="H9" s="63" t="n">
        <f aca="false">INDEX('⚙️ Other Assumptions'!$B$16:$M$16,MATCH(MONTH(H5),'⚙️ Other Assumptions'!$B$14:$M$14,0))</f>
        <v>0.95</v>
      </c>
      <c r="I9" s="63" t="n">
        <f aca="false">INDEX('⚙️ Other Assumptions'!$B$16:$M$16,MATCH(MONTH(I5),'⚙️ Other Assumptions'!$B$14:$M$14,0))</f>
        <v>1.15</v>
      </c>
      <c r="J9" s="63" t="n">
        <f aca="false">INDEX('⚙️ Other Assumptions'!$B$16:$M$16,MATCH(MONTH(J5),'⚙️ Other Assumptions'!$B$14:$M$14,0))</f>
        <v>1.05</v>
      </c>
      <c r="K9" s="63" t="n">
        <f aca="false">INDEX('⚙️ Other Assumptions'!$B$16:$M$16,MATCH(MONTH(K5),'⚙️ Other Assumptions'!$B$14:$M$14,0))</f>
        <v>1.2</v>
      </c>
      <c r="L9" s="63" t="n">
        <f aca="false">INDEX('⚙️ Other Assumptions'!$B$16:$M$16,MATCH(MONTH(L5),'⚙️ Other Assumptions'!$B$14:$M$14,0))</f>
        <v>1.15</v>
      </c>
      <c r="M9" s="63" t="n">
        <f aca="false">INDEX('⚙️ Other Assumptions'!$B$16:$M$16,MATCH(MONTH(M5),'⚙️ Other Assumptions'!$B$14:$M$14,0))</f>
        <v>1</v>
      </c>
      <c r="N9" s="63" t="n">
        <f aca="false">INDEX('⚙️ Other Assumptions'!$B$16:$M$16,MATCH(MONTH(N5),'⚙️ Other Assumptions'!$B$14:$M$14,0))</f>
        <v>0.95</v>
      </c>
      <c r="O9" s="63" t="n">
        <f aca="false">INDEX('⚙️ Other Assumptions'!$B$16:$M$16,MATCH(MONTH(O5),'⚙️ Other Assumptions'!$B$14:$M$14,0))</f>
        <v>0.95</v>
      </c>
      <c r="P9" s="63" t="n">
        <f aca="false">INDEX('⚙️ Other Assumptions'!$B$16:$M$16,MATCH(MONTH(P5),'⚙️ Other Assumptions'!$B$14:$M$14,0))</f>
        <v>1.05</v>
      </c>
      <c r="Q9" s="63" t="n">
        <f aca="false">INDEX('⚙️ Other Assumptions'!$B$16:$M$16,MATCH(MONTH(Q5),'⚙️ Other Assumptions'!$B$14:$M$14,0))</f>
        <v>1.2</v>
      </c>
      <c r="R9" s="63" t="n">
        <f aca="false">INDEX('⚙️ Other Assumptions'!$B$16:$M$16,MATCH(MONTH(R5),'⚙️ Other Assumptions'!$B$14:$M$14,0))</f>
        <v>1.2</v>
      </c>
      <c r="S9" s="63" t="n">
        <f aca="false">INDEX('⚙️ Other Assumptions'!$B$16:$M$16,MATCH(MONTH(S5),'⚙️ Other Assumptions'!$B$14:$M$14,0))</f>
        <v>0.85</v>
      </c>
      <c r="T9" s="63" t="n">
        <f aca="false">INDEX('⚙️ Other Assumptions'!$B$16:$M$16,MATCH(MONTH(T5),'⚙️ Other Assumptions'!$B$14:$M$14,0))</f>
        <v>0.95</v>
      </c>
      <c r="U9" s="63" t="n">
        <f aca="false">INDEX('⚙️ Other Assumptions'!$B$16:$M$16,MATCH(MONTH(U5),'⚙️ Other Assumptions'!$B$14:$M$14,0))</f>
        <v>1.15</v>
      </c>
      <c r="V9" s="63" t="n">
        <f aca="false">INDEX('⚙️ Other Assumptions'!$B$16:$M$16,MATCH(MONTH(V5),'⚙️ Other Assumptions'!$B$14:$M$14,0))</f>
        <v>1.05</v>
      </c>
      <c r="W9" s="63" t="n">
        <f aca="false">INDEX('⚙️ Other Assumptions'!$B$16:$M$16,MATCH(MONTH(W5),'⚙️ Other Assumptions'!$B$14:$M$14,0))</f>
        <v>1.2</v>
      </c>
      <c r="X9" s="63" t="n">
        <f aca="false">INDEX('⚙️ Other Assumptions'!$B$16:$M$16,MATCH(MONTH(X5),'⚙️ Other Assumptions'!$B$14:$M$14,0))</f>
        <v>1.15</v>
      </c>
      <c r="Y9" s="63" t="n">
        <f aca="false">INDEX('⚙️ Other Assumptions'!$B$16:$M$16,MATCH(MONTH(Y5),'⚙️ Other Assumptions'!$B$14:$M$14,0))</f>
        <v>1</v>
      </c>
      <c r="Z9" s="63" t="n">
        <f aca="false">INDEX('⚙️ Other Assumptions'!$B$16:$M$16,MATCH(MONTH(Z5),'⚙️ Other Assumptions'!$B$14:$M$14,0))</f>
        <v>0.95</v>
      </c>
      <c r="AA9" s="63" t="n">
        <f aca="false">INDEX('⚙️ Other Assumptions'!$B$16:$M$16,MATCH(MONTH(AA5),'⚙️ Other Assumptions'!$B$14:$M$14,0))</f>
        <v>0.95</v>
      </c>
      <c r="AB9" s="63" t="n">
        <f aca="false">INDEX('⚙️ Other Assumptions'!$B$16:$M$16,MATCH(MONTH(AB5),'⚙️ Other Assumptions'!$B$14:$M$14,0))</f>
        <v>1.05</v>
      </c>
      <c r="AC9" s="63" t="n">
        <f aca="false">INDEX('⚙️ Other Assumptions'!$B$16:$M$16,MATCH(MONTH(AC5),'⚙️ Other Assumptions'!$B$14:$M$14,0))</f>
        <v>1.2</v>
      </c>
      <c r="AD9" s="63" t="n">
        <f aca="false">INDEX('⚙️ Other Assumptions'!$B$16:$M$16,MATCH(MONTH(AD5),'⚙️ Other Assumptions'!$B$14:$M$14,0))</f>
        <v>1.2</v>
      </c>
      <c r="AE9" s="63" t="n">
        <f aca="false">INDEX('⚙️ Other Assumptions'!$B$16:$M$16,MATCH(MONTH(AE5),'⚙️ Other Assumptions'!$B$14:$M$14,0))</f>
        <v>0.85</v>
      </c>
      <c r="AF9" s="63" t="n">
        <f aca="false">INDEX('⚙️ Other Assumptions'!$B$16:$M$16,MATCH(MONTH(AF5),'⚙️ Other Assumptions'!$B$14:$M$14,0))</f>
        <v>0.95</v>
      </c>
      <c r="AG9" s="63" t="n">
        <f aca="false">INDEX('⚙️ Other Assumptions'!$B$16:$M$16,MATCH(MONTH(AG5),'⚙️ Other Assumptions'!$B$14:$M$14,0))</f>
        <v>1.15</v>
      </c>
      <c r="AH9" s="63" t="n">
        <f aca="false">INDEX('⚙️ Other Assumptions'!$B$16:$M$16,MATCH(MONTH(AH5),'⚙️ Other Assumptions'!$B$14:$M$14,0))</f>
        <v>1.05</v>
      </c>
      <c r="AI9" s="63" t="n">
        <f aca="false">INDEX('⚙️ Other Assumptions'!$B$16:$M$16,MATCH(MONTH(AI5),'⚙️ Other Assumptions'!$B$14:$M$14,0))</f>
        <v>1.2</v>
      </c>
      <c r="AJ9" s="63" t="n">
        <f aca="false">INDEX('⚙️ Other Assumptions'!$B$16:$M$16,MATCH(MONTH(AJ5),'⚙️ Other Assumptions'!$B$14:$M$14,0))</f>
        <v>1.15</v>
      </c>
      <c r="AK9" s="63" t="n">
        <f aca="false">INDEX('⚙️ Other Assumptions'!$B$16:$M$16,MATCH(MONTH(AK5),'⚙️ Other Assumptions'!$B$14:$M$14,0))</f>
        <v>1</v>
      </c>
      <c r="AL9" s="63" t="n">
        <f aca="false">INDEX('⚙️ Other Assumptions'!$B$16:$M$16,MATCH(MONTH(AL5),'⚙️ Other Assumptions'!$B$14:$M$14,0))</f>
        <v>0.95</v>
      </c>
      <c r="AM9" s="63" t="n">
        <f aca="false">INDEX('⚙️ Other Assumptions'!$B$16:$M$16,MATCH(MONTH(AM5),'⚙️ Other Assumptions'!$B$14:$M$14,0))</f>
        <v>0.95</v>
      </c>
      <c r="AN9" s="63" t="n">
        <f aca="false">INDEX('⚙️ Other Assumptions'!$B$16:$M$16,MATCH(MONTH(AN5),'⚙️ Other Assumptions'!$B$14:$M$14,0))</f>
        <v>1.05</v>
      </c>
      <c r="AO9" s="63" t="n">
        <f aca="false">INDEX('⚙️ Other Assumptions'!$B$16:$M$16,MATCH(MONTH(AO5),'⚙️ Other Assumptions'!$B$14:$M$14,0))</f>
        <v>1.2</v>
      </c>
      <c r="AP9" s="63" t="n">
        <f aca="false">INDEX('⚙️ Other Assumptions'!$B$16:$M$16,MATCH(MONTH(AP5),'⚙️ Other Assumptions'!$B$14:$M$14,0))</f>
        <v>1.2</v>
      </c>
      <c r="AQ9" s="63" t="n">
        <f aca="false">INDEX('⚙️ Other Assumptions'!$B$16:$M$16,MATCH(MONTH(AQ5),'⚙️ Other Assumptions'!$B$14:$M$14,0))</f>
        <v>0.85</v>
      </c>
      <c r="AR9" s="63" t="n">
        <f aca="false">INDEX('⚙️ Other Assumptions'!$B$16:$M$16,MATCH(MONTH(AR5),'⚙️ Other Assumptions'!$B$14:$M$14,0))</f>
        <v>0.95</v>
      </c>
      <c r="AS9" s="63" t="n">
        <f aca="false">INDEX('⚙️ Other Assumptions'!$B$16:$M$16,MATCH(MONTH(AS5),'⚙️ Other Assumptions'!$B$14:$M$14,0))</f>
        <v>1.15</v>
      </c>
      <c r="AT9" s="63" t="n">
        <f aca="false">INDEX('⚙️ Other Assumptions'!$B$16:$M$16,MATCH(MONTH(AT5),'⚙️ Other Assumptions'!$B$14:$M$14,0))</f>
        <v>1.05</v>
      </c>
      <c r="AU9" s="63" t="n">
        <f aca="false">INDEX('⚙️ Other Assumptions'!$B$16:$M$16,MATCH(MONTH(AU5),'⚙️ Other Assumptions'!$B$14:$M$14,0))</f>
        <v>1.2</v>
      </c>
      <c r="AV9" s="63" t="n">
        <f aca="false">INDEX('⚙️ Other Assumptions'!$B$16:$M$16,MATCH(MONTH(AV5),'⚙️ Other Assumptions'!$B$14:$M$14,0))</f>
        <v>1.15</v>
      </c>
      <c r="AW9" s="63" t="n">
        <f aca="false">INDEX('⚙️ Other Assumptions'!$B$16:$M$16,MATCH(MONTH(AW5),'⚙️ Other Assumptions'!$B$14:$M$14,0))</f>
        <v>1</v>
      </c>
      <c r="AX9" s="63" t="n">
        <f aca="false">INDEX('⚙️ Other Assumptions'!$B$16:$M$16,MATCH(MONTH(AX5),'⚙️ Other Assumptions'!$B$14:$M$14,0))</f>
        <v>0.95</v>
      </c>
      <c r="AY9" s="63" t="n">
        <f aca="false">INDEX('⚙️ Other Assumptions'!$B$16:$M$16,MATCH(MONTH(AY5),'⚙️ Other Assumptions'!$B$14:$M$14,0))</f>
        <v>0.95</v>
      </c>
      <c r="AZ9" s="63" t="n">
        <f aca="false">INDEX('⚙️ Other Assumptions'!$B$16:$M$16,MATCH(MONTH(AZ5),'⚙️ Other Assumptions'!$B$14:$M$14,0))</f>
        <v>1.05</v>
      </c>
      <c r="BA9" s="63" t="n">
        <f aca="false">INDEX('⚙️ Other Assumptions'!$B$16:$M$16,MATCH(MONTH(BA5),'⚙️ Other Assumptions'!$B$14:$M$14,0))</f>
        <v>1.2</v>
      </c>
      <c r="BB9" s="63" t="n">
        <f aca="false">INDEX('⚙️ Other Assumptions'!$B$16:$M$16,MATCH(MONTH(BB5),'⚙️ Other Assumptions'!$B$14:$M$14,0))</f>
        <v>1.2</v>
      </c>
      <c r="BC9" s="63" t="n">
        <f aca="false">INDEX('⚙️ Other Assumptions'!$B$16:$M$16,MATCH(MONTH(BC5),'⚙️ Other Assumptions'!$B$14:$M$14,0))</f>
        <v>0.85</v>
      </c>
      <c r="BD9" s="63" t="n">
        <f aca="false">INDEX('⚙️ Other Assumptions'!$B$16:$M$16,MATCH(MONTH(BD5),'⚙️ Other Assumptions'!$B$14:$M$14,0))</f>
        <v>0.95</v>
      </c>
      <c r="BE9" s="63" t="n">
        <f aca="false">INDEX('⚙️ Other Assumptions'!$B$16:$M$16,MATCH(MONTH(BE5),'⚙️ Other Assumptions'!$B$14:$M$14,0))</f>
        <v>1.15</v>
      </c>
      <c r="BF9" s="63" t="n">
        <f aca="false">INDEX('⚙️ Other Assumptions'!$B$16:$M$16,MATCH(MONTH(BF5),'⚙️ Other Assumptions'!$B$14:$M$14,0))</f>
        <v>1.05</v>
      </c>
      <c r="BG9" s="63" t="n">
        <f aca="false">INDEX('⚙️ Other Assumptions'!$B$16:$M$16,MATCH(MONTH(BG5),'⚙️ Other Assumptions'!$B$14:$M$14,0))</f>
        <v>1.2</v>
      </c>
      <c r="BH9" s="63" t="n">
        <f aca="false">INDEX('⚙️ Other Assumptions'!$B$16:$M$16,MATCH(MONTH(BH5),'⚙️ Other Assumptions'!$B$14:$M$14,0))</f>
        <v>1.15</v>
      </c>
      <c r="BI9" s="63" t="n">
        <f aca="false">INDEX('⚙️ Other Assumptions'!$B$16:$M$16,MATCH(MONTH(BI5),'⚙️ Other Assumptions'!$B$14:$M$14,0))</f>
        <v>1</v>
      </c>
      <c r="BJ9" s="63" t="n">
        <f aca="false">INDEX('⚙️ Other Assumptions'!$B$16:$M$16,MATCH(MONTH(BJ5),'⚙️ Other Assumptions'!$B$14:$M$14,0))</f>
        <v>0.95</v>
      </c>
    </row>
    <row r="10" customFormat="false" ht="13.5" hidden="false" customHeight="true" outlineLevel="0" collapsed="false">
      <c r="A10" s="37" t="s">
        <v>230</v>
      </c>
      <c r="B10" s="60" t="n">
        <f aca="false">AVERAGEA(C10:AL10)</f>
        <v>75000</v>
      </c>
      <c r="C10" s="64" t="n">
        <v>75000</v>
      </c>
      <c r="D10" s="64" t="n">
        <v>75000</v>
      </c>
      <c r="E10" s="64" t="n">
        <v>75000</v>
      </c>
      <c r="F10" s="64" t="n">
        <v>75000</v>
      </c>
      <c r="G10" s="64" t="n">
        <v>75000</v>
      </c>
      <c r="H10" s="64" t="n">
        <v>75000</v>
      </c>
      <c r="I10" s="64" t="n">
        <v>75000</v>
      </c>
      <c r="J10" s="64" t="n">
        <v>75000</v>
      </c>
      <c r="K10" s="64" t="n">
        <v>75000</v>
      </c>
      <c r="L10" s="64" t="n">
        <v>75000</v>
      </c>
      <c r="M10" s="64" t="n">
        <v>75000</v>
      </c>
      <c r="N10" s="64" t="n">
        <v>75000</v>
      </c>
      <c r="O10" s="64" t="n">
        <v>75000</v>
      </c>
      <c r="P10" s="64" t="n">
        <v>75000</v>
      </c>
      <c r="Q10" s="64" t="n">
        <v>75000</v>
      </c>
      <c r="R10" s="64" t="n">
        <v>75000</v>
      </c>
      <c r="S10" s="64" t="n">
        <v>75000</v>
      </c>
      <c r="T10" s="64" t="n">
        <v>75000</v>
      </c>
      <c r="U10" s="64" t="n">
        <v>75000</v>
      </c>
      <c r="V10" s="64" t="n">
        <v>75000</v>
      </c>
      <c r="W10" s="64" t="n">
        <v>75000</v>
      </c>
      <c r="X10" s="64" t="n">
        <v>75000</v>
      </c>
      <c r="Y10" s="64" t="n">
        <v>75000</v>
      </c>
      <c r="Z10" s="64" t="n">
        <v>75000</v>
      </c>
      <c r="AA10" s="64" t="n">
        <v>75000</v>
      </c>
      <c r="AB10" s="64" t="n">
        <v>75000</v>
      </c>
      <c r="AC10" s="64" t="n">
        <v>75000</v>
      </c>
      <c r="AD10" s="64" t="n">
        <v>75000</v>
      </c>
      <c r="AE10" s="64" t="n">
        <v>75000</v>
      </c>
      <c r="AF10" s="64" t="n">
        <v>75000</v>
      </c>
      <c r="AG10" s="64" t="n">
        <v>75000</v>
      </c>
      <c r="AH10" s="64" t="n">
        <v>75000</v>
      </c>
      <c r="AI10" s="64" t="n">
        <v>75000</v>
      </c>
      <c r="AJ10" s="64" t="n">
        <v>75000</v>
      </c>
      <c r="AK10" s="64" t="n">
        <v>75000</v>
      </c>
      <c r="AL10" s="64" t="n">
        <v>75000</v>
      </c>
      <c r="AM10" s="64" t="n">
        <v>75000</v>
      </c>
      <c r="AN10" s="64" t="n">
        <v>75000</v>
      </c>
      <c r="AO10" s="64" t="n">
        <v>75000</v>
      </c>
      <c r="AP10" s="64" t="n">
        <v>75000</v>
      </c>
      <c r="AQ10" s="64" t="n">
        <v>75000</v>
      </c>
      <c r="AR10" s="64" t="n">
        <v>75000</v>
      </c>
      <c r="AS10" s="64" t="n">
        <v>75000</v>
      </c>
      <c r="AT10" s="64" t="n">
        <v>75000</v>
      </c>
      <c r="AU10" s="64" t="n">
        <v>75000</v>
      </c>
      <c r="AV10" s="64" t="n">
        <v>75000</v>
      </c>
      <c r="AW10" s="64" t="n">
        <v>75000</v>
      </c>
      <c r="AX10" s="64" t="n">
        <v>75000</v>
      </c>
      <c r="AY10" s="64" t="n">
        <v>75000</v>
      </c>
      <c r="AZ10" s="64" t="n">
        <v>75000</v>
      </c>
      <c r="BA10" s="64" t="n">
        <v>75000</v>
      </c>
      <c r="BB10" s="64" t="n">
        <v>75000</v>
      </c>
      <c r="BC10" s="64" t="n">
        <v>75000</v>
      </c>
      <c r="BD10" s="64" t="n">
        <v>75000</v>
      </c>
      <c r="BE10" s="64" t="n">
        <v>75000</v>
      </c>
      <c r="BF10" s="64" t="n">
        <v>75000</v>
      </c>
      <c r="BG10" s="64" t="n">
        <v>75000</v>
      </c>
      <c r="BH10" s="64" t="n">
        <v>75000</v>
      </c>
      <c r="BI10" s="64" t="n">
        <v>75000</v>
      </c>
      <c r="BJ10" s="64" t="n">
        <v>75000</v>
      </c>
    </row>
    <row r="11" customFormat="false" ht="13.5" hidden="false" customHeight="true" outlineLevel="0" collapsed="false">
      <c r="A11" s="38" t="s">
        <v>231</v>
      </c>
      <c r="B11" s="65" t="n">
        <f aca="false">AVERAGE(C11:AL11)</f>
        <v>0.8</v>
      </c>
      <c r="C11" s="53" t="n">
        <v>0.8</v>
      </c>
      <c r="D11" s="53" t="n">
        <v>0.8</v>
      </c>
      <c r="E11" s="53" t="n">
        <v>0.8</v>
      </c>
      <c r="F11" s="53" t="n">
        <v>0.8</v>
      </c>
      <c r="G11" s="53" t="n">
        <v>0.8</v>
      </c>
      <c r="H11" s="53" t="n">
        <v>0.8</v>
      </c>
      <c r="I11" s="53" t="n">
        <v>0.8</v>
      </c>
      <c r="J11" s="53" t="n">
        <v>0.8</v>
      </c>
      <c r="K11" s="53" t="n">
        <v>0.8</v>
      </c>
      <c r="L11" s="53" t="n">
        <v>0.8</v>
      </c>
      <c r="M11" s="53" t="n">
        <v>0.8</v>
      </c>
      <c r="N11" s="53" t="n">
        <v>0.8</v>
      </c>
      <c r="O11" s="53" t="n">
        <v>0.8</v>
      </c>
      <c r="P11" s="53" t="n">
        <v>0.8</v>
      </c>
      <c r="Q11" s="53" t="n">
        <v>0.8</v>
      </c>
      <c r="R11" s="53" t="n">
        <v>0.8</v>
      </c>
      <c r="S11" s="53" t="n">
        <v>0.8</v>
      </c>
      <c r="T11" s="53" t="n">
        <v>0.8</v>
      </c>
      <c r="U11" s="53" t="n">
        <v>0.8</v>
      </c>
      <c r="V11" s="53" t="n">
        <v>0.8</v>
      </c>
      <c r="W11" s="53" t="n">
        <v>0.8</v>
      </c>
      <c r="X11" s="53" t="n">
        <v>0.8</v>
      </c>
      <c r="Y11" s="53" t="n">
        <v>0.8</v>
      </c>
      <c r="Z11" s="53" t="n">
        <v>0.8</v>
      </c>
      <c r="AA11" s="53" t="n">
        <v>0.8</v>
      </c>
      <c r="AB11" s="53" t="n">
        <v>0.8</v>
      </c>
      <c r="AC11" s="53" t="n">
        <v>0.8</v>
      </c>
      <c r="AD11" s="53" t="n">
        <v>0.8</v>
      </c>
      <c r="AE11" s="53" t="n">
        <v>0.8</v>
      </c>
      <c r="AF11" s="53" t="n">
        <v>0.8</v>
      </c>
      <c r="AG11" s="53" t="n">
        <v>0.8</v>
      </c>
      <c r="AH11" s="53" t="n">
        <v>0.8</v>
      </c>
      <c r="AI11" s="53" t="n">
        <v>0.8</v>
      </c>
      <c r="AJ11" s="53" t="n">
        <v>0.8</v>
      </c>
      <c r="AK11" s="53" t="n">
        <v>0.8</v>
      </c>
      <c r="AL11" s="53" t="n">
        <v>0.8</v>
      </c>
      <c r="AM11" s="53" t="n">
        <v>0.8</v>
      </c>
      <c r="AN11" s="53" t="n">
        <v>0.8</v>
      </c>
      <c r="AO11" s="53" t="n">
        <v>0.8</v>
      </c>
      <c r="AP11" s="53" t="n">
        <v>0.8</v>
      </c>
      <c r="AQ11" s="53" t="n">
        <v>0.8</v>
      </c>
      <c r="AR11" s="53" t="n">
        <v>0.8</v>
      </c>
      <c r="AS11" s="53" t="n">
        <v>0.8</v>
      </c>
      <c r="AT11" s="53" t="n">
        <v>0.8</v>
      </c>
      <c r="AU11" s="53" t="n">
        <v>0.8</v>
      </c>
      <c r="AV11" s="53" t="n">
        <v>0.8</v>
      </c>
      <c r="AW11" s="53" t="n">
        <v>0.8</v>
      </c>
      <c r="AX11" s="53" t="n">
        <v>0.8</v>
      </c>
      <c r="AY11" s="53" t="n">
        <v>0.8</v>
      </c>
      <c r="AZ11" s="53" t="n">
        <v>0.8</v>
      </c>
      <c r="BA11" s="53" t="n">
        <v>0.8</v>
      </c>
      <c r="BB11" s="53" t="n">
        <v>0.8</v>
      </c>
      <c r="BC11" s="53" t="n">
        <v>0.8</v>
      </c>
      <c r="BD11" s="53" t="n">
        <v>0.8</v>
      </c>
      <c r="BE11" s="53" t="n">
        <v>0.8</v>
      </c>
      <c r="BF11" s="53" t="n">
        <v>0.8</v>
      </c>
      <c r="BG11" s="53" t="n">
        <v>0.8</v>
      </c>
      <c r="BH11" s="53" t="n">
        <v>0.8</v>
      </c>
      <c r="BI11" s="53" t="n">
        <v>0.8</v>
      </c>
      <c r="BJ11" s="53" t="n">
        <v>0.8</v>
      </c>
    </row>
    <row r="12" customFormat="false" ht="13.5" hidden="false" customHeight="true" outlineLevel="0" collapsed="false">
      <c r="A12" s="59" t="s">
        <v>232</v>
      </c>
      <c r="B12" s="59"/>
      <c r="C12" s="59"/>
      <c r="D12" s="59"/>
      <c r="E12" s="59"/>
      <c r="F12" s="59"/>
      <c r="G12" s="59"/>
      <c r="H12" s="59"/>
      <c r="I12" s="59"/>
      <c r="J12" s="59"/>
      <c r="K12" s="59"/>
      <c r="L12" s="59"/>
      <c r="M12" s="59"/>
      <c r="N12" s="59"/>
      <c r="O12" s="59"/>
      <c r="P12" s="59"/>
      <c r="Q12" s="59"/>
      <c r="R12" s="59"/>
      <c r="S12" s="59"/>
      <c r="T12" s="59"/>
      <c r="U12" s="59"/>
      <c r="V12" s="59"/>
      <c r="W12" s="59"/>
      <c r="X12" s="59"/>
      <c r="Y12" s="59"/>
      <c r="Z12" s="59"/>
      <c r="AA12" s="59"/>
      <c r="AB12" s="59"/>
      <c r="AC12" s="59"/>
      <c r="AD12" s="59"/>
      <c r="AE12" s="59"/>
      <c r="AF12" s="59"/>
      <c r="AG12" s="59"/>
      <c r="AH12" s="59"/>
      <c r="AI12" s="59"/>
      <c r="AJ12" s="59"/>
      <c r="AK12" s="59"/>
      <c r="AL12" s="59"/>
      <c r="AM12" s="59"/>
      <c r="AN12" s="59"/>
      <c r="AO12" s="59"/>
      <c r="AP12" s="59"/>
      <c r="AQ12" s="59"/>
      <c r="AR12" s="59"/>
      <c r="AS12" s="59"/>
      <c r="AT12" s="59"/>
      <c r="AU12" s="59"/>
      <c r="AV12" s="59"/>
      <c r="AW12" s="59"/>
      <c r="AX12" s="59"/>
      <c r="AY12" s="59"/>
      <c r="AZ12" s="59"/>
      <c r="BA12" s="59"/>
      <c r="BB12" s="59"/>
      <c r="BC12" s="59"/>
      <c r="BD12" s="59"/>
      <c r="BE12" s="59"/>
      <c r="BF12" s="59"/>
      <c r="BG12" s="59"/>
      <c r="BH12" s="59"/>
      <c r="BI12" s="59"/>
      <c r="BJ12" s="59"/>
    </row>
    <row r="13" customFormat="false" ht="13.5" hidden="false" customHeight="true" outlineLevel="0" collapsed="false">
      <c r="A13" s="38" t="s">
        <v>233</v>
      </c>
      <c r="B13" s="60" t="n">
        <f aca="false">AVERAGEA(C13:AL13)</f>
        <v>4899.47916666667</v>
      </c>
      <c r="C13" s="60" t="n">
        <f aca="false">C7*C8*C9</f>
        <v>0</v>
      </c>
      <c r="D13" s="60" t="n">
        <f aca="false">D7*D8*D9</f>
        <v>0</v>
      </c>
      <c r="E13" s="60" t="n">
        <f aca="false">E7*E8*E9</f>
        <v>2511</v>
      </c>
      <c r="F13" s="60" t="n">
        <f aca="false">F7*F8*F9</f>
        <v>3348</v>
      </c>
      <c r="G13" s="60" t="n">
        <f aca="false">G7*G8*G9</f>
        <v>2588.25</v>
      </c>
      <c r="H13" s="60" t="n">
        <f aca="false">H7*H8*H9</f>
        <v>3534</v>
      </c>
      <c r="I13" s="60" t="n">
        <f aca="false">I7*I8*I9</f>
        <v>4657.5</v>
      </c>
      <c r="J13" s="60" t="n">
        <f aca="false">J7*J8*J9</f>
        <v>4882.5</v>
      </c>
      <c r="K13" s="60" t="n">
        <f aca="false">K7*K8*K9</f>
        <v>5400</v>
      </c>
      <c r="L13" s="60" t="n">
        <f aca="false">L7*L8*L9</f>
        <v>5347.5</v>
      </c>
      <c r="M13" s="60" t="n">
        <f aca="false">M7*M8*M9</f>
        <v>4650</v>
      </c>
      <c r="N13" s="60" t="n">
        <f aca="false">N7*N8*N9</f>
        <v>4275</v>
      </c>
      <c r="O13" s="60" t="n">
        <f aca="false">O7*O8*O9</f>
        <v>4417.5</v>
      </c>
      <c r="P13" s="60" t="n">
        <f aca="false">P7*P8*P9</f>
        <v>4725</v>
      </c>
      <c r="Q13" s="60" t="n">
        <f aca="false">Q7*Q8*Q9</f>
        <v>5580</v>
      </c>
      <c r="R13" s="60" t="n">
        <f aca="false">R7*R8*R9</f>
        <v>5580</v>
      </c>
      <c r="S13" s="60" t="n">
        <f aca="false">S7*S8*S9</f>
        <v>4284</v>
      </c>
      <c r="T13" s="60" t="n">
        <f aca="false">T7*T8*T9</f>
        <v>5301</v>
      </c>
      <c r="U13" s="60" t="n">
        <f aca="false">U7*U8*U9</f>
        <v>6210</v>
      </c>
      <c r="V13" s="60" t="n">
        <f aca="false">V7*V8*V9</f>
        <v>5859</v>
      </c>
      <c r="W13" s="60" t="n">
        <f aca="false">W7*W8*W9</f>
        <v>6480</v>
      </c>
      <c r="X13" s="60" t="n">
        <f aca="false">X7*X8*X9</f>
        <v>6417</v>
      </c>
      <c r="Y13" s="60" t="n">
        <f aca="false">Y7*Y8*Y9</f>
        <v>5580</v>
      </c>
      <c r="Z13" s="60" t="n">
        <f aca="false">Z7*Z8*Z9</f>
        <v>5130</v>
      </c>
      <c r="AA13" s="60" t="n">
        <f aca="false">AA7*AA8*AA9</f>
        <v>5301</v>
      </c>
      <c r="AB13" s="60" t="n">
        <f aca="false">AB7*AB8*AB9</f>
        <v>5670</v>
      </c>
      <c r="AC13" s="60" t="n">
        <f aca="false">AC7*AC8*AC9</f>
        <v>6696</v>
      </c>
      <c r="AD13" s="60" t="n">
        <f aca="false">AD7*AD8*AD9</f>
        <v>6696</v>
      </c>
      <c r="AE13" s="60" t="n">
        <f aca="false">AE7*AE8*AE9</f>
        <v>4284</v>
      </c>
      <c r="AF13" s="60" t="n">
        <f aca="false">AF7*AF8*AF9</f>
        <v>5301</v>
      </c>
      <c r="AG13" s="60" t="n">
        <f aca="false">AG7*AG8*AG9</f>
        <v>6210</v>
      </c>
      <c r="AH13" s="60" t="n">
        <f aca="false">AH7*AH8*AH9</f>
        <v>5859</v>
      </c>
      <c r="AI13" s="60" t="n">
        <f aca="false">AI7*AI8*AI9</f>
        <v>6480</v>
      </c>
      <c r="AJ13" s="60" t="n">
        <f aca="false">AJ7*AJ8*AJ9</f>
        <v>6417</v>
      </c>
      <c r="AK13" s="60" t="n">
        <f aca="false">AK7*AK8*AK9</f>
        <v>5580</v>
      </c>
      <c r="AL13" s="60" t="n">
        <f aca="false">AL7*AL8*AL9</f>
        <v>5130</v>
      </c>
      <c r="AM13" s="60" t="n">
        <f aca="false">AM7*AM8*AM9</f>
        <v>5301</v>
      </c>
      <c r="AN13" s="60" t="n">
        <f aca="false">AN7*AN8*AN9</f>
        <v>5670</v>
      </c>
      <c r="AO13" s="60" t="n">
        <f aca="false">AO7*AO8*AO9</f>
        <v>6696</v>
      </c>
      <c r="AP13" s="60" t="n">
        <f aca="false">AP7*AP8*AP9</f>
        <v>6696</v>
      </c>
      <c r="AQ13" s="60" t="n">
        <f aca="false">AQ7*AQ8*AQ9</f>
        <v>4284</v>
      </c>
      <c r="AR13" s="60" t="n">
        <f aca="false">AR7*AR8*AR9</f>
        <v>5301</v>
      </c>
      <c r="AS13" s="60" t="n">
        <f aca="false">AS7*AS8*AS9</f>
        <v>6210</v>
      </c>
      <c r="AT13" s="60" t="n">
        <f aca="false">AT7*AT8*AT9</f>
        <v>5859</v>
      </c>
      <c r="AU13" s="60" t="n">
        <f aca="false">AU7*AU8*AU9</f>
        <v>6480</v>
      </c>
      <c r="AV13" s="60" t="n">
        <f aca="false">AV7*AV8*AV9</f>
        <v>6417</v>
      </c>
      <c r="AW13" s="60" t="n">
        <f aca="false">AW7*AW8*AW9</f>
        <v>5580</v>
      </c>
      <c r="AX13" s="60" t="n">
        <f aca="false">AX7*AX8*AX9</f>
        <v>5130</v>
      </c>
      <c r="AY13" s="60" t="n">
        <f aca="false">AY7*AY8*AY9</f>
        <v>5301</v>
      </c>
      <c r="AZ13" s="60" t="n">
        <f aca="false">AZ7*AZ8*AZ9</f>
        <v>5670</v>
      </c>
      <c r="BA13" s="60" t="n">
        <f aca="false">BA7*BA8*BA9</f>
        <v>6696</v>
      </c>
      <c r="BB13" s="60" t="n">
        <f aca="false">BB7*BB8*BB9</f>
        <v>6696</v>
      </c>
      <c r="BC13" s="60" t="n">
        <f aca="false">BC7*BC8*BC9</f>
        <v>4437</v>
      </c>
      <c r="BD13" s="60" t="n">
        <f aca="false">BD7*BD8*BD9</f>
        <v>5301</v>
      </c>
      <c r="BE13" s="60" t="n">
        <f aca="false">BE7*BE8*BE9</f>
        <v>6210</v>
      </c>
      <c r="BF13" s="60" t="n">
        <f aca="false">BF7*BF8*BF9</f>
        <v>5859</v>
      </c>
      <c r="BG13" s="60" t="n">
        <f aca="false">BG7*BG8*BG9</f>
        <v>6480</v>
      </c>
      <c r="BH13" s="60" t="n">
        <f aca="false">BH7*BH8*BH9</f>
        <v>6417</v>
      </c>
      <c r="BI13" s="60" t="n">
        <f aca="false">BI7*BI8*BI9</f>
        <v>5580</v>
      </c>
      <c r="BJ13" s="60" t="n">
        <f aca="false">BJ7*BJ8*BJ9</f>
        <v>5130</v>
      </c>
    </row>
    <row r="14" customFormat="false" ht="13.5" hidden="false" customHeight="true" outlineLevel="0" collapsed="false">
      <c r="A14" s="66" t="s">
        <v>234</v>
      </c>
      <c r="B14" s="67" t="n">
        <f aca="false">SUM(C14:AL14)</f>
        <v>13228593750</v>
      </c>
      <c r="C14" s="67" t="n">
        <f aca="false">_xlfn.LET(
_xlpm.number_of_serves, C13,
_xlpm.avg_spend, C10,
_xlpm.avg_days_per_month,C8,
_xlpm.number_of_serves*_xlpm.avg_spend)</f>
        <v>0</v>
      </c>
      <c r="D14" s="67" t="n">
        <f aca="false">_xlfn.LET(
_xlpm.number_of_serves, D13,
_xlpm.avg_spend, D10,
_xlpm.avg_days_per_month,D8,
_xlpm.number_of_serves*_xlpm.avg_spend)</f>
        <v>0</v>
      </c>
      <c r="E14" s="67" t="n">
        <f aca="false">_xlfn.LET(
_xlpm.number_of_serves, E13,
_xlpm.avg_spend, E10,
_xlpm.avg_days_per_month,E8,
_xlpm.number_of_serves*_xlpm.avg_spend)</f>
        <v>188325000</v>
      </c>
      <c r="F14" s="67" t="n">
        <f aca="false">_xlfn.LET(
_xlpm.number_of_serves, F13,
_xlpm.avg_spend, F10,
_xlpm.avg_days_per_month,F8,
_xlpm.number_of_serves*_xlpm.avg_spend)</f>
        <v>251100000</v>
      </c>
      <c r="G14" s="67" t="n">
        <f aca="false">_xlfn.LET(
_xlpm.number_of_serves, G13,
_xlpm.avg_spend, G10,
_xlpm.avg_days_per_month,G8,
_xlpm.number_of_serves*_xlpm.avg_spend)</f>
        <v>194118750</v>
      </c>
      <c r="H14" s="67" t="n">
        <f aca="false">_xlfn.LET(
_xlpm.number_of_serves, H13,
_xlpm.avg_spend, H10,
_xlpm.avg_days_per_month,H8,
_xlpm.number_of_serves*_xlpm.avg_spend)</f>
        <v>265050000</v>
      </c>
      <c r="I14" s="67" t="n">
        <f aca="false">_xlfn.LET(
_xlpm.number_of_serves, I13,
_xlpm.avg_spend, I10,
_xlpm.avg_days_per_month,I8,
_xlpm.number_of_serves*_xlpm.avg_spend)</f>
        <v>349312500</v>
      </c>
      <c r="J14" s="67" t="n">
        <f aca="false">_xlfn.LET(
_xlpm.number_of_serves, J13,
_xlpm.avg_spend, J10,
_xlpm.avg_days_per_month,J8,
_xlpm.number_of_serves*_xlpm.avg_spend)</f>
        <v>366187500</v>
      </c>
      <c r="K14" s="67" t="n">
        <f aca="false">_xlfn.LET(
_xlpm.number_of_serves, K13,
_xlpm.avg_spend, K10,
_xlpm.avg_days_per_month,K8,
_xlpm.number_of_serves*_xlpm.avg_spend)</f>
        <v>405000000</v>
      </c>
      <c r="L14" s="67" t="n">
        <f aca="false">_xlfn.LET(
_xlpm.number_of_serves, L13,
_xlpm.avg_spend, L10,
_xlpm.avg_days_per_month,L8,
_xlpm.number_of_serves*_xlpm.avg_spend)</f>
        <v>401062500</v>
      </c>
      <c r="M14" s="67" t="n">
        <f aca="false">_xlfn.LET(
_xlpm.number_of_serves, M13,
_xlpm.avg_spend, M10,
_xlpm.avg_days_per_month,M8,
_xlpm.number_of_serves*_xlpm.avg_spend)</f>
        <v>348750000</v>
      </c>
      <c r="N14" s="67" t="n">
        <f aca="false">_xlfn.LET(
_xlpm.number_of_serves, N13,
_xlpm.avg_spend, N10,
_xlpm.avg_days_per_month,N8,
_xlpm.number_of_serves*_xlpm.avg_spend)</f>
        <v>320625000</v>
      </c>
      <c r="O14" s="67" t="n">
        <f aca="false">_xlfn.LET(
_xlpm.number_of_serves, O13,
_xlpm.avg_spend, O10,
_xlpm.avg_days_per_month,O8,
_xlpm.number_of_serves*_xlpm.avg_spend)</f>
        <v>331312500</v>
      </c>
      <c r="P14" s="67" t="n">
        <f aca="false">_xlfn.LET(
_xlpm.number_of_serves, P13,
_xlpm.avg_spend, P10,
_xlpm.avg_days_per_month,P8,
_xlpm.number_of_serves*_xlpm.avg_spend)</f>
        <v>354375000</v>
      </c>
      <c r="Q14" s="67" t="n">
        <f aca="false">_xlfn.LET(
_xlpm.number_of_serves, Q13,
_xlpm.avg_spend, Q10,
_xlpm.avg_days_per_month,Q8,
_xlpm.number_of_serves*_xlpm.avg_spend)</f>
        <v>418500000</v>
      </c>
      <c r="R14" s="67" t="n">
        <f aca="false">_xlfn.LET(
_xlpm.number_of_serves, R13,
_xlpm.avg_spend, R10,
_xlpm.avg_days_per_month,R8,
_xlpm.number_of_serves*_xlpm.avg_spend)</f>
        <v>418500000</v>
      </c>
      <c r="S14" s="67" t="n">
        <f aca="false">_xlfn.LET(
_xlpm.number_of_serves, S13,
_xlpm.avg_spend, S10,
_xlpm.avg_days_per_month,S8,
_xlpm.number_of_serves*_xlpm.avg_spend)</f>
        <v>321300000</v>
      </c>
      <c r="T14" s="67" t="n">
        <f aca="false">_xlfn.LET(
_xlpm.number_of_serves, T13,
_xlpm.avg_spend, T10,
_xlpm.avg_days_per_month,T8,
_xlpm.number_of_serves*_xlpm.avg_spend)</f>
        <v>397575000</v>
      </c>
      <c r="U14" s="67" t="n">
        <f aca="false">_xlfn.LET(
_xlpm.number_of_serves, U13,
_xlpm.avg_spend, U10,
_xlpm.avg_days_per_month,U8,
_xlpm.number_of_serves*_xlpm.avg_spend)</f>
        <v>465750000</v>
      </c>
      <c r="V14" s="67" t="n">
        <f aca="false">_xlfn.LET(
_xlpm.number_of_serves, V13,
_xlpm.avg_spend, V10,
_xlpm.avg_days_per_month,V8,
_xlpm.number_of_serves*_xlpm.avg_spend)</f>
        <v>439425000</v>
      </c>
      <c r="W14" s="67" t="n">
        <f aca="false">_xlfn.LET(
_xlpm.number_of_serves, W13,
_xlpm.avg_spend, W10,
_xlpm.avg_days_per_month,W8,
_xlpm.number_of_serves*_xlpm.avg_spend)</f>
        <v>486000000</v>
      </c>
      <c r="X14" s="67" t="n">
        <f aca="false">_xlfn.LET(
_xlpm.number_of_serves, X13,
_xlpm.avg_spend, X10,
_xlpm.avg_days_per_month,X8,
_xlpm.number_of_serves*_xlpm.avg_spend)</f>
        <v>481275000</v>
      </c>
      <c r="Y14" s="67" t="n">
        <f aca="false">_xlfn.LET(
_xlpm.number_of_serves, Y13,
_xlpm.avg_spend, Y10,
_xlpm.avg_days_per_month,Y8,
_xlpm.number_of_serves*_xlpm.avg_spend)</f>
        <v>418500000</v>
      </c>
      <c r="Z14" s="67" t="n">
        <f aca="false">_xlfn.LET(
_xlpm.number_of_serves, Z13,
_xlpm.avg_spend, Z10,
_xlpm.avg_days_per_month,Z8,
_xlpm.number_of_serves*_xlpm.avg_spend)</f>
        <v>384750000</v>
      </c>
      <c r="AA14" s="67" t="n">
        <f aca="false">_xlfn.LET(
_xlpm.number_of_serves, AA13,
_xlpm.avg_spend, AA10,
_xlpm.avg_days_per_month,AA8,
_xlpm.number_of_serves*_xlpm.avg_spend)</f>
        <v>397575000</v>
      </c>
      <c r="AB14" s="67" t="n">
        <f aca="false">_xlfn.LET(
_xlpm.number_of_serves, AB13,
_xlpm.avg_spend, AB10,
_xlpm.avg_days_per_month,AB8,
_xlpm.number_of_serves*_xlpm.avg_spend)</f>
        <v>425250000</v>
      </c>
      <c r="AC14" s="67" t="n">
        <f aca="false">_xlfn.LET(
_xlpm.number_of_serves, AC13,
_xlpm.avg_spend, AC10,
_xlpm.avg_days_per_month,AC8,
_xlpm.number_of_serves*_xlpm.avg_spend)</f>
        <v>502200000</v>
      </c>
      <c r="AD14" s="67" t="n">
        <f aca="false">_xlfn.LET(
_xlpm.number_of_serves, AD13,
_xlpm.avg_spend, AD10,
_xlpm.avg_days_per_month,AD8,
_xlpm.number_of_serves*_xlpm.avg_spend)</f>
        <v>502200000</v>
      </c>
      <c r="AE14" s="67" t="n">
        <f aca="false">_xlfn.LET(
_xlpm.number_of_serves, AE13,
_xlpm.avg_spend, AE10,
_xlpm.avg_days_per_month,AE8,
_xlpm.number_of_serves*_xlpm.avg_spend)</f>
        <v>321300000</v>
      </c>
      <c r="AF14" s="67" t="n">
        <f aca="false">_xlfn.LET(
_xlpm.number_of_serves, AF13,
_xlpm.avg_spend, AF10,
_xlpm.avg_days_per_month,AF8,
_xlpm.number_of_serves*_xlpm.avg_spend)</f>
        <v>397575000</v>
      </c>
      <c r="AG14" s="67" t="n">
        <f aca="false">_xlfn.LET(
_xlpm.number_of_serves, AG13,
_xlpm.avg_spend, AG10,
_xlpm.avg_days_per_month,AG8,
_xlpm.number_of_serves*_xlpm.avg_spend)</f>
        <v>465750000</v>
      </c>
      <c r="AH14" s="67" t="n">
        <f aca="false">_xlfn.LET(
_xlpm.number_of_serves, AH13,
_xlpm.avg_spend, AH10,
_xlpm.avg_days_per_month,AH8,
_xlpm.number_of_serves*_xlpm.avg_spend)</f>
        <v>439425000</v>
      </c>
      <c r="AI14" s="67" t="n">
        <f aca="false">_xlfn.LET(
_xlpm.number_of_serves, AI13,
_xlpm.avg_spend, AI10,
_xlpm.avg_days_per_month,AI8,
_xlpm.number_of_serves*_xlpm.avg_spend)</f>
        <v>486000000</v>
      </c>
      <c r="AJ14" s="67" t="n">
        <f aca="false">_xlfn.LET(
_xlpm.number_of_serves, AJ13,
_xlpm.avg_spend, AJ10,
_xlpm.avg_days_per_month,AJ8,
_xlpm.number_of_serves*_xlpm.avg_spend)</f>
        <v>481275000</v>
      </c>
      <c r="AK14" s="67" t="n">
        <f aca="false">_xlfn.LET(
_xlpm.number_of_serves, AK13,
_xlpm.avg_spend, AK10,
_xlpm.avg_days_per_month,AK8,
_xlpm.number_of_serves*_xlpm.avg_spend)</f>
        <v>418500000</v>
      </c>
      <c r="AL14" s="67" t="n">
        <f aca="false">_xlfn.LET(
_xlpm.number_of_serves, AL13,
_xlpm.avg_spend, AL10,
_xlpm.avg_days_per_month,AL8,
_xlpm.number_of_serves*_xlpm.avg_spend)</f>
        <v>384750000</v>
      </c>
      <c r="AM14" s="67" t="n">
        <f aca="false">_xlfn.LET(
_xlpm.number_of_serves, AM13,
_xlpm.avg_spend, AM10,
_xlpm.avg_days_per_month,AM8,
_xlpm.number_of_serves*_xlpm.avg_spend)</f>
        <v>397575000</v>
      </c>
      <c r="AN14" s="67" t="n">
        <f aca="false">_xlfn.LET(
_xlpm.number_of_serves, AN13,
_xlpm.avg_spend, AN10,
_xlpm.avg_days_per_month,AN8,
_xlpm.number_of_serves*_xlpm.avg_spend)</f>
        <v>425250000</v>
      </c>
      <c r="AO14" s="67" t="n">
        <f aca="false">_xlfn.LET(
_xlpm.number_of_serves, AO13,
_xlpm.avg_spend, AO10,
_xlpm.avg_days_per_month,AO8,
_xlpm.number_of_serves*_xlpm.avg_spend)</f>
        <v>502200000</v>
      </c>
      <c r="AP14" s="67" t="n">
        <f aca="false">_xlfn.LET(
_xlpm.number_of_serves, AP13,
_xlpm.avg_spend, AP10,
_xlpm.avg_days_per_month,AP8,
_xlpm.number_of_serves*_xlpm.avg_spend)</f>
        <v>502200000</v>
      </c>
      <c r="AQ14" s="67" t="n">
        <f aca="false">_xlfn.LET(
_xlpm.number_of_serves, AQ13,
_xlpm.avg_spend, AQ10,
_xlpm.avg_days_per_month,AQ8,
_xlpm.number_of_serves*_xlpm.avg_spend)</f>
        <v>321300000</v>
      </c>
      <c r="AR14" s="67" t="n">
        <f aca="false">_xlfn.LET(
_xlpm.number_of_serves, AR13,
_xlpm.avg_spend, AR10,
_xlpm.avg_days_per_month,AR8,
_xlpm.number_of_serves*_xlpm.avg_spend)</f>
        <v>397575000</v>
      </c>
      <c r="AS14" s="67" t="n">
        <f aca="false">_xlfn.LET(
_xlpm.number_of_serves, AS13,
_xlpm.avg_spend, AS10,
_xlpm.avg_days_per_month,AS8,
_xlpm.number_of_serves*_xlpm.avg_spend)</f>
        <v>465750000</v>
      </c>
      <c r="AT14" s="67" t="n">
        <f aca="false">_xlfn.LET(
_xlpm.number_of_serves, AT13,
_xlpm.avg_spend, AT10,
_xlpm.avg_days_per_month,AT8,
_xlpm.number_of_serves*_xlpm.avg_spend)</f>
        <v>439425000</v>
      </c>
      <c r="AU14" s="67" t="n">
        <f aca="false">_xlfn.LET(
_xlpm.number_of_serves, AU13,
_xlpm.avg_spend, AU10,
_xlpm.avg_days_per_month,AU8,
_xlpm.number_of_serves*_xlpm.avg_spend)</f>
        <v>486000000</v>
      </c>
      <c r="AV14" s="67" t="n">
        <f aca="false">_xlfn.LET(
_xlpm.number_of_serves, AV13,
_xlpm.avg_spend, AV10,
_xlpm.avg_days_per_month,AV8,
_xlpm.number_of_serves*_xlpm.avg_spend)</f>
        <v>481275000</v>
      </c>
      <c r="AW14" s="67" t="n">
        <f aca="false">_xlfn.LET(
_xlpm.number_of_serves, AW13,
_xlpm.avg_spend, AW10,
_xlpm.avg_days_per_month,AW8,
_xlpm.number_of_serves*_xlpm.avg_spend)</f>
        <v>418500000</v>
      </c>
      <c r="AX14" s="67" t="n">
        <f aca="false">_xlfn.LET(
_xlpm.number_of_serves, AX13,
_xlpm.avg_spend, AX10,
_xlpm.avg_days_per_month,AX8,
_xlpm.number_of_serves*_xlpm.avg_spend)</f>
        <v>384750000</v>
      </c>
      <c r="AY14" s="67" t="n">
        <f aca="false">_xlfn.LET(
_xlpm.number_of_serves, AY13,
_xlpm.avg_spend, AY10,
_xlpm.avg_days_per_month,AY8,
_xlpm.number_of_serves*_xlpm.avg_spend)</f>
        <v>397575000</v>
      </c>
      <c r="AZ14" s="67" t="n">
        <f aca="false">_xlfn.LET(
_xlpm.number_of_serves, AZ13,
_xlpm.avg_spend, AZ10,
_xlpm.avg_days_per_month,AZ8,
_xlpm.number_of_serves*_xlpm.avg_spend)</f>
        <v>425250000</v>
      </c>
      <c r="BA14" s="67" t="n">
        <f aca="false">_xlfn.LET(
_xlpm.number_of_serves, BA13,
_xlpm.avg_spend, BA10,
_xlpm.avg_days_per_month,BA8,
_xlpm.number_of_serves*_xlpm.avg_spend)</f>
        <v>502200000</v>
      </c>
      <c r="BB14" s="67" t="n">
        <f aca="false">_xlfn.LET(
_xlpm.number_of_serves, BB13,
_xlpm.avg_spend, BB10,
_xlpm.avg_days_per_month,BB8,
_xlpm.number_of_serves*_xlpm.avg_spend)</f>
        <v>502200000</v>
      </c>
      <c r="BC14" s="67" t="n">
        <f aca="false">_xlfn.LET(
_xlpm.number_of_serves, BC13,
_xlpm.avg_spend, BC10,
_xlpm.avg_days_per_month,BC8,
_xlpm.number_of_serves*_xlpm.avg_spend)</f>
        <v>332775000</v>
      </c>
      <c r="BD14" s="67" t="n">
        <f aca="false">_xlfn.LET(
_xlpm.number_of_serves, BD13,
_xlpm.avg_spend, BD10,
_xlpm.avg_days_per_month,BD8,
_xlpm.number_of_serves*_xlpm.avg_spend)</f>
        <v>397575000</v>
      </c>
      <c r="BE14" s="67" t="n">
        <f aca="false">_xlfn.LET(
_xlpm.number_of_serves, BE13,
_xlpm.avg_spend, BE10,
_xlpm.avg_days_per_month,BE8,
_xlpm.number_of_serves*_xlpm.avg_spend)</f>
        <v>465750000</v>
      </c>
      <c r="BF14" s="67" t="n">
        <f aca="false">_xlfn.LET(
_xlpm.number_of_serves, BF13,
_xlpm.avg_spend, BF10,
_xlpm.avg_days_per_month,BF8,
_xlpm.number_of_serves*_xlpm.avg_spend)</f>
        <v>439425000</v>
      </c>
      <c r="BG14" s="67" t="n">
        <f aca="false">_xlfn.LET(
_xlpm.number_of_serves, BG13,
_xlpm.avg_spend, BG10,
_xlpm.avg_days_per_month,BG8,
_xlpm.number_of_serves*_xlpm.avg_spend)</f>
        <v>486000000</v>
      </c>
      <c r="BH14" s="67" t="n">
        <f aca="false">_xlfn.LET(
_xlpm.number_of_serves, BH13,
_xlpm.avg_spend, BH10,
_xlpm.avg_days_per_month,BH8,
_xlpm.number_of_serves*_xlpm.avg_spend)</f>
        <v>481275000</v>
      </c>
      <c r="BI14" s="67" t="n">
        <f aca="false">_xlfn.LET(
_xlpm.number_of_serves, BI13,
_xlpm.avg_spend, BI10,
_xlpm.avg_days_per_month,BI8,
_xlpm.number_of_serves*_xlpm.avg_spend)</f>
        <v>418500000</v>
      </c>
      <c r="BJ14" s="67" t="n">
        <f aca="false">_xlfn.LET(
_xlpm.number_of_serves, BJ13,
_xlpm.avg_spend, BJ10,
_xlpm.avg_days_per_month,BJ8,
_xlpm.number_of_serves*_xlpm.avg_spend)</f>
        <v>384750000</v>
      </c>
    </row>
    <row r="15" customFormat="false" ht="13.5" hidden="false" customHeight="true" outlineLevel="0" collapsed="false">
      <c r="A15" s="38" t="s">
        <v>235</v>
      </c>
      <c r="B15" s="60" t="n">
        <f aca="false">SUM(C15:AL15)</f>
        <v>10582875000</v>
      </c>
      <c r="C15" s="60" t="n">
        <f aca="false">C14*C11</f>
        <v>0</v>
      </c>
      <c r="D15" s="60" t="n">
        <f aca="false">D14*D11</f>
        <v>0</v>
      </c>
      <c r="E15" s="60" t="n">
        <f aca="false">E14*E11</f>
        <v>150660000</v>
      </c>
      <c r="F15" s="60" t="n">
        <f aca="false">F14*F11</f>
        <v>200880000</v>
      </c>
      <c r="G15" s="60" t="n">
        <f aca="false">G14*G11</f>
        <v>155295000</v>
      </c>
      <c r="H15" s="60" t="n">
        <f aca="false">H14*H11</f>
        <v>212040000</v>
      </c>
      <c r="I15" s="60" t="n">
        <f aca="false">I14*I11</f>
        <v>279450000</v>
      </c>
      <c r="J15" s="60" t="n">
        <f aca="false">J14*J11</f>
        <v>292950000</v>
      </c>
      <c r="K15" s="60" t="n">
        <f aca="false">K14*K11</f>
        <v>324000000</v>
      </c>
      <c r="L15" s="60" t="n">
        <f aca="false">L14*L11</f>
        <v>320850000</v>
      </c>
      <c r="M15" s="60" t="n">
        <f aca="false">M14*M11</f>
        <v>279000000</v>
      </c>
      <c r="N15" s="60" t="n">
        <f aca="false">N14*N11</f>
        <v>256500000</v>
      </c>
      <c r="O15" s="60" t="n">
        <f aca="false">O14*O11</f>
        <v>265050000</v>
      </c>
      <c r="P15" s="60" t="n">
        <f aca="false">P14*P11</f>
        <v>283500000</v>
      </c>
      <c r="Q15" s="60" t="n">
        <f aca="false">Q14*Q11</f>
        <v>334800000</v>
      </c>
      <c r="R15" s="60" t="n">
        <f aca="false">R14*R11</f>
        <v>334800000</v>
      </c>
      <c r="S15" s="60" t="n">
        <f aca="false">S14*S11</f>
        <v>257040000</v>
      </c>
      <c r="T15" s="60" t="n">
        <f aca="false">T14*T11</f>
        <v>318060000</v>
      </c>
      <c r="U15" s="60" t="n">
        <f aca="false">U14*U11</f>
        <v>372600000</v>
      </c>
      <c r="V15" s="60" t="n">
        <f aca="false">V14*V11</f>
        <v>351540000</v>
      </c>
      <c r="W15" s="60" t="n">
        <f aca="false">W14*W11</f>
        <v>388800000</v>
      </c>
      <c r="X15" s="60" t="n">
        <f aca="false">X14*X11</f>
        <v>385020000</v>
      </c>
      <c r="Y15" s="60" t="n">
        <f aca="false">Y14*Y11</f>
        <v>334800000</v>
      </c>
      <c r="Z15" s="60" t="n">
        <f aca="false">Z14*Z11</f>
        <v>307800000</v>
      </c>
      <c r="AA15" s="60" t="n">
        <f aca="false">AA14*AA11</f>
        <v>318060000</v>
      </c>
      <c r="AB15" s="60" t="n">
        <f aca="false">AB14*AB11</f>
        <v>340200000</v>
      </c>
      <c r="AC15" s="60" t="n">
        <f aca="false">AC14*AC11</f>
        <v>401760000</v>
      </c>
      <c r="AD15" s="60" t="n">
        <f aca="false">AD14*AD11</f>
        <v>401760000</v>
      </c>
      <c r="AE15" s="60" t="n">
        <f aca="false">AE14*AE11</f>
        <v>257040000</v>
      </c>
      <c r="AF15" s="60" t="n">
        <f aca="false">AF14*AF11</f>
        <v>318060000</v>
      </c>
      <c r="AG15" s="60" t="n">
        <f aca="false">AG14*AG11</f>
        <v>372600000</v>
      </c>
      <c r="AH15" s="60" t="n">
        <f aca="false">AH14*AH11</f>
        <v>351540000</v>
      </c>
      <c r="AI15" s="60" t="n">
        <f aca="false">AI14*AI11</f>
        <v>388800000</v>
      </c>
      <c r="AJ15" s="60" t="n">
        <f aca="false">AJ14*AJ11</f>
        <v>385020000</v>
      </c>
      <c r="AK15" s="60" t="n">
        <f aca="false">AK14*AK11</f>
        <v>334800000</v>
      </c>
      <c r="AL15" s="60" t="n">
        <f aca="false">AL14*AL11</f>
        <v>307800000</v>
      </c>
      <c r="AM15" s="60" t="n">
        <f aca="false">AM14*AM11</f>
        <v>318060000</v>
      </c>
      <c r="AN15" s="60" t="n">
        <f aca="false">AN14*AN11</f>
        <v>340200000</v>
      </c>
      <c r="AO15" s="60" t="n">
        <f aca="false">AO14*AO11</f>
        <v>401760000</v>
      </c>
      <c r="AP15" s="60" t="n">
        <f aca="false">AP14*AP11</f>
        <v>401760000</v>
      </c>
      <c r="AQ15" s="60" t="n">
        <f aca="false">AQ14*AQ11</f>
        <v>257040000</v>
      </c>
      <c r="AR15" s="60" t="n">
        <f aca="false">AR14*AR11</f>
        <v>318060000</v>
      </c>
      <c r="AS15" s="60" t="n">
        <f aca="false">AS14*AS11</f>
        <v>372600000</v>
      </c>
      <c r="AT15" s="60" t="n">
        <f aca="false">AT14*AT11</f>
        <v>351540000</v>
      </c>
      <c r="AU15" s="60" t="n">
        <f aca="false">AU14*AU11</f>
        <v>388800000</v>
      </c>
      <c r="AV15" s="60" t="n">
        <f aca="false">AV14*AV11</f>
        <v>385020000</v>
      </c>
      <c r="AW15" s="60" t="n">
        <f aca="false">AW14*AW11</f>
        <v>334800000</v>
      </c>
      <c r="AX15" s="60" t="n">
        <f aca="false">AX14*AX11</f>
        <v>307800000</v>
      </c>
      <c r="AY15" s="60" t="n">
        <f aca="false">AY14*AY11</f>
        <v>318060000</v>
      </c>
      <c r="AZ15" s="60" t="n">
        <f aca="false">AZ14*AZ11</f>
        <v>340200000</v>
      </c>
      <c r="BA15" s="60" t="n">
        <f aca="false">BA14*BA11</f>
        <v>401760000</v>
      </c>
      <c r="BB15" s="60" t="n">
        <f aca="false">BB14*BB11</f>
        <v>401760000</v>
      </c>
      <c r="BC15" s="60" t="n">
        <f aca="false">BC14*BC11</f>
        <v>266220000</v>
      </c>
      <c r="BD15" s="60" t="n">
        <f aca="false">BD14*BD11</f>
        <v>318060000</v>
      </c>
      <c r="BE15" s="60" t="n">
        <f aca="false">BE14*BE11</f>
        <v>372600000</v>
      </c>
      <c r="BF15" s="60" t="n">
        <f aca="false">BF14*BF11</f>
        <v>351540000</v>
      </c>
      <c r="BG15" s="60" t="n">
        <f aca="false">BG14*BG11</f>
        <v>388800000</v>
      </c>
      <c r="BH15" s="60" t="n">
        <f aca="false">BH14*BH11</f>
        <v>385020000</v>
      </c>
      <c r="BI15" s="60" t="n">
        <f aca="false">BI14*BI11</f>
        <v>334800000</v>
      </c>
      <c r="BJ15" s="60" t="n">
        <f aca="false">BJ14*BJ11</f>
        <v>307800000</v>
      </c>
    </row>
    <row r="16" customFormat="false" ht="13.5" hidden="false" customHeight="true" outlineLevel="0" collapsed="false">
      <c r="A16" s="37" t="s">
        <v>236</v>
      </c>
      <c r="B16" s="68" t="n">
        <f aca="false">SUM(C16:AL16)</f>
        <v>2645718750</v>
      </c>
      <c r="C16" s="68" t="n">
        <f aca="false">C14-C15</f>
        <v>0</v>
      </c>
      <c r="D16" s="68" t="n">
        <f aca="false">D14-D15</f>
        <v>0</v>
      </c>
      <c r="E16" s="68" t="n">
        <f aca="false">E14-E15</f>
        <v>37665000</v>
      </c>
      <c r="F16" s="68" t="n">
        <f aca="false">F14-F15</f>
        <v>50220000</v>
      </c>
      <c r="G16" s="68" t="n">
        <f aca="false">G14-G15</f>
        <v>38823750</v>
      </c>
      <c r="H16" s="68" t="n">
        <f aca="false">H14-H15</f>
        <v>53010000</v>
      </c>
      <c r="I16" s="68" t="n">
        <f aca="false">I14-I15</f>
        <v>69862500</v>
      </c>
      <c r="J16" s="68" t="n">
        <f aca="false">J14-J15</f>
        <v>73237500</v>
      </c>
      <c r="K16" s="68" t="n">
        <f aca="false">K14-K15</f>
        <v>81000000</v>
      </c>
      <c r="L16" s="68" t="n">
        <f aca="false">L14-L15</f>
        <v>80212500</v>
      </c>
      <c r="M16" s="68" t="n">
        <f aca="false">M14-M15</f>
        <v>69750000</v>
      </c>
      <c r="N16" s="68" t="n">
        <f aca="false">N14-N15</f>
        <v>64125000</v>
      </c>
      <c r="O16" s="68" t="n">
        <f aca="false">O14-O15</f>
        <v>66262500</v>
      </c>
      <c r="P16" s="68" t="n">
        <f aca="false">P14-P15</f>
        <v>70875000</v>
      </c>
      <c r="Q16" s="68" t="n">
        <f aca="false">Q14-Q15</f>
        <v>83700000</v>
      </c>
      <c r="R16" s="68" t="n">
        <f aca="false">R14-R15</f>
        <v>83700000</v>
      </c>
      <c r="S16" s="68" t="n">
        <f aca="false">S14-S15</f>
        <v>64260000</v>
      </c>
      <c r="T16" s="68" t="n">
        <f aca="false">T14-T15</f>
        <v>79515000</v>
      </c>
      <c r="U16" s="68" t="n">
        <f aca="false">U14-U15</f>
        <v>93149999.9999999</v>
      </c>
      <c r="V16" s="68" t="n">
        <f aca="false">V14-V15</f>
        <v>87885000</v>
      </c>
      <c r="W16" s="68" t="n">
        <f aca="false">W14-W15</f>
        <v>97200000</v>
      </c>
      <c r="X16" s="68" t="n">
        <f aca="false">X14-X15</f>
        <v>96254999.9999999</v>
      </c>
      <c r="Y16" s="68" t="n">
        <f aca="false">Y14-Y15</f>
        <v>83700000</v>
      </c>
      <c r="Z16" s="68" t="n">
        <f aca="false">Z14-Z15</f>
        <v>76950000</v>
      </c>
      <c r="AA16" s="68" t="n">
        <f aca="false">AA14-AA15</f>
        <v>79515000</v>
      </c>
      <c r="AB16" s="68" t="n">
        <f aca="false">AB14-AB15</f>
        <v>85050000</v>
      </c>
      <c r="AC16" s="68" t="n">
        <f aca="false">AC14-AC15</f>
        <v>100440000</v>
      </c>
      <c r="AD16" s="68" t="n">
        <f aca="false">AD14-AD15</f>
        <v>100440000</v>
      </c>
      <c r="AE16" s="68" t="n">
        <f aca="false">AE14-AE15</f>
        <v>64260000</v>
      </c>
      <c r="AF16" s="68" t="n">
        <f aca="false">AF14-AF15</f>
        <v>79515000</v>
      </c>
      <c r="AG16" s="68" t="n">
        <f aca="false">AG14-AG15</f>
        <v>93149999.9999999</v>
      </c>
      <c r="AH16" s="68" t="n">
        <f aca="false">AH14-AH15</f>
        <v>87885000</v>
      </c>
      <c r="AI16" s="68" t="n">
        <f aca="false">AI14-AI15</f>
        <v>97200000</v>
      </c>
      <c r="AJ16" s="68" t="n">
        <f aca="false">AJ14-AJ15</f>
        <v>96254999.9999999</v>
      </c>
      <c r="AK16" s="68" t="n">
        <f aca="false">AK14-AK15</f>
        <v>83700000</v>
      </c>
      <c r="AL16" s="68" t="n">
        <f aca="false">AL14-AL15</f>
        <v>76950000</v>
      </c>
      <c r="AM16" s="68" t="n">
        <f aca="false">AM14-AM15</f>
        <v>79515000</v>
      </c>
      <c r="AN16" s="68" t="n">
        <f aca="false">AN14-AN15</f>
        <v>85050000</v>
      </c>
      <c r="AO16" s="68" t="n">
        <f aca="false">AO14-AO15</f>
        <v>100440000</v>
      </c>
      <c r="AP16" s="68" t="n">
        <f aca="false">AP14-AP15</f>
        <v>100440000</v>
      </c>
      <c r="AQ16" s="68" t="n">
        <f aca="false">AQ14-AQ15</f>
        <v>64260000</v>
      </c>
      <c r="AR16" s="68" t="n">
        <f aca="false">AR14-AR15</f>
        <v>79515000</v>
      </c>
      <c r="AS16" s="68" t="n">
        <f aca="false">AS14-AS15</f>
        <v>93149999.9999999</v>
      </c>
      <c r="AT16" s="68" t="n">
        <f aca="false">AT14-AT15</f>
        <v>87885000</v>
      </c>
      <c r="AU16" s="68" t="n">
        <f aca="false">AU14-AU15</f>
        <v>97200000</v>
      </c>
      <c r="AV16" s="68" t="n">
        <f aca="false">AV14-AV15</f>
        <v>96254999.9999999</v>
      </c>
      <c r="AW16" s="68" t="n">
        <f aca="false">AW14-AW15</f>
        <v>83700000</v>
      </c>
      <c r="AX16" s="68" t="n">
        <f aca="false">AX14-AX15</f>
        <v>76950000</v>
      </c>
      <c r="AY16" s="68" t="n">
        <f aca="false">AY14-AY15</f>
        <v>79515000</v>
      </c>
      <c r="AZ16" s="68" t="n">
        <f aca="false">AZ14-AZ15</f>
        <v>85050000</v>
      </c>
      <c r="BA16" s="68" t="n">
        <f aca="false">BA14-BA15</f>
        <v>100440000</v>
      </c>
      <c r="BB16" s="68" t="n">
        <f aca="false">BB14-BB15</f>
        <v>100440000</v>
      </c>
      <c r="BC16" s="68" t="n">
        <f aca="false">BC14-BC15</f>
        <v>66555000</v>
      </c>
      <c r="BD16" s="68" t="n">
        <f aca="false">BD14-BD15</f>
        <v>79515000</v>
      </c>
      <c r="BE16" s="68" t="n">
        <f aca="false">BE14-BE15</f>
        <v>93149999.9999999</v>
      </c>
      <c r="BF16" s="68" t="n">
        <f aca="false">BF14-BF15</f>
        <v>87885000</v>
      </c>
      <c r="BG16" s="68" t="n">
        <f aca="false">BG14-BG15</f>
        <v>97200000</v>
      </c>
      <c r="BH16" s="68" t="n">
        <f aca="false">BH14-BH15</f>
        <v>96254999.9999999</v>
      </c>
      <c r="BI16" s="68" t="n">
        <f aca="false">BI14-BI15</f>
        <v>83700000</v>
      </c>
      <c r="BJ16" s="68" t="n">
        <f aca="false">BJ14-BJ15</f>
        <v>76950000</v>
      </c>
    </row>
    <row r="17" customFormat="false" ht="13.5" hidden="false" customHeight="true" outlineLevel="0" collapsed="false">
      <c r="A17" s="38" t="s">
        <v>237</v>
      </c>
      <c r="B17" s="60" t="n">
        <f aca="false">SUM(C17:AL17)</f>
        <v>0</v>
      </c>
      <c r="C17" s="60" t="n">
        <f aca="false">C14*0.15*0</f>
        <v>0</v>
      </c>
      <c r="D17" s="60" t="n">
        <f aca="false">D14*0.15*0</f>
        <v>0</v>
      </c>
      <c r="E17" s="60" t="n">
        <f aca="false">E14*0.15*0</f>
        <v>0</v>
      </c>
      <c r="F17" s="60" t="n">
        <f aca="false">F14*0.15*0</f>
        <v>0</v>
      </c>
      <c r="G17" s="60" t="n">
        <f aca="false">G14*0.15*0</f>
        <v>0</v>
      </c>
      <c r="H17" s="60" t="n">
        <f aca="false">H14*0.15*0</f>
        <v>0</v>
      </c>
      <c r="I17" s="60" t="n">
        <f aca="false">I14*0.15*0</f>
        <v>0</v>
      </c>
      <c r="J17" s="60" t="n">
        <f aca="false">J14*0.15*0</f>
        <v>0</v>
      </c>
      <c r="K17" s="60" t="n">
        <f aca="false">K14*0.15*0</f>
        <v>0</v>
      </c>
      <c r="L17" s="60" t="n">
        <f aca="false">L14*0.15*0</f>
        <v>0</v>
      </c>
      <c r="M17" s="60" t="n">
        <f aca="false">M14*0.15*0</f>
        <v>0</v>
      </c>
      <c r="N17" s="60" t="n">
        <f aca="false">N14*0.15*0</f>
        <v>0</v>
      </c>
      <c r="O17" s="60" t="n">
        <f aca="false">O14*0.15*0</f>
        <v>0</v>
      </c>
      <c r="P17" s="60" t="n">
        <f aca="false">P14*0.15*0</f>
        <v>0</v>
      </c>
      <c r="Q17" s="60" t="n">
        <f aca="false">Q14*0.15*0</f>
        <v>0</v>
      </c>
      <c r="R17" s="60" t="n">
        <f aca="false">R14*0.15*0</f>
        <v>0</v>
      </c>
      <c r="S17" s="60" t="n">
        <f aca="false">S14*0.15*0</f>
        <v>0</v>
      </c>
      <c r="T17" s="60" t="n">
        <f aca="false">T14*0.15*0</f>
        <v>0</v>
      </c>
      <c r="U17" s="60" t="n">
        <f aca="false">U14*0.15*0</f>
        <v>0</v>
      </c>
      <c r="V17" s="60" t="n">
        <f aca="false">V14*0.15*0</f>
        <v>0</v>
      </c>
      <c r="W17" s="60" t="n">
        <f aca="false">W14*0.15*0</f>
        <v>0</v>
      </c>
      <c r="X17" s="60" t="n">
        <f aca="false">X14*0.15*0</f>
        <v>0</v>
      </c>
      <c r="Y17" s="60" t="n">
        <f aca="false">Y14*0.15*0</f>
        <v>0</v>
      </c>
      <c r="Z17" s="60" t="n">
        <f aca="false">Z14*0.15*0</f>
        <v>0</v>
      </c>
      <c r="AA17" s="60" t="n">
        <f aca="false">AA14*0.15*0</f>
        <v>0</v>
      </c>
      <c r="AB17" s="60" t="n">
        <f aca="false">AB14*0.15*0</f>
        <v>0</v>
      </c>
      <c r="AC17" s="60" t="n">
        <f aca="false">AC14*0.15*0</f>
        <v>0</v>
      </c>
      <c r="AD17" s="60" t="n">
        <f aca="false">AD14*0.15*0</f>
        <v>0</v>
      </c>
      <c r="AE17" s="60" t="n">
        <f aca="false">AE14*0.15*0</f>
        <v>0</v>
      </c>
      <c r="AF17" s="60" t="n">
        <f aca="false">AF14*0.15*0</f>
        <v>0</v>
      </c>
      <c r="AG17" s="60" t="n">
        <f aca="false">AG14*0.15*0</f>
        <v>0</v>
      </c>
      <c r="AH17" s="60" t="n">
        <f aca="false">AH14*0.15*0</f>
        <v>0</v>
      </c>
      <c r="AI17" s="60" t="n">
        <f aca="false">AI14*0.15*0</f>
        <v>0</v>
      </c>
      <c r="AJ17" s="60" t="n">
        <f aca="false">AJ14*0.15*0</f>
        <v>0</v>
      </c>
      <c r="AK17" s="60" t="n">
        <f aca="false">AK14*0.15*0</f>
        <v>0</v>
      </c>
      <c r="AL17" s="60" t="n">
        <f aca="false">AL14*0.15*0</f>
        <v>0</v>
      </c>
      <c r="AM17" s="60" t="n">
        <f aca="false">AM14*0.15*0</f>
        <v>0</v>
      </c>
      <c r="AN17" s="60" t="n">
        <f aca="false">AN14*0.15*0</f>
        <v>0</v>
      </c>
      <c r="AO17" s="60" t="n">
        <f aca="false">AO14*0.15*0</f>
        <v>0</v>
      </c>
      <c r="AP17" s="60" t="n">
        <f aca="false">AP14*0.15*0</f>
        <v>0</v>
      </c>
      <c r="AQ17" s="60" t="n">
        <f aca="false">AQ14*0.15*0</f>
        <v>0</v>
      </c>
      <c r="AR17" s="60" t="n">
        <f aca="false">AR14*0.15*0</f>
        <v>0</v>
      </c>
      <c r="AS17" s="60" t="n">
        <f aca="false">AS14*0.15*0</f>
        <v>0</v>
      </c>
      <c r="AT17" s="60" t="n">
        <f aca="false">AT14*0.15*0</f>
        <v>0</v>
      </c>
      <c r="AU17" s="60" t="n">
        <f aca="false">AU14*0.15*0</f>
        <v>0</v>
      </c>
      <c r="AV17" s="60" t="n">
        <f aca="false">AV14*0.15*0</f>
        <v>0</v>
      </c>
      <c r="AW17" s="60" t="n">
        <f aca="false">AW14*0.15*0</f>
        <v>0</v>
      </c>
      <c r="AX17" s="60" t="n">
        <f aca="false">AX14*0.15*0</f>
        <v>0</v>
      </c>
      <c r="AY17" s="60" t="n">
        <f aca="false">AY14*0.15*0</f>
        <v>0</v>
      </c>
      <c r="AZ17" s="60" t="n">
        <f aca="false">AZ14*0.15*0</f>
        <v>0</v>
      </c>
      <c r="BA17" s="60" t="n">
        <f aca="false">BA14*0.15*0</f>
        <v>0</v>
      </c>
      <c r="BB17" s="60" t="n">
        <f aca="false">BB14*0.15*0</f>
        <v>0</v>
      </c>
      <c r="BC17" s="60" t="n">
        <f aca="false">BC14*0.15*0</f>
        <v>0</v>
      </c>
      <c r="BD17" s="60" t="n">
        <f aca="false">BD14*0.15*0</f>
        <v>0</v>
      </c>
      <c r="BE17" s="60" t="n">
        <f aca="false">BE14*0.15*0</f>
        <v>0</v>
      </c>
      <c r="BF17" s="60" t="n">
        <f aca="false">BF14*0.15*0</f>
        <v>0</v>
      </c>
      <c r="BG17" s="60" t="n">
        <f aca="false">BG14*0.15*0</f>
        <v>0</v>
      </c>
      <c r="BH17" s="60" t="n">
        <f aca="false">BH14*0.15*0</f>
        <v>0</v>
      </c>
      <c r="BI17" s="60" t="n">
        <f aca="false">BI14*0.15*0</f>
        <v>0</v>
      </c>
      <c r="BJ17" s="60" t="n">
        <f aca="false">BJ14*0.15*0</f>
        <v>0</v>
      </c>
    </row>
    <row r="18" customFormat="false" ht="13.5" hidden="false" customHeight="true" outlineLevel="0" collapsed="false">
      <c r="A18" s="37" t="s">
        <v>238</v>
      </c>
      <c r="B18" s="68" t="n">
        <f aca="false">SUM(C18:AL18)</f>
        <v>0</v>
      </c>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64"/>
      <c r="AH18" s="64"/>
      <c r="AI18" s="64"/>
      <c r="AJ18" s="64"/>
      <c r="AK18" s="64"/>
      <c r="AL18" s="64"/>
      <c r="AM18" s="64"/>
      <c r="AN18" s="64"/>
      <c r="AO18" s="64"/>
      <c r="AP18" s="64"/>
      <c r="AQ18" s="64"/>
      <c r="AR18" s="64"/>
      <c r="AS18" s="64"/>
      <c r="AT18" s="64"/>
      <c r="AU18" s="64"/>
      <c r="AV18" s="64"/>
      <c r="AW18" s="64"/>
      <c r="AX18" s="64"/>
      <c r="AY18" s="64"/>
      <c r="AZ18" s="64"/>
      <c r="BA18" s="64"/>
      <c r="BB18" s="64"/>
      <c r="BC18" s="64"/>
      <c r="BD18" s="64"/>
      <c r="BE18" s="64"/>
      <c r="BF18" s="64"/>
      <c r="BG18" s="64"/>
      <c r="BH18" s="64"/>
      <c r="BI18" s="64"/>
      <c r="BJ18" s="64"/>
    </row>
    <row r="19" customFormat="false" ht="13.5" hidden="false" customHeight="true" outlineLevel="0" collapsed="false">
      <c r="A19" s="69" t="s">
        <v>239</v>
      </c>
      <c r="B19" s="70" t="n">
        <f aca="false">SUM(C19:AL19)</f>
        <v>13228593750</v>
      </c>
      <c r="C19" s="70" t="n">
        <f aca="false">C14-C17-C18</f>
        <v>0</v>
      </c>
      <c r="D19" s="70" t="n">
        <f aca="false">D14-D17-D18</f>
        <v>0</v>
      </c>
      <c r="E19" s="70" t="n">
        <f aca="false">E14-E17-E18</f>
        <v>188325000</v>
      </c>
      <c r="F19" s="70" t="n">
        <f aca="false">F14-F17-F18</f>
        <v>251100000</v>
      </c>
      <c r="G19" s="70" t="n">
        <f aca="false">G14-G17-G18</f>
        <v>194118750</v>
      </c>
      <c r="H19" s="70" t="n">
        <f aca="false">H14-H17-H18</f>
        <v>265050000</v>
      </c>
      <c r="I19" s="70" t="n">
        <f aca="false">I14-I17-I18</f>
        <v>349312500</v>
      </c>
      <c r="J19" s="70" t="n">
        <f aca="false">J14-J17-J18</f>
        <v>366187500</v>
      </c>
      <c r="K19" s="70" t="n">
        <f aca="false">K14-K17-K18</f>
        <v>405000000</v>
      </c>
      <c r="L19" s="70" t="n">
        <f aca="false">L14-L17-L18</f>
        <v>401062500</v>
      </c>
      <c r="M19" s="70" t="n">
        <f aca="false">M14-M17-M18</f>
        <v>348750000</v>
      </c>
      <c r="N19" s="70" t="n">
        <f aca="false">N14-N17-N18</f>
        <v>320625000</v>
      </c>
      <c r="O19" s="70" t="n">
        <f aca="false">O14-O17-O18</f>
        <v>331312500</v>
      </c>
      <c r="P19" s="70" t="n">
        <f aca="false">P14-P17-P18</f>
        <v>354375000</v>
      </c>
      <c r="Q19" s="70" t="n">
        <f aca="false">Q14-Q17-Q18</f>
        <v>418500000</v>
      </c>
      <c r="R19" s="70" t="n">
        <f aca="false">R14-R17-R18</f>
        <v>418500000</v>
      </c>
      <c r="S19" s="70" t="n">
        <f aca="false">S14-S17-S18</f>
        <v>321300000</v>
      </c>
      <c r="T19" s="70" t="n">
        <f aca="false">T14-T17-T18</f>
        <v>397575000</v>
      </c>
      <c r="U19" s="70" t="n">
        <f aca="false">U14-U17-U18</f>
        <v>465750000</v>
      </c>
      <c r="V19" s="70" t="n">
        <f aca="false">V14-V17-V18</f>
        <v>439425000</v>
      </c>
      <c r="W19" s="70" t="n">
        <f aca="false">W14-W17-W18</f>
        <v>486000000</v>
      </c>
      <c r="X19" s="70" t="n">
        <f aca="false">X14-X17-X18</f>
        <v>481275000</v>
      </c>
      <c r="Y19" s="70" t="n">
        <f aca="false">Y14-Y17-Y18</f>
        <v>418500000</v>
      </c>
      <c r="Z19" s="70" t="n">
        <f aca="false">Z14-Z17-Z18</f>
        <v>384750000</v>
      </c>
      <c r="AA19" s="70" t="n">
        <f aca="false">AA14-AA17-AA18</f>
        <v>397575000</v>
      </c>
      <c r="AB19" s="70" t="n">
        <f aca="false">AB14-AB17-AB18</f>
        <v>425250000</v>
      </c>
      <c r="AC19" s="70" t="n">
        <f aca="false">AC14-AC17-AC18</f>
        <v>502200000</v>
      </c>
      <c r="AD19" s="70" t="n">
        <f aca="false">AD14-AD17-AD18</f>
        <v>502200000</v>
      </c>
      <c r="AE19" s="70" t="n">
        <f aca="false">AE14-AE17-AE18</f>
        <v>321300000</v>
      </c>
      <c r="AF19" s="70" t="n">
        <f aca="false">AF14-AF17-AF18</f>
        <v>397575000</v>
      </c>
      <c r="AG19" s="70" t="n">
        <f aca="false">AG14-AG17-AG18</f>
        <v>465750000</v>
      </c>
      <c r="AH19" s="70" t="n">
        <f aca="false">AH14-AH17-AH18</f>
        <v>439425000</v>
      </c>
      <c r="AI19" s="70" t="n">
        <f aca="false">AI14-AI17-AI18</f>
        <v>486000000</v>
      </c>
      <c r="AJ19" s="70" t="n">
        <f aca="false">AJ14-AJ17-AJ18</f>
        <v>481275000</v>
      </c>
      <c r="AK19" s="70" t="n">
        <f aca="false">AK14-AK17-AK18</f>
        <v>418500000</v>
      </c>
      <c r="AL19" s="70" t="n">
        <f aca="false">AL14-AL17-AL18</f>
        <v>384750000</v>
      </c>
      <c r="AM19" s="70" t="n">
        <f aca="false">AM14-AM17-AM18</f>
        <v>397575000</v>
      </c>
      <c r="AN19" s="70" t="n">
        <f aca="false">AN14-AN17-AN18</f>
        <v>425250000</v>
      </c>
      <c r="AO19" s="70" t="n">
        <f aca="false">AO14-AO17-AO18</f>
        <v>502200000</v>
      </c>
      <c r="AP19" s="70" t="n">
        <f aca="false">AP14-AP17-AP18</f>
        <v>502200000</v>
      </c>
      <c r="AQ19" s="70" t="n">
        <f aca="false">AQ14-AQ17-AQ18</f>
        <v>321300000</v>
      </c>
      <c r="AR19" s="70" t="n">
        <f aca="false">AR14-AR17-AR18</f>
        <v>397575000</v>
      </c>
      <c r="AS19" s="70" t="n">
        <f aca="false">AS14-AS17-AS18</f>
        <v>465750000</v>
      </c>
      <c r="AT19" s="70" t="n">
        <f aca="false">AT14-AT17-AT18</f>
        <v>439425000</v>
      </c>
      <c r="AU19" s="70" t="n">
        <f aca="false">AU14-AU17-AU18</f>
        <v>486000000</v>
      </c>
      <c r="AV19" s="70" t="n">
        <f aca="false">AV14-AV17-AV18</f>
        <v>481275000</v>
      </c>
      <c r="AW19" s="70" t="n">
        <f aca="false">AW14-AW17-AW18</f>
        <v>418500000</v>
      </c>
      <c r="AX19" s="70" t="n">
        <f aca="false">AX14-AX17-AX18</f>
        <v>384750000</v>
      </c>
      <c r="AY19" s="70" t="n">
        <f aca="false">AY14-AY17-AY18</f>
        <v>397575000</v>
      </c>
      <c r="AZ19" s="70" t="n">
        <f aca="false">AZ14-AZ17-AZ18</f>
        <v>425250000</v>
      </c>
      <c r="BA19" s="70" t="n">
        <f aca="false">BA14-BA17-BA18</f>
        <v>502200000</v>
      </c>
      <c r="BB19" s="70" t="n">
        <f aca="false">BB14-BB17-BB18</f>
        <v>502200000</v>
      </c>
      <c r="BC19" s="70" t="n">
        <f aca="false">BC14-BC17-BC18</f>
        <v>332775000</v>
      </c>
      <c r="BD19" s="70" t="n">
        <f aca="false">BD14-BD17-BD18</f>
        <v>397575000</v>
      </c>
      <c r="BE19" s="70" t="n">
        <f aca="false">BE14-BE17-BE18</f>
        <v>465750000</v>
      </c>
      <c r="BF19" s="70" t="n">
        <f aca="false">BF14-BF17-BF18</f>
        <v>439425000</v>
      </c>
      <c r="BG19" s="70" t="n">
        <f aca="false">BG14-BG17-BG18</f>
        <v>486000000</v>
      </c>
      <c r="BH19" s="70" t="n">
        <f aca="false">BH14-BH17-BH18</f>
        <v>481275000</v>
      </c>
      <c r="BI19" s="70" t="n">
        <f aca="false">BI14-BI17-BI18</f>
        <v>418500000</v>
      </c>
      <c r="BJ19" s="70" t="n">
        <f aca="false">BJ14-BJ17-BJ18</f>
        <v>384750000</v>
      </c>
    </row>
    <row r="20" customFormat="false" ht="13.5" hidden="true" customHeight="true" outlineLevel="0" collapsed="false">
      <c r="A20" s="59" t="s">
        <v>240</v>
      </c>
      <c r="B20" s="59"/>
      <c r="C20" s="59"/>
      <c r="D20" s="59"/>
      <c r="E20" s="59"/>
      <c r="F20" s="59"/>
      <c r="G20" s="59"/>
      <c r="H20" s="59"/>
      <c r="I20" s="59"/>
      <c r="J20" s="59"/>
      <c r="K20" s="59"/>
      <c r="L20" s="59"/>
      <c r="M20" s="59"/>
      <c r="N20" s="59"/>
      <c r="O20" s="59"/>
      <c r="P20" s="59"/>
      <c r="Q20" s="59"/>
      <c r="R20" s="59"/>
      <c r="S20" s="59"/>
      <c r="T20" s="59"/>
      <c r="U20" s="59"/>
      <c r="V20" s="59"/>
      <c r="W20" s="59"/>
      <c r="X20" s="59"/>
      <c r="Y20" s="59"/>
      <c r="Z20" s="59"/>
      <c r="AA20" s="59"/>
      <c r="AB20" s="59"/>
      <c r="AC20" s="59"/>
      <c r="AD20" s="59"/>
      <c r="AE20" s="59"/>
      <c r="AF20" s="59"/>
      <c r="AG20" s="59"/>
      <c r="AH20" s="59"/>
      <c r="AI20" s="59"/>
      <c r="AJ20" s="59"/>
      <c r="AK20" s="59"/>
      <c r="AL20" s="59"/>
      <c r="AM20" s="59"/>
      <c r="AN20" s="59"/>
      <c r="AO20" s="59"/>
      <c r="AP20" s="59"/>
      <c r="AQ20" s="59"/>
      <c r="AR20" s="59"/>
      <c r="AS20" s="59"/>
      <c r="AT20" s="59"/>
      <c r="AU20" s="59"/>
      <c r="AV20" s="59"/>
      <c r="AW20" s="59"/>
      <c r="AX20" s="59"/>
      <c r="AY20" s="59"/>
      <c r="AZ20" s="59"/>
      <c r="BA20" s="59"/>
      <c r="BB20" s="59"/>
      <c r="BC20" s="59"/>
      <c r="BD20" s="59"/>
      <c r="BE20" s="59"/>
      <c r="BF20" s="59"/>
      <c r="BG20" s="59"/>
      <c r="BH20" s="59"/>
      <c r="BI20" s="59"/>
      <c r="BJ20" s="59"/>
    </row>
    <row r="21" customFormat="false" ht="13.5" hidden="true" customHeight="true" outlineLevel="0" collapsed="false">
      <c r="A21" s="66" t="s">
        <v>241</v>
      </c>
      <c r="B21" s="67" t="n">
        <f aca="false">SUMIF($C$3:$BJ$3,1,$C$19:$BJ$19)</f>
        <v>188325000</v>
      </c>
    </row>
    <row r="22" customFormat="false" ht="13.5" hidden="true" customHeight="true" outlineLevel="0" collapsed="false">
      <c r="A22" s="66" t="s">
        <v>242</v>
      </c>
      <c r="B22" s="67" t="n">
        <f aca="false">SUMIF($C$3:$BJ$3,2,$C$19:$BJ$19)</f>
        <v>4005393750</v>
      </c>
    </row>
    <row r="23" customFormat="false" ht="13.5" hidden="true" customHeight="true" outlineLevel="0" collapsed="false">
      <c r="A23" s="66" t="s">
        <v>243</v>
      </c>
      <c r="B23" s="67" t="n">
        <f aca="false">SUMIF($C$3:$BJ$3,3,$C$19:$BJ$19)</f>
        <v>5138100000</v>
      </c>
    </row>
    <row r="24" customFormat="false" ht="13.5" hidden="true" customHeight="true" outlineLevel="0" collapsed="false">
      <c r="A24" s="66" t="s">
        <v>244</v>
      </c>
      <c r="B24" s="67" t="n">
        <f aca="false">SUMIF($C$3:$BJ$3,4,$C$19:$BJ$19)</f>
        <v>5221800000</v>
      </c>
    </row>
    <row r="25" customFormat="false" ht="13.5" hidden="true" customHeight="true" outlineLevel="0" collapsed="false">
      <c r="A25" s="66" t="s">
        <v>245</v>
      </c>
      <c r="B25" s="67" t="n">
        <f aca="false">SUMIF($C$3:$BJ$3,5,$C$19:$BJ$19)</f>
        <v>5221800000</v>
      </c>
    </row>
    <row r="26" customFormat="false" ht="13.5" hidden="true" customHeight="true" outlineLevel="0" collapsed="false">
      <c r="A26" s="59" t="s">
        <v>246</v>
      </c>
      <c r="B26" s="59"/>
      <c r="C26" s="59"/>
      <c r="D26" s="59"/>
      <c r="E26" s="59"/>
      <c r="F26" s="59"/>
      <c r="G26" s="59"/>
      <c r="H26" s="59"/>
      <c r="I26" s="59"/>
      <c r="J26" s="59"/>
      <c r="K26" s="59"/>
      <c r="L26" s="59"/>
      <c r="M26" s="59"/>
      <c r="N26" s="59"/>
      <c r="O26" s="59"/>
      <c r="P26" s="59"/>
      <c r="Q26" s="59"/>
      <c r="R26" s="59"/>
      <c r="S26" s="59"/>
      <c r="T26" s="59"/>
      <c r="U26" s="59"/>
      <c r="V26" s="59"/>
      <c r="W26" s="59"/>
      <c r="X26" s="59"/>
      <c r="Y26" s="59"/>
      <c r="Z26" s="59"/>
      <c r="AA26" s="59"/>
      <c r="AB26" s="59"/>
      <c r="AC26" s="59"/>
      <c r="AD26" s="59"/>
      <c r="AE26" s="59"/>
      <c r="AF26" s="59"/>
      <c r="AG26" s="59"/>
      <c r="AH26" s="59"/>
      <c r="AI26" s="59"/>
      <c r="AJ26" s="59"/>
      <c r="AK26" s="59"/>
      <c r="AL26" s="59"/>
      <c r="AM26" s="59"/>
    </row>
    <row r="27" customFormat="false" ht="13.5" hidden="true" customHeight="true" outlineLevel="0" collapsed="false">
      <c r="A27" s="38" t="s">
        <v>247</v>
      </c>
      <c r="B27" s="60" t="n">
        <f aca="false">SUM(C27:AL27)</f>
        <v>0</v>
      </c>
      <c r="C27" s="64"/>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c r="AG27" s="64"/>
      <c r="AH27" s="64"/>
      <c r="AI27" s="64"/>
      <c r="AJ27" s="64"/>
      <c r="AK27" s="64"/>
      <c r="AL27" s="64"/>
      <c r="XFD27" s="71"/>
    </row>
    <row r="28" s="71" customFormat="true" ht="13.5" hidden="false" customHeight="true" outlineLevel="0" collapsed="false">
      <c r="A28" s="69" t="s">
        <v>248</v>
      </c>
      <c r="B28" s="70" t="n">
        <f aca="false">SUM(C28:AL28)</f>
        <v>13228593750</v>
      </c>
      <c r="C28" s="70" t="n">
        <f aca="false">C19+C27</f>
        <v>0</v>
      </c>
      <c r="D28" s="70" t="n">
        <f aca="false">D19+D27</f>
        <v>0</v>
      </c>
      <c r="E28" s="70" t="n">
        <f aca="false">E19+E27</f>
        <v>188325000</v>
      </c>
      <c r="F28" s="70" t="n">
        <f aca="false">F19+F27</f>
        <v>251100000</v>
      </c>
      <c r="G28" s="70" t="n">
        <f aca="false">G19+G27</f>
        <v>194118750</v>
      </c>
      <c r="H28" s="70" t="n">
        <f aca="false">H19+H27</f>
        <v>265050000</v>
      </c>
      <c r="I28" s="70" t="n">
        <f aca="false">I19+I27</f>
        <v>349312500</v>
      </c>
      <c r="J28" s="70" t="n">
        <f aca="false">J19+J27</f>
        <v>366187500</v>
      </c>
      <c r="K28" s="70" t="n">
        <f aca="false">K19+K27</f>
        <v>405000000</v>
      </c>
      <c r="L28" s="70" t="n">
        <f aca="false">L19+L27</f>
        <v>401062500</v>
      </c>
      <c r="M28" s="70" t="n">
        <f aca="false">M19+M27</f>
        <v>348750000</v>
      </c>
      <c r="N28" s="70" t="n">
        <f aca="false">N19+N27</f>
        <v>320625000</v>
      </c>
      <c r="O28" s="70" t="n">
        <f aca="false">O19+O27</f>
        <v>331312500</v>
      </c>
      <c r="P28" s="70" t="n">
        <f aca="false">P19+P27</f>
        <v>354375000</v>
      </c>
      <c r="Q28" s="70" t="n">
        <f aca="false">Q19+Q27</f>
        <v>418500000</v>
      </c>
      <c r="R28" s="70" t="n">
        <f aca="false">R19+R27</f>
        <v>418500000</v>
      </c>
      <c r="S28" s="70" t="n">
        <f aca="false">S19+S27</f>
        <v>321300000</v>
      </c>
      <c r="T28" s="70" t="n">
        <f aca="false">T19+T27</f>
        <v>397575000</v>
      </c>
      <c r="U28" s="70" t="n">
        <f aca="false">U19+U27</f>
        <v>465750000</v>
      </c>
      <c r="V28" s="70" t="n">
        <f aca="false">V19+V27</f>
        <v>439425000</v>
      </c>
      <c r="W28" s="70" t="n">
        <f aca="false">W19+W27</f>
        <v>486000000</v>
      </c>
      <c r="X28" s="70" t="n">
        <f aca="false">X19+X27</f>
        <v>481275000</v>
      </c>
      <c r="Y28" s="70" t="n">
        <f aca="false">Y19+Y27</f>
        <v>418500000</v>
      </c>
      <c r="Z28" s="70" t="n">
        <f aca="false">Z19+Z27</f>
        <v>384750000</v>
      </c>
      <c r="AA28" s="70" t="n">
        <f aca="false">AA19+AA27</f>
        <v>397575000</v>
      </c>
      <c r="AB28" s="70" t="n">
        <f aca="false">AB19+AB27</f>
        <v>425250000</v>
      </c>
      <c r="AC28" s="70" t="n">
        <f aca="false">AC19+AC27</f>
        <v>502200000</v>
      </c>
      <c r="AD28" s="70" t="n">
        <f aca="false">AD19+AD27</f>
        <v>502200000</v>
      </c>
      <c r="AE28" s="70" t="n">
        <f aca="false">AE19+AE27</f>
        <v>321300000</v>
      </c>
      <c r="AF28" s="70" t="n">
        <f aca="false">AF19+AF27</f>
        <v>397575000</v>
      </c>
      <c r="AG28" s="70" t="n">
        <f aca="false">AG19+AG27</f>
        <v>465750000</v>
      </c>
      <c r="AH28" s="70" t="n">
        <f aca="false">AH19+AH27</f>
        <v>439425000</v>
      </c>
      <c r="AI28" s="70" t="n">
        <f aca="false">AI19+AI27</f>
        <v>486000000</v>
      </c>
      <c r="AJ28" s="70" t="n">
        <f aca="false">AJ19+AJ27</f>
        <v>481275000</v>
      </c>
      <c r="AK28" s="70" t="n">
        <f aca="false">AK19+AK27</f>
        <v>418500000</v>
      </c>
      <c r="AL28" s="70" t="n">
        <f aca="false">AL19+AL27</f>
        <v>384750000</v>
      </c>
      <c r="XFD28" s="4"/>
    </row>
    <row r="32" customFormat="false" ht="13.8" hidden="false" customHeight="false" outlineLevel="0" collapsed="false">
      <c r="C32" s="72"/>
    </row>
    <row r="33" customFormat="false" ht="13.8" hidden="false" customHeight="false" outlineLevel="0" collapsed="false">
      <c r="C33" s="73"/>
    </row>
  </sheetData>
  <mergeCells count="5">
    <mergeCell ref="A1:AM1"/>
    <mergeCell ref="A6:BJ6"/>
    <mergeCell ref="A12:BJ12"/>
    <mergeCell ref="A20:BJ20"/>
    <mergeCell ref="A26:AM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CAF7D"/>
    <pageSetUpPr fitToPage="false"/>
  </sheetPr>
  <dimension ref="A1:BJ34"/>
  <sheetViews>
    <sheetView showFormulas="false" showGridLines="false" showRowColHeaders="true" showZeros="true" rightToLeft="false" tabSelected="false" showOutlineSymbols="true" defaultGridColor="true" view="normal" topLeftCell="A1" colorId="64" zoomScale="120" zoomScaleNormal="120" zoomScalePageLayoutView="100" workbookViewId="0">
      <pane xSplit="2" ySplit="3" topLeftCell="C7" activePane="bottomRight" state="frozen"/>
      <selection pane="topLeft" activeCell="A1" activeCellId="0" sqref="A1"/>
      <selection pane="topRight" activeCell="C1" activeCellId="0" sqref="C1"/>
      <selection pane="bottomLeft" activeCell="A7" activeCellId="0" sqref="A7"/>
      <selection pane="bottomRight" activeCell="E18" activeCellId="0" sqref="E18"/>
    </sheetView>
  </sheetViews>
  <sheetFormatPr defaultColWidth="8.71484375" defaultRowHeight="12.8" customHeight="false" zeroHeight="false" outlineLevelRow="0" outlineLevelCol="0"/>
  <cols>
    <col collapsed="false" customWidth="true" hidden="false" outlineLevel="0" max="1" min="1" style="4" width="48.59"/>
    <col collapsed="false" customWidth="true" hidden="false" outlineLevel="0" max="2" min="2" style="4" width="37.8"/>
    <col collapsed="false" customWidth="true" hidden="false" outlineLevel="0" max="7" min="3" style="4" width="12.2"/>
    <col collapsed="false" customWidth="true" hidden="false" outlineLevel="0" max="12" min="8" style="4" width="13.15"/>
    <col collapsed="false" customWidth="true" hidden="false" outlineLevel="0" max="18" min="13" style="4" width="12.2"/>
    <col collapsed="false" customWidth="true" hidden="false" outlineLevel="0" max="24" min="19" style="4" width="13.15"/>
    <col collapsed="false" customWidth="true" hidden="false" outlineLevel="0" max="25" min="25" style="4" width="13.3"/>
    <col collapsed="false" customWidth="true" hidden="false" outlineLevel="0" max="38" min="26" style="4" width="13.15"/>
    <col collapsed="false" customWidth="true" hidden="false" outlineLevel="0" max="53" min="39" style="4" width="12.68"/>
    <col collapsed="false" customWidth="true" hidden="false" outlineLevel="0" max="62" min="54" style="4" width="13.3"/>
  </cols>
  <sheetData>
    <row r="1" s="71" customFormat="true" ht="30" hidden="false" customHeight="true" outlineLevel="0" collapsed="false">
      <c r="A1" s="54" t="s">
        <v>249</v>
      </c>
      <c r="B1" s="54"/>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row>
    <row r="2" s="71" customFormat="true" ht="15.75" hidden="true" customHeight="true" outlineLevel="0" collapsed="false">
      <c r="A2" s="74"/>
      <c r="B2" s="57" t="s">
        <v>250</v>
      </c>
      <c r="C2" s="75" t="s">
        <v>251</v>
      </c>
      <c r="D2" s="75"/>
      <c r="E2" s="75"/>
      <c r="F2" s="75"/>
      <c r="G2" s="75"/>
      <c r="H2" s="75"/>
      <c r="I2" s="75"/>
      <c r="J2" s="75"/>
      <c r="K2" s="75"/>
      <c r="L2" s="75"/>
      <c r="M2" s="75"/>
      <c r="N2" s="75"/>
      <c r="O2" s="75" t="s">
        <v>252</v>
      </c>
      <c r="P2" s="75"/>
      <c r="Q2" s="75"/>
      <c r="R2" s="75"/>
      <c r="S2" s="75"/>
      <c r="T2" s="75"/>
      <c r="U2" s="75"/>
      <c r="V2" s="75"/>
      <c r="W2" s="75"/>
      <c r="X2" s="75"/>
      <c r="Y2" s="75"/>
      <c r="Z2" s="75"/>
      <c r="AA2" s="75" t="s">
        <v>253</v>
      </c>
      <c r="AB2" s="75"/>
      <c r="AC2" s="75"/>
      <c r="AD2" s="75"/>
      <c r="AE2" s="75"/>
      <c r="AF2" s="75"/>
      <c r="AG2" s="75"/>
      <c r="AH2" s="75"/>
      <c r="AI2" s="75"/>
      <c r="AJ2" s="75"/>
      <c r="AK2" s="75"/>
      <c r="AL2" s="75"/>
    </row>
    <row r="3" s="71" customFormat="true" ht="21.75" hidden="false" customHeight="true" outlineLevel="0" collapsed="false">
      <c r="A3" s="56" t="s">
        <v>224</v>
      </c>
      <c r="B3" s="76" t="s">
        <v>254</v>
      </c>
      <c r="C3" s="77" t="n">
        <f aca="false">'⚙️ Assumptions'!B6</f>
        <v>46661</v>
      </c>
      <c r="D3" s="77" t="n">
        <f aca="false">EDATE($C$3,'💰 Revenue'!D2)</f>
        <v>46692</v>
      </c>
      <c r="E3" s="77" t="n">
        <f aca="false">EDATE($C$3,'💰 Revenue'!E2)</f>
        <v>46722</v>
      </c>
      <c r="F3" s="77" t="n">
        <f aca="false">EDATE($C$3,'💰 Revenue'!F2)</f>
        <v>46753</v>
      </c>
      <c r="G3" s="77" t="n">
        <f aca="false">EDATE($C$3,'💰 Revenue'!G2)</f>
        <v>46784</v>
      </c>
      <c r="H3" s="77" t="n">
        <f aca="false">EDATE($C$3,'💰 Revenue'!H2)</f>
        <v>46813</v>
      </c>
      <c r="I3" s="77" t="n">
        <f aca="false">EDATE($C$3,'💰 Revenue'!I2)</f>
        <v>46844</v>
      </c>
      <c r="J3" s="77" t="n">
        <f aca="false">EDATE($C$3,'💰 Revenue'!J2)</f>
        <v>46874</v>
      </c>
      <c r="K3" s="77" t="n">
        <f aca="false">EDATE($C$3,'💰 Revenue'!K2)</f>
        <v>46905</v>
      </c>
      <c r="L3" s="77" t="n">
        <f aca="false">EDATE($C$3,'💰 Revenue'!L2)</f>
        <v>46935</v>
      </c>
      <c r="M3" s="77" t="n">
        <f aca="false">EDATE($C$3,'💰 Revenue'!M2)</f>
        <v>46966</v>
      </c>
      <c r="N3" s="77" t="n">
        <f aca="false">EDATE($C$3,'💰 Revenue'!N2)</f>
        <v>46997</v>
      </c>
      <c r="O3" s="77" t="n">
        <f aca="false">EDATE($C$3,'💰 Revenue'!O2)</f>
        <v>47027</v>
      </c>
      <c r="P3" s="77" t="n">
        <f aca="false">EDATE($C$3,'💰 Revenue'!P2)</f>
        <v>47058</v>
      </c>
      <c r="Q3" s="77" t="n">
        <f aca="false">EDATE($C$3,'💰 Revenue'!Q2)</f>
        <v>47088</v>
      </c>
      <c r="R3" s="77" t="n">
        <f aca="false">EDATE($C$3,'💰 Revenue'!R2)</f>
        <v>47119</v>
      </c>
      <c r="S3" s="77" t="n">
        <f aca="false">EDATE($C$3,'💰 Revenue'!S2)</f>
        <v>47150</v>
      </c>
      <c r="T3" s="77" t="n">
        <f aca="false">EDATE($C$3,'💰 Revenue'!T2)</f>
        <v>47178</v>
      </c>
      <c r="U3" s="77" t="n">
        <f aca="false">EDATE($C$3,'💰 Revenue'!U2)</f>
        <v>47209</v>
      </c>
      <c r="V3" s="77" t="n">
        <f aca="false">EDATE($C$3,'💰 Revenue'!V2)</f>
        <v>47239</v>
      </c>
      <c r="W3" s="77" t="n">
        <f aca="false">EDATE($C$3,'💰 Revenue'!W2)</f>
        <v>47270</v>
      </c>
      <c r="X3" s="77" t="n">
        <f aca="false">EDATE($C$3,'💰 Revenue'!X2)</f>
        <v>47300</v>
      </c>
      <c r="Y3" s="77" t="n">
        <f aca="false">EDATE($C$3,'💰 Revenue'!Y2)</f>
        <v>47331</v>
      </c>
      <c r="Z3" s="77" t="n">
        <f aca="false">EDATE($C$3,'💰 Revenue'!Z2)</f>
        <v>47362</v>
      </c>
      <c r="AA3" s="77" t="n">
        <f aca="false">EDATE($C$3,'💰 Revenue'!AA2)</f>
        <v>47392</v>
      </c>
      <c r="AB3" s="77" t="n">
        <f aca="false">EDATE($C$3,'💰 Revenue'!AB2)</f>
        <v>47423</v>
      </c>
      <c r="AC3" s="77" t="n">
        <f aca="false">EDATE($C$3,'💰 Revenue'!AC2)</f>
        <v>47453</v>
      </c>
      <c r="AD3" s="77" t="n">
        <f aca="false">EDATE($C$3,'💰 Revenue'!AD2)</f>
        <v>47484</v>
      </c>
      <c r="AE3" s="77" t="n">
        <f aca="false">EDATE($C$3,'💰 Revenue'!AE2)</f>
        <v>47515</v>
      </c>
      <c r="AF3" s="77" t="n">
        <f aca="false">EDATE($C$3,'💰 Revenue'!AF2)</f>
        <v>47543</v>
      </c>
      <c r="AG3" s="77" t="n">
        <f aca="false">EDATE($C$3,'💰 Revenue'!AG2)</f>
        <v>47574</v>
      </c>
      <c r="AH3" s="77" t="n">
        <f aca="false">EDATE($C$3,'💰 Revenue'!AH2)</f>
        <v>47604</v>
      </c>
      <c r="AI3" s="77" t="n">
        <f aca="false">EDATE($C$3,'💰 Revenue'!AI2)</f>
        <v>47635</v>
      </c>
      <c r="AJ3" s="77" t="n">
        <f aca="false">EDATE($C$3,'💰 Revenue'!AJ2)</f>
        <v>47665</v>
      </c>
      <c r="AK3" s="77" t="n">
        <f aca="false">EDATE($C$3,'💰 Revenue'!AK2)</f>
        <v>47696</v>
      </c>
      <c r="AL3" s="77" t="n">
        <f aca="false">EDATE($C$3,'💰 Revenue'!AL2)</f>
        <v>47727</v>
      </c>
      <c r="AM3" s="77" t="n">
        <f aca="false">EDATE($C$3,'💰 Revenue'!AM2)</f>
        <v>47757</v>
      </c>
      <c r="AN3" s="77" t="n">
        <f aca="false">EDATE($C$3,'💰 Revenue'!AN2)</f>
        <v>47788</v>
      </c>
      <c r="AO3" s="77" t="n">
        <f aca="false">EDATE($C$3,'💰 Revenue'!AO2)</f>
        <v>47818</v>
      </c>
      <c r="AP3" s="77" t="n">
        <f aca="false">EDATE($C$3,'💰 Revenue'!AP2)</f>
        <v>47849</v>
      </c>
      <c r="AQ3" s="77" t="n">
        <f aca="false">EDATE($C$3,'💰 Revenue'!AQ2)</f>
        <v>47880</v>
      </c>
      <c r="AR3" s="77" t="n">
        <f aca="false">EDATE($C$3,'💰 Revenue'!AR2)</f>
        <v>47908</v>
      </c>
      <c r="AS3" s="77" t="n">
        <f aca="false">EDATE($C$3,'💰 Revenue'!AS2)</f>
        <v>47939</v>
      </c>
      <c r="AT3" s="77" t="n">
        <f aca="false">EDATE($C$3,'💰 Revenue'!AT2)</f>
        <v>47969</v>
      </c>
      <c r="AU3" s="77" t="n">
        <f aca="false">EDATE($C$3,'💰 Revenue'!AU2)</f>
        <v>48000</v>
      </c>
      <c r="AV3" s="77" t="n">
        <f aca="false">EDATE($C$3,'💰 Revenue'!AV2)</f>
        <v>48030</v>
      </c>
      <c r="AW3" s="77" t="n">
        <f aca="false">EDATE($C$3,'💰 Revenue'!AW2)</f>
        <v>48061</v>
      </c>
      <c r="AX3" s="77" t="n">
        <f aca="false">EDATE($C$3,'💰 Revenue'!AX2)</f>
        <v>48092</v>
      </c>
      <c r="AY3" s="77" t="n">
        <f aca="false">EDATE($C$3,'💰 Revenue'!AY2)</f>
        <v>48122</v>
      </c>
      <c r="AZ3" s="77" t="n">
        <f aca="false">EDATE($C$3,'💰 Revenue'!AZ2)</f>
        <v>48153</v>
      </c>
      <c r="BA3" s="77" t="n">
        <f aca="false">EDATE($C$3,'💰 Revenue'!BA2)</f>
        <v>48183</v>
      </c>
      <c r="BB3" s="77" t="n">
        <f aca="false">EDATE($C$3,'💰 Revenue'!BB2)</f>
        <v>48214</v>
      </c>
      <c r="BC3" s="77" t="n">
        <f aca="false">EDATE($C$3,'💰 Revenue'!BC2)</f>
        <v>48245</v>
      </c>
      <c r="BD3" s="77" t="n">
        <f aca="false">EDATE($C$3,'💰 Revenue'!BD2)</f>
        <v>48274</v>
      </c>
      <c r="BE3" s="77" t="n">
        <f aca="false">EDATE($C$3,'💰 Revenue'!BE2)</f>
        <v>48305</v>
      </c>
      <c r="BF3" s="77" t="n">
        <f aca="false">EDATE($C$3,'💰 Revenue'!BF2)</f>
        <v>48335</v>
      </c>
      <c r="BG3" s="77" t="n">
        <f aca="false">EDATE($C$3,'💰 Revenue'!BG2)</f>
        <v>48366</v>
      </c>
      <c r="BH3" s="77" t="n">
        <f aca="false">EDATE($C$3,'💰 Revenue'!BH2)</f>
        <v>48396</v>
      </c>
      <c r="BI3" s="77" t="n">
        <f aca="false">EDATE($C$3,'💰 Revenue'!BI2)</f>
        <v>48427</v>
      </c>
      <c r="BJ3" s="77" t="n">
        <f aca="false">EDATE($C$3,'💰 Revenue'!BJ2)</f>
        <v>48458</v>
      </c>
    </row>
    <row r="4" customFormat="false" ht="13.5" hidden="false" customHeight="true" outlineLevel="0" collapsed="false">
      <c r="A4" s="59" t="s">
        <v>255</v>
      </c>
      <c r="B4" s="59"/>
      <c r="C4" s="59"/>
      <c r="D4" s="59"/>
      <c r="E4" s="59"/>
      <c r="F4" s="59"/>
      <c r="G4" s="59"/>
      <c r="H4" s="59"/>
      <c r="I4" s="59"/>
      <c r="J4" s="59"/>
      <c r="K4" s="59"/>
      <c r="L4" s="59"/>
      <c r="M4" s="59"/>
      <c r="N4" s="59"/>
      <c r="O4" s="59"/>
      <c r="P4" s="59"/>
      <c r="Q4" s="59"/>
      <c r="R4" s="59"/>
      <c r="S4" s="59"/>
      <c r="T4" s="59"/>
      <c r="U4" s="59"/>
      <c r="V4" s="59"/>
      <c r="W4" s="59"/>
      <c r="X4" s="59"/>
      <c r="Y4" s="59"/>
      <c r="Z4" s="59"/>
      <c r="AA4" s="59"/>
      <c r="AB4" s="59"/>
      <c r="AC4" s="59"/>
      <c r="AD4" s="59"/>
      <c r="AE4" s="59"/>
      <c r="AF4" s="59"/>
      <c r="AG4" s="59"/>
      <c r="AH4" s="59"/>
      <c r="AI4" s="59"/>
      <c r="AJ4" s="59"/>
      <c r="AK4" s="59"/>
      <c r="AL4" s="59"/>
      <c r="AM4" s="59"/>
      <c r="AN4" s="71"/>
      <c r="AO4" s="71"/>
      <c r="AP4" s="71"/>
      <c r="AQ4" s="71"/>
      <c r="AR4" s="71"/>
      <c r="AS4" s="71"/>
      <c r="AT4" s="71"/>
      <c r="AU4" s="71"/>
      <c r="AV4" s="71"/>
      <c r="AW4" s="71"/>
      <c r="AX4" s="71"/>
      <c r="AY4" s="71"/>
      <c r="AZ4" s="71"/>
      <c r="BA4" s="71"/>
      <c r="BB4" s="71"/>
      <c r="BC4" s="71"/>
      <c r="BD4" s="71"/>
      <c r="BE4" s="71"/>
      <c r="BF4" s="71"/>
      <c r="BG4" s="71"/>
      <c r="BH4" s="71"/>
      <c r="BI4" s="71"/>
      <c r="BJ4" s="71"/>
    </row>
    <row r="5" customFormat="false" ht="13.5" hidden="false" customHeight="true" outlineLevel="0" collapsed="false">
      <c r="A5" s="38" t="s">
        <v>256</v>
      </c>
      <c r="B5" s="78" t="n">
        <f aca="false">AVERAGEA(C5:AL5)</f>
        <v>0.311666666666667</v>
      </c>
      <c r="C5" s="79" t="n">
        <f aca="true">_xlfn.IFNA(INDEX('⚙️ Assumptions'!$B$39:$F$39,MATCH(YEAR(C3),'⚙️ Assumptions'!$B$38:$F$38,0)),OFFSET(C5,,-1))</f>
        <v>0.35</v>
      </c>
      <c r="D5" s="79" t="n">
        <f aca="true">_xlfn.IFNA(INDEX('⚙️ Assumptions'!$B$39:$F$39,MATCH(YEAR(D3),'⚙️ Assumptions'!$B$38:$F$38,0)),OFFSET(D5,,-1))</f>
        <v>0.35</v>
      </c>
      <c r="E5" s="79" t="n">
        <f aca="true">_xlfn.IFNA(INDEX('⚙️ Assumptions'!$B$39:$F$39,MATCH(YEAR(E3),'⚙️ Assumptions'!$B$38:$F$38,0)),OFFSET(E5,,-1))</f>
        <v>0.35</v>
      </c>
      <c r="F5" s="79" t="n">
        <f aca="true">_xlfn.IFNA(INDEX('⚙️ Assumptions'!$B$39:$F$39,MATCH(YEAR(F3),'⚙️ Assumptions'!$B$38:$F$38,0)),OFFSET(F5,,-1))</f>
        <v>0.33</v>
      </c>
      <c r="G5" s="79" t="n">
        <f aca="true">_xlfn.IFNA(INDEX('⚙️ Assumptions'!$B$39:$F$39,MATCH(YEAR(G3),'⚙️ Assumptions'!$B$38:$F$38,0)),OFFSET(G5,,-1))</f>
        <v>0.33</v>
      </c>
      <c r="H5" s="79" t="n">
        <f aca="true">_xlfn.IFNA(INDEX('⚙️ Assumptions'!$B$39:$F$39,MATCH(YEAR(H3),'⚙️ Assumptions'!$B$38:$F$38,0)),OFFSET(H5,,-1))</f>
        <v>0.33</v>
      </c>
      <c r="I5" s="79" t="n">
        <f aca="true">_xlfn.IFNA(INDEX('⚙️ Assumptions'!$B$39:$F$39,MATCH(YEAR(I3),'⚙️ Assumptions'!$B$38:$F$38,0)),OFFSET(I5,,-1))</f>
        <v>0.33</v>
      </c>
      <c r="J5" s="79" t="n">
        <f aca="true">_xlfn.IFNA(INDEX('⚙️ Assumptions'!$B$39:$F$39,MATCH(YEAR(J3),'⚙️ Assumptions'!$B$38:$F$38,0)),OFFSET(J5,,-1))</f>
        <v>0.33</v>
      </c>
      <c r="K5" s="79" t="n">
        <f aca="true">_xlfn.IFNA(INDEX('⚙️ Assumptions'!$B$39:$F$39,MATCH(YEAR(K3),'⚙️ Assumptions'!$B$38:$F$38,0)),OFFSET(K5,,-1))</f>
        <v>0.33</v>
      </c>
      <c r="L5" s="79" t="n">
        <f aca="true">_xlfn.IFNA(INDEX('⚙️ Assumptions'!$B$39:$F$39,MATCH(YEAR(L3),'⚙️ Assumptions'!$B$38:$F$38,0)),OFFSET(L5,,-1))</f>
        <v>0.33</v>
      </c>
      <c r="M5" s="79" t="n">
        <f aca="true">_xlfn.IFNA(INDEX('⚙️ Assumptions'!$B$39:$F$39,MATCH(YEAR(M3),'⚙️ Assumptions'!$B$38:$F$38,0)),OFFSET(M5,,-1))</f>
        <v>0.33</v>
      </c>
      <c r="N5" s="79" t="n">
        <f aca="true">_xlfn.IFNA(INDEX('⚙️ Assumptions'!$B$39:$F$39,MATCH(YEAR(N3),'⚙️ Assumptions'!$B$38:$F$38,0)),OFFSET(N5,,-1))</f>
        <v>0.33</v>
      </c>
      <c r="O5" s="79" t="n">
        <f aca="true">_xlfn.IFNA(INDEX('⚙️ Assumptions'!$B$39:$F$39,MATCH(YEAR(O3),'⚙️ Assumptions'!$B$38:$F$38,0)),OFFSET(O5,,-1))</f>
        <v>0.33</v>
      </c>
      <c r="P5" s="79" t="n">
        <f aca="true">_xlfn.IFNA(INDEX('⚙️ Assumptions'!$B$39:$F$39,MATCH(YEAR(P3),'⚙️ Assumptions'!$B$38:$F$38,0)),OFFSET(P5,,-1))</f>
        <v>0.33</v>
      </c>
      <c r="Q5" s="79" t="n">
        <f aca="true">_xlfn.IFNA(INDEX('⚙️ Assumptions'!$B$39:$F$39,MATCH(YEAR(Q3),'⚙️ Assumptions'!$B$38:$F$38,0)),OFFSET(Q5,,-1))</f>
        <v>0.33</v>
      </c>
      <c r="R5" s="79" t="n">
        <f aca="true">_xlfn.IFNA(INDEX('⚙️ Assumptions'!$B$39:$F$39,MATCH(YEAR(R3),'⚙️ Assumptions'!$B$38:$F$38,0)),OFFSET(R5,,-1))</f>
        <v>0.3</v>
      </c>
      <c r="S5" s="79" t="n">
        <f aca="true">_xlfn.IFNA(INDEX('⚙️ Assumptions'!$B$39:$F$39,MATCH(YEAR(S3),'⚙️ Assumptions'!$B$38:$F$38,0)),OFFSET(S5,,-1))</f>
        <v>0.3</v>
      </c>
      <c r="T5" s="79" t="n">
        <f aca="true">_xlfn.IFNA(INDEX('⚙️ Assumptions'!$B$39:$F$39,MATCH(YEAR(T3),'⚙️ Assumptions'!$B$38:$F$38,0)),OFFSET(T5,,-1))</f>
        <v>0.3</v>
      </c>
      <c r="U5" s="79" t="n">
        <f aca="true">_xlfn.IFNA(INDEX('⚙️ Assumptions'!$B$39:$F$39,MATCH(YEAR(U3),'⚙️ Assumptions'!$B$38:$F$38,0)),OFFSET(U5,,-1))</f>
        <v>0.3</v>
      </c>
      <c r="V5" s="79" t="n">
        <f aca="true">_xlfn.IFNA(INDEX('⚙️ Assumptions'!$B$39:$F$39,MATCH(YEAR(V3),'⚙️ Assumptions'!$B$38:$F$38,0)),OFFSET(V5,,-1))</f>
        <v>0.3</v>
      </c>
      <c r="W5" s="79" t="n">
        <f aca="true">_xlfn.IFNA(INDEX('⚙️ Assumptions'!$B$39:$F$39,MATCH(YEAR(W3),'⚙️ Assumptions'!$B$38:$F$38,0)),OFFSET(W5,,-1))</f>
        <v>0.3</v>
      </c>
      <c r="X5" s="79" t="n">
        <f aca="true">_xlfn.IFNA(INDEX('⚙️ Assumptions'!$B$39:$F$39,MATCH(YEAR(X3),'⚙️ Assumptions'!$B$38:$F$38,0)),OFFSET(X5,,-1))</f>
        <v>0.3</v>
      </c>
      <c r="Y5" s="79" t="n">
        <f aca="true">_xlfn.IFNA(INDEX('⚙️ Assumptions'!$B$39:$F$39,MATCH(YEAR(Y3),'⚙️ Assumptions'!$B$38:$F$38,0)),OFFSET(Y5,,-1))</f>
        <v>0.3</v>
      </c>
      <c r="Z5" s="79" t="n">
        <f aca="true">_xlfn.IFNA(INDEX('⚙️ Assumptions'!$B$39:$F$39,MATCH(YEAR(Z3),'⚙️ Assumptions'!$B$38:$F$38,0)),OFFSET(Z5,,-1))</f>
        <v>0.3</v>
      </c>
      <c r="AA5" s="79" t="n">
        <f aca="true">_xlfn.IFNA(INDEX('⚙️ Assumptions'!$B$39:$F$39,MATCH(YEAR(AA3),'⚙️ Assumptions'!$B$38:$F$38,0)),OFFSET(AA5,,-1))</f>
        <v>0.3</v>
      </c>
      <c r="AB5" s="79" t="n">
        <f aca="true">_xlfn.IFNA(INDEX('⚙️ Assumptions'!$B$39:$F$39,MATCH(YEAR(AB3),'⚙️ Assumptions'!$B$38:$F$38,0)),OFFSET(AB5,,-1))</f>
        <v>0.3</v>
      </c>
      <c r="AC5" s="79" t="n">
        <f aca="true">_xlfn.IFNA(INDEX('⚙️ Assumptions'!$B$39:$F$39,MATCH(YEAR(AC3),'⚙️ Assumptions'!$B$38:$F$38,0)),OFFSET(AC5,,-1))</f>
        <v>0.3</v>
      </c>
      <c r="AD5" s="79" t="n">
        <f aca="true">_xlfn.IFNA(INDEX('⚙️ Assumptions'!$B$39:$F$39,MATCH(YEAR(AD3),'⚙️ Assumptions'!$B$38:$F$38,0)),OFFSET(AD5,,-1))</f>
        <v>0.29</v>
      </c>
      <c r="AE5" s="79" t="n">
        <f aca="true">_xlfn.IFNA(INDEX('⚙️ Assumptions'!$B$39:$F$39,MATCH(YEAR(AE3),'⚙️ Assumptions'!$B$38:$F$38,0)),OFFSET(AE5,,-1))</f>
        <v>0.29</v>
      </c>
      <c r="AF5" s="79" t="n">
        <f aca="true">_xlfn.IFNA(INDEX('⚙️ Assumptions'!$B$39:$F$39,MATCH(YEAR(AF3),'⚙️ Assumptions'!$B$38:$F$38,0)),OFFSET(AF5,,-1))</f>
        <v>0.29</v>
      </c>
      <c r="AG5" s="79" t="n">
        <f aca="true">_xlfn.IFNA(INDEX('⚙️ Assumptions'!$B$39:$F$39,MATCH(YEAR(AG3),'⚙️ Assumptions'!$B$38:$F$38,0)),OFFSET(AG5,,-1))</f>
        <v>0.29</v>
      </c>
      <c r="AH5" s="79" t="n">
        <f aca="true">_xlfn.IFNA(INDEX('⚙️ Assumptions'!$B$39:$F$39,MATCH(YEAR(AH3),'⚙️ Assumptions'!$B$38:$F$38,0)),OFFSET(AH5,,-1))</f>
        <v>0.29</v>
      </c>
      <c r="AI5" s="79" t="n">
        <f aca="true">_xlfn.IFNA(INDEX('⚙️ Assumptions'!$B$39:$F$39,MATCH(YEAR(AI3),'⚙️ Assumptions'!$B$38:$F$38,0)),OFFSET(AI5,,-1))</f>
        <v>0.29</v>
      </c>
      <c r="AJ5" s="79" t="n">
        <f aca="true">_xlfn.IFNA(INDEX('⚙️ Assumptions'!$B$39:$F$39,MATCH(YEAR(AJ3),'⚙️ Assumptions'!$B$38:$F$38,0)),OFFSET(AJ5,,-1))</f>
        <v>0.29</v>
      </c>
      <c r="AK5" s="79" t="n">
        <f aca="true">_xlfn.IFNA(INDEX('⚙️ Assumptions'!$B$39:$F$39,MATCH(YEAR(AK3),'⚙️ Assumptions'!$B$38:$F$38,0)),OFFSET(AK5,,-1))</f>
        <v>0.29</v>
      </c>
      <c r="AL5" s="79" t="n">
        <f aca="true">_xlfn.IFNA(INDEX('⚙️ Assumptions'!$B$39:$F$39,MATCH(YEAR(AL3),'⚙️ Assumptions'!$B$38:$F$38,0)),OFFSET(AL5,,-1))</f>
        <v>0.29</v>
      </c>
      <c r="AM5" s="79" t="n">
        <f aca="true">_xlfn.IFNA(INDEX('⚙️ Assumptions'!$B$39:$F$39,MATCH(YEAR(AM3),'⚙️ Assumptions'!$B$38:$F$38,0)),OFFSET(AM5,,-1))</f>
        <v>0.29</v>
      </c>
      <c r="AN5" s="79" t="n">
        <f aca="true">_xlfn.IFNA(INDEX('⚙️ Assumptions'!$B$39:$F$39,MATCH(YEAR(AN3),'⚙️ Assumptions'!$B$38:$F$38,0)),OFFSET(AN5,,-1))</f>
        <v>0.29</v>
      </c>
      <c r="AO5" s="79" t="n">
        <f aca="true">_xlfn.IFNA(INDEX('⚙️ Assumptions'!$B$39:$F$39,MATCH(YEAR(AO3),'⚙️ Assumptions'!$B$38:$F$38,0)),OFFSET(AO5,,-1))</f>
        <v>0.29</v>
      </c>
      <c r="AP5" s="79" t="n">
        <f aca="true">_xlfn.IFNA(INDEX('⚙️ Assumptions'!$B$39:$F$39,MATCH(YEAR(AP3),'⚙️ Assumptions'!$B$38:$F$38,0)),OFFSET(AP5,,-1))</f>
        <v>0.29</v>
      </c>
      <c r="AQ5" s="79" t="n">
        <f aca="true">_xlfn.IFNA(INDEX('⚙️ Assumptions'!$B$39:$F$39,MATCH(YEAR(AQ3),'⚙️ Assumptions'!$B$38:$F$38,0)),OFFSET(AQ5,,-1))</f>
        <v>0.29</v>
      </c>
      <c r="AR5" s="79" t="n">
        <f aca="true">_xlfn.IFNA(INDEX('⚙️ Assumptions'!$B$39:$F$39,MATCH(YEAR(AR3),'⚙️ Assumptions'!$B$38:$F$38,0)),OFFSET(AR5,,-1))</f>
        <v>0.29</v>
      </c>
      <c r="AS5" s="79" t="n">
        <f aca="true">_xlfn.IFNA(INDEX('⚙️ Assumptions'!$B$39:$F$39,MATCH(YEAR(AS3),'⚙️ Assumptions'!$B$38:$F$38,0)),OFFSET(AS5,,-1))</f>
        <v>0.29</v>
      </c>
      <c r="AT5" s="79" t="n">
        <f aca="true">_xlfn.IFNA(INDEX('⚙️ Assumptions'!$B$39:$F$39,MATCH(YEAR(AT3),'⚙️ Assumptions'!$B$38:$F$38,0)),OFFSET(AT5,,-1))</f>
        <v>0.29</v>
      </c>
      <c r="AU5" s="79" t="n">
        <f aca="true">_xlfn.IFNA(INDEX('⚙️ Assumptions'!$B$39:$F$39,MATCH(YEAR(AU3),'⚙️ Assumptions'!$B$38:$F$38,0)),OFFSET(AU5,,-1))</f>
        <v>0.29</v>
      </c>
      <c r="AV5" s="79" t="n">
        <f aca="true">_xlfn.IFNA(INDEX('⚙️ Assumptions'!$B$39:$F$39,MATCH(YEAR(AV3),'⚙️ Assumptions'!$B$38:$F$38,0)),OFFSET(AV5,,-1))</f>
        <v>0.29</v>
      </c>
      <c r="AW5" s="79" t="n">
        <f aca="true">_xlfn.IFNA(INDEX('⚙️ Assumptions'!$B$39:$F$39,MATCH(YEAR(AW3),'⚙️ Assumptions'!$B$38:$F$38,0)),OFFSET(AW5,,-1))</f>
        <v>0.29</v>
      </c>
      <c r="AX5" s="79" t="n">
        <f aca="true">_xlfn.IFNA(INDEX('⚙️ Assumptions'!$B$39:$F$39,MATCH(YEAR(AX3),'⚙️ Assumptions'!$B$38:$F$38,0)),OFFSET(AX5,,-1))</f>
        <v>0.29</v>
      </c>
      <c r="AY5" s="79" t="n">
        <f aca="true">_xlfn.IFNA(INDEX('⚙️ Assumptions'!$B$39:$F$39,MATCH(YEAR(AY3),'⚙️ Assumptions'!$B$38:$F$38,0)),OFFSET(AY5,,-1))</f>
        <v>0.29</v>
      </c>
      <c r="AZ5" s="79" t="n">
        <f aca="true">_xlfn.IFNA(INDEX('⚙️ Assumptions'!$B$39:$F$39,MATCH(YEAR(AZ3),'⚙️ Assumptions'!$B$38:$F$38,0)),OFFSET(AZ5,,-1))</f>
        <v>0.29</v>
      </c>
      <c r="BA5" s="79" t="n">
        <f aca="true">_xlfn.IFNA(INDEX('⚙️ Assumptions'!$B$39:$F$39,MATCH(YEAR(BA3),'⚙️ Assumptions'!$B$38:$F$38,0)),OFFSET(BA5,,-1))</f>
        <v>0.29</v>
      </c>
      <c r="BB5" s="79" t="n">
        <f aca="true">_xlfn.IFNA(INDEX('⚙️ Assumptions'!$B$39:$F$39,MATCH(YEAR(BB3),'⚙️ Assumptions'!$B$38:$F$38,0)),OFFSET(BB5,,-1))</f>
        <v>0.29</v>
      </c>
      <c r="BC5" s="79" t="n">
        <f aca="true">_xlfn.IFNA(INDEX('⚙️ Assumptions'!$B$39:$F$39,MATCH(YEAR(BC3),'⚙️ Assumptions'!$B$38:$F$38,0)),OFFSET(BC5,,-1))</f>
        <v>0.29</v>
      </c>
      <c r="BD5" s="79" t="n">
        <f aca="true">_xlfn.IFNA(INDEX('⚙️ Assumptions'!$B$39:$F$39,MATCH(YEAR(BD3),'⚙️ Assumptions'!$B$38:$F$38,0)),OFFSET(BD5,,-1))</f>
        <v>0.29</v>
      </c>
      <c r="BE5" s="79" t="n">
        <f aca="true">_xlfn.IFNA(INDEX('⚙️ Assumptions'!$B$39:$F$39,MATCH(YEAR(BE3),'⚙️ Assumptions'!$B$38:$F$38,0)),OFFSET(BE5,,-1))</f>
        <v>0.29</v>
      </c>
      <c r="BF5" s="79" t="n">
        <f aca="true">_xlfn.IFNA(INDEX('⚙️ Assumptions'!$B$39:$F$39,MATCH(YEAR(BF3),'⚙️ Assumptions'!$B$38:$F$38,0)),OFFSET(BF5,,-1))</f>
        <v>0.29</v>
      </c>
      <c r="BG5" s="79" t="n">
        <f aca="true">_xlfn.IFNA(INDEX('⚙️ Assumptions'!$B$39:$F$39,MATCH(YEAR(BG3),'⚙️ Assumptions'!$B$38:$F$38,0)),OFFSET(BG5,,-1))</f>
        <v>0.29</v>
      </c>
      <c r="BH5" s="79" t="n">
        <f aca="true">_xlfn.IFNA(INDEX('⚙️ Assumptions'!$B$39:$F$39,MATCH(YEAR(BH3),'⚙️ Assumptions'!$B$38:$F$38,0)),OFFSET(BH5,,-1))</f>
        <v>0.29</v>
      </c>
      <c r="BI5" s="79" t="n">
        <f aca="true">_xlfn.IFNA(INDEX('⚙️ Assumptions'!$B$39:$F$39,MATCH(YEAR(BI3),'⚙️ Assumptions'!$B$38:$F$38,0)),OFFSET(BI5,,-1))</f>
        <v>0.29</v>
      </c>
      <c r="BJ5" s="79" t="n">
        <f aca="true">_xlfn.IFNA(INDEX('⚙️ Assumptions'!$B$39:$F$39,MATCH(YEAR(BJ3),'⚙️ Assumptions'!$B$38:$F$38,0)),OFFSET(BJ5,,-1))</f>
        <v>0.29</v>
      </c>
    </row>
    <row r="6" s="71" customFormat="true" ht="13.5" hidden="false" customHeight="true" outlineLevel="0" collapsed="false">
      <c r="A6" s="37" t="s">
        <v>257</v>
      </c>
      <c r="B6" s="68" t="n">
        <f aca="false">SUM(C6:AL6)</f>
        <v>3247350750</v>
      </c>
      <c r="C6" s="68" t="n">
        <f aca="false">'💰 Revenue'!C15*C5</f>
        <v>0</v>
      </c>
      <c r="D6" s="68" t="n">
        <f aca="false">'💰 Revenue'!D15*D5</f>
        <v>0</v>
      </c>
      <c r="E6" s="68" t="n">
        <f aca="false">'💰 Revenue'!E15*E5</f>
        <v>52731000</v>
      </c>
      <c r="F6" s="68" t="n">
        <f aca="false">'💰 Revenue'!F15*F5</f>
        <v>66290400</v>
      </c>
      <c r="G6" s="68" t="n">
        <f aca="false">'💰 Revenue'!G15*G5</f>
        <v>51247350</v>
      </c>
      <c r="H6" s="68" t="n">
        <f aca="false">'💰 Revenue'!H15*H5</f>
        <v>69973200</v>
      </c>
      <c r="I6" s="68" t="n">
        <f aca="false">'💰 Revenue'!I15*I5</f>
        <v>92218500</v>
      </c>
      <c r="J6" s="68" t="n">
        <f aca="false">'💰 Revenue'!J15*J5</f>
        <v>96673500</v>
      </c>
      <c r="K6" s="68" t="n">
        <f aca="false">'💰 Revenue'!K15*K5</f>
        <v>106920000</v>
      </c>
      <c r="L6" s="68" t="n">
        <f aca="false">'💰 Revenue'!L15*L5</f>
        <v>105880500</v>
      </c>
      <c r="M6" s="68" t="n">
        <f aca="false">'💰 Revenue'!M15*M5</f>
        <v>92070000</v>
      </c>
      <c r="N6" s="68" t="n">
        <f aca="false">'💰 Revenue'!N15*N5</f>
        <v>84645000</v>
      </c>
      <c r="O6" s="68" t="n">
        <f aca="false">'💰 Revenue'!O15*O5</f>
        <v>87466500</v>
      </c>
      <c r="P6" s="68" t="n">
        <f aca="false">'💰 Revenue'!P15*P5</f>
        <v>93555000</v>
      </c>
      <c r="Q6" s="68" t="n">
        <f aca="false">'💰 Revenue'!Q15*Q5</f>
        <v>110484000</v>
      </c>
      <c r="R6" s="68" t="n">
        <f aca="false">'💰 Revenue'!R15*R5</f>
        <v>100440000</v>
      </c>
      <c r="S6" s="68" t="n">
        <f aca="false">'💰 Revenue'!S15*S5</f>
        <v>77112000</v>
      </c>
      <c r="T6" s="68" t="n">
        <f aca="false">'💰 Revenue'!T15*T5</f>
        <v>95418000</v>
      </c>
      <c r="U6" s="68" t="n">
        <f aca="false">'💰 Revenue'!U15*U5</f>
        <v>111780000</v>
      </c>
      <c r="V6" s="68" t="n">
        <f aca="false">'💰 Revenue'!V15*V5</f>
        <v>105462000</v>
      </c>
      <c r="W6" s="68" t="n">
        <f aca="false">'💰 Revenue'!W15*W5</f>
        <v>116640000</v>
      </c>
      <c r="X6" s="68" t="n">
        <f aca="false">'💰 Revenue'!X15*X5</f>
        <v>115506000</v>
      </c>
      <c r="Y6" s="68" t="n">
        <f aca="false">'💰 Revenue'!Y15*Y5</f>
        <v>100440000</v>
      </c>
      <c r="Z6" s="68" t="n">
        <f aca="false">'💰 Revenue'!Z15*Z5</f>
        <v>92340000</v>
      </c>
      <c r="AA6" s="68" t="n">
        <f aca="false">'💰 Revenue'!AA15*AA5</f>
        <v>95418000</v>
      </c>
      <c r="AB6" s="68" t="n">
        <f aca="false">'💰 Revenue'!AB15*AB5</f>
        <v>102060000</v>
      </c>
      <c r="AC6" s="68" t="n">
        <f aca="false">'💰 Revenue'!AC15*AC5</f>
        <v>120528000</v>
      </c>
      <c r="AD6" s="68" t="n">
        <f aca="false">'💰 Revenue'!AD15*AD5</f>
        <v>116510400</v>
      </c>
      <c r="AE6" s="68" t="n">
        <f aca="false">'💰 Revenue'!AE15*AE5</f>
        <v>74541600</v>
      </c>
      <c r="AF6" s="68" t="n">
        <f aca="false">'💰 Revenue'!AF15*AF5</f>
        <v>92237400</v>
      </c>
      <c r="AG6" s="68" t="n">
        <f aca="false">'💰 Revenue'!AG15*AG5</f>
        <v>108054000</v>
      </c>
      <c r="AH6" s="68" t="n">
        <f aca="false">'💰 Revenue'!AH15*AH5</f>
        <v>101946600</v>
      </c>
      <c r="AI6" s="68" t="n">
        <f aca="false">'💰 Revenue'!AI15*AI5</f>
        <v>112752000</v>
      </c>
      <c r="AJ6" s="68" t="n">
        <f aca="false">'💰 Revenue'!AJ15*AJ5</f>
        <v>111655800</v>
      </c>
      <c r="AK6" s="68" t="n">
        <f aca="false">'💰 Revenue'!AK15*AK5</f>
        <v>97092000</v>
      </c>
      <c r="AL6" s="68" t="n">
        <f aca="false">'💰 Revenue'!AL15*AL5</f>
        <v>89262000</v>
      </c>
      <c r="AM6" s="68" t="n">
        <f aca="false">'💰 Revenue'!AM15*AM5</f>
        <v>92237400</v>
      </c>
      <c r="AN6" s="68" t="n">
        <f aca="false">'💰 Revenue'!AN15*AN5</f>
        <v>98658000</v>
      </c>
      <c r="AO6" s="68" t="n">
        <f aca="false">'💰 Revenue'!AO15*AO5</f>
        <v>116510400</v>
      </c>
      <c r="AP6" s="68" t="n">
        <f aca="false">'💰 Revenue'!AP15*AP5</f>
        <v>116510400</v>
      </c>
      <c r="AQ6" s="68" t="n">
        <f aca="false">'💰 Revenue'!AQ15*AQ5</f>
        <v>74541600</v>
      </c>
      <c r="AR6" s="68" t="n">
        <f aca="false">'💰 Revenue'!AR15*AR5</f>
        <v>92237400</v>
      </c>
      <c r="AS6" s="68" t="n">
        <f aca="false">'💰 Revenue'!AS15*AS5</f>
        <v>108054000</v>
      </c>
      <c r="AT6" s="68" t="n">
        <f aca="false">'💰 Revenue'!AT15*AT5</f>
        <v>101946600</v>
      </c>
      <c r="AU6" s="68" t="n">
        <f aca="false">'💰 Revenue'!AU15*AU5</f>
        <v>112752000</v>
      </c>
      <c r="AV6" s="68" t="n">
        <f aca="false">'💰 Revenue'!AV15*AV5</f>
        <v>111655800</v>
      </c>
      <c r="AW6" s="68" t="n">
        <f aca="false">'💰 Revenue'!AW15*AW5</f>
        <v>97092000</v>
      </c>
      <c r="AX6" s="68" t="n">
        <f aca="false">'💰 Revenue'!AX15*AX5</f>
        <v>89262000</v>
      </c>
      <c r="AY6" s="68" t="n">
        <f aca="false">'💰 Revenue'!AY15*AY5</f>
        <v>92237400</v>
      </c>
      <c r="AZ6" s="68" t="n">
        <f aca="false">'💰 Revenue'!AZ15*AZ5</f>
        <v>98658000</v>
      </c>
      <c r="BA6" s="68" t="n">
        <f aca="false">'💰 Revenue'!BA15*BA5</f>
        <v>116510400</v>
      </c>
      <c r="BB6" s="68" t="n">
        <f aca="false">'💰 Revenue'!BB15*BB5</f>
        <v>116510400</v>
      </c>
      <c r="BC6" s="68" t="n">
        <f aca="false">'💰 Revenue'!BC15*BC5</f>
        <v>77203800</v>
      </c>
      <c r="BD6" s="68" t="n">
        <f aca="false">'💰 Revenue'!BD15*BD5</f>
        <v>92237400</v>
      </c>
      <c r="BE6" s="68" t="n">
        <f aca="false">'💰 Revenue'!BE15*BE5</f>
        <v>108054000</v>
      </c>
      <c r="BF6" s="68" t="n">
        <f aca="false">'💰 Revenue'!BF15*BF5</f>
        <v>101946600</v>
      </c>
      <c r="BG6" s="68" t="n">
        <f aca="false">'💰 Revenue'!BG15*BG5</f>
        <v>112752000</v>
      </c>
      <c r="BH6" s="68" t="n">
        <f aca="false">'💰 Revenue'!BH15*BH5</f>
        <v>111655800</v>
      </c>
      <c r="BI6" s="68" t="n">
        <f aca="false">'💰 Revenue'!BI15*BI5</f>
        <v>97092000</v>
      </c>
      <c r="BJ6" s="68" t="n">
        <f aca="false">'💰 Revenue'!BJ15*BJ5</f>
        <v>89262000</v>
      </c>
    </row>
    <row r="7" customFormat="false" ht="13.5" hidden="false" customHeight="true" outlineLevel="0" collapsed="false">
      <c r="A7" s="66" t="s">
        <v>258</v>
      </c>
      <c r="B7" s="67" t="n">
        <f aca="false">SUM(C7:AL7)</f>
        <v>3247350750</v>
      </c>
      <c r="C7" s="67" t="n">
        <f aca="false">C6</f>
        <v>0</v>
      </c>
      <c r="D7" s="67" t="n">
        <f aca="false">D6</f>
        <v>0</v>
      </c>
      <c r="E7" s="67" t="n">
        <f aca="false">E6</f>
        <v>52731000</v>
      </c>
      <c r="F7" s="67" t="n">
        <f aca="false">F6</f>
        <v>66290400</v>
      </c>
      <c r="G7" s="67" t="n">
        <f aca="false">G6</f>
        <v>51247350</v>
      </c>
      <c r="H7" s="67" t="n">
        <f aca="false">H6</f>
        <v>69973200</v>
      </c>
      <c r="I7" s="67" t="n">
        <f aca="false">I6</f>
        <v>92218500</v>
      </c>
      <c r="J7" s="67" t="n">
        <f aca="false">J6</f>
        <v>96673500</v>
      </c>
      <c r="K7" s="67" t="n">
        <f aca="false">K6</f>
        <v>106920000</v>
      </c>
      <c r="L7" s="67" t="n">
        <f aca="false">L6</f>
        <v>105880500</v>
      </c>
      <c r="M7" s="67" t="n">
        <f aca="false">M6</f>
        <v>92070000</v>
      </c>
      <c r="N7" s="67" t="n">
        <f aca="false">N6</f>
        <v>84645000</v>
      </c>
      <c r="O7" s="67" t="n">
        <f aca="false">O6</f>
        <v>87466500</v>
      </c>
      <c r="P7" s="67" t="n">
        <f aca="false">P6</f>
        <v>93555000</v>
      </c>
      <c r="Q7" s="67" t="n">
        <f aca="false">Q6</f>
        <v>110484000</v>
      </c>
      <c r="R7" s="67" t="n">
        <f aca="false">R6</f>
        <v>100440000</v>
      </c>
      <c r="S7" s="67" t="n">
        <f aca="false">S6</f>
        <v>77112000</v>
      </c>
      <c r="T7" s="67" t="n">
        <f aca="false">T6</f>
        <v>95418000</v>
      </c>
      <c r="U7" s="67" t="n">
        <f aca="false">U6</f>
        <v>111780000</v>
      </c>
      <c r="V7" s="67" t="n">
        <f aca="false">V6</f>
        <v>105462000</v>
      </c>
      <c r="W7" s="67" t="n">
        <f aca="false">W6</f>
        <v>116640000</v>
      </c>
      <c r="X7" s="67" t="n">
        <f aca="false">X6</f>
        <v>115506000</v>
      </c>
      <c r="Y7" s="67" t="n">
        <f aca="false">Y6</f>
        <v>100440000</v>
      </c>
      <c r="Z7" s="67" t="n">
        <f aca="false">Z6</f>
        <v>92340000</v>
      </c>
      <c r="AA7" s="67" t="n">
        <f aca="false">AA6</f>
        <v>95418000</v>
      </c>
      <c r="AB7" s="67" t="n">
        <f aca="false">AB6</f>
        <v>102060000</v>
      </c>
      <c r="AC7" s="67" t="n">
        <f aca="false">AC6</f>
        <v>120528000</v>
      </c>
      <c r="AD7" s="67" t="n">
        <f aca="false">AD6</f>
        <v>116510400</v>
      </c>
      <c r="AE7" s="67" t="n">
        <f aca="false">AE6</f>
        <v>74541600</v>
      </c>
      <c r="AF7" s="67" t="n">
        <f aca="false">AF6</f>
        <v>92237400</v>
      </c>
      <c r="AG7" s="67" t="n">
        <f aca="false">AG6</f>
        <v>108054000</v>
      </c>
      <c r="AH7" s="67" t="n">
        <f aca="false">AH6</f>
        <v>101946600</v>
      </c>
      <c r="AI7" s="67" t="n">
        <f aca="false">AI6</f>
        <v>112752000</v>
      </c>
      <c r="AJ7" s="67" t="n">
        <f aca="false">AJ6</f>
        <v>111655800</v>
      </c>
      <c r="AK7" s="67" t="n">
        <f aca="false">AK6</f>
        <v>97092000</v>
      </c>
      <c r="AL7" s="67" t="n">
        <f aca="false">AL6</f>
        <v>89262000</v>
      </c>
      <c r="AM7" s="67" t="n">
        <f aca="false">AM6</f>
        <v>92237400</v>
      </c>
      <c r="AN7" s="67" t="n">
        <f aca="false">AN6</f>
        <v>98658000</v>
      </c>
      <c r="AO7" s="67" t="n">
        <f aca="false">AO6</f>
        <v>116510400</v>
      </c>
      <c r="AP7" s="67" t="n">
        <f aca="false">AP6</f>
        <v>116510400</v>
      </c>
      <c r="AQ7" s="67" t="n">
        <f aca="false">AQ6</f>
        <v>74541600</v>
      </c>
      <c r="AR7" s="67" t="n">
        <f aca="false">AR6</f>
        <v>92237400</v>
      </c>
      <c r="AS7" s="67" t="n">
        <f aca="false">AS6</f>
        <v>108054000</v>
      </c>
      <c r="AT7" s="67" t="n">
        <f aca="false">AT6</f>
        <v>101946600</v>
      </c>
      <c r="AU7" s="67" t="n">
        <f aca="false">AU6</f>
        <v>112752000</v>
      </c>
      <c r="AV7" s="67" t="n">
        <f aca="false">AV6</f>
        <v>111655800</v>
      </c>
      <c r="AW7" s="67" t="n">
        <f aca="false">AW6</f>
        <v>97092000</v>
      </c>
      <c r="AX7" s="67" t="n">
        <f aca="false">AX6</f>
        <v>89262000</v>
      </c>
      <c r="AY7" s="67" t="n">
        <f aca="false">AY6</f>
        <v>92237400</v>
      </c>
      <c r="AZ7" s="67" t="n">
        <f aca="false">AZ6</f>
        <v>98658000</v>
      </c>
      <c r="BA7" s="67" t="n">
        <f aca="false">BA6</f>
        <v>116510400</v>
      </c>
      <c r="BB7" s="67" t="n">
        <f aca="false">BB6</f>
        <v>116510400</v>
      </c>
      <c r="BC7" s="67" t="n">
        <f aca="false">BC6</f>
        <v>77203800</v>
      </c>
      <c r="BD7" s="67" t="n">
        <f aca="false">BD6</f>
        <v>92237400</v>
      </c>
      <c r="BE7" s="67" t="n">
        <f aca="false">BE6</f>
        <v>108054000</v>
      </c>
      <c r="BF7" s="67" t="n">
        <f aca="false">BF6</f>
        <v>101946600</v>
      </c>
      <c r="BG7" s="67" t="n">
        <f aca="false">BG6</f>
        <v>112752000</v>
      </c>
      <c r="BH7" s="67" t="n">
        <f aca="false">BH6</f>
        <v>111655800</v>
      </c>
      <c r="BI7" s="67" t="n">
        <f aca="false">BI6</f>
        <v>97092000</v>
      </c>
      <c r="BJ7" s="67" t="n">
        <f aca="false">BJ6</f>
        <v>89262000</v>
      </c>
    </row>
    <row r="8" customFormat="false" ht="13.5" hidden="false" customHeight="true" outlineLevel="0" collapsed="false">
      <c r="A8" s="59" t="s">
        <v>259</v>
      </c>
      <c r="B8" s="59"/>
      <c r="C8" s="59"/>
      <c r="D8" s="59"/>
      <c r="E8" s="59"/>
      <c r="F8" s="59"/>
      <c r="G8" s="59"/>
      <c r="H8" s="59"/>
      <c r="I8" s="59"/>
      <c r="J8" s="59"/>
      <c r="K8" s="59"/>
      <c r="L8" s="59"/>
      <c r="M8" s="59"/>
      <c r="N8" s="59"/>
      <c r="O8" s="59"/>
      <c r="P8" s="59"/>
      <c r="Q8" s="59"/>
      <c r="R8" s="59"/>
      <c r="S8" s="59"/>
      <c r="T8" s="59"/>
      <c r="U8" s="59"/>
      <c r="V8" s="59"/>
      <c r="W8" s="59"/>
      <c r="X8" s="59"/>
      <c r="Y8" s="59"/>
      <c r="Z8" s="59"/>
      <c r="AA8" s="59"/>
      <c r="AB8" s="59"/>
      <c r="AC8" s="59"/>
      <c r="AD8" s="59"/>
      <c r="AE8" s="59"/>
      <c r="AF8" s="59"/>
      <c r="AG8" s="59"/>
      <c r="AH8" s="59"/>
      <c r="AI8" s="59"/>
      <c r="AJ8" s="59"/>
      <c r="AK8" s="59"/>
      <c r="AL8" s="59"/>
      <c r="AM8" s="59"/>
      <c r="AN8" s="71"/>
      <c r="AO8" s="71"/>
      <c r="AP8" s="71"/>
      <c r="AQ8" s="71"/>
      <c r="AR8" s="71"/>
      <c r="AS8" s="71"/>
      <c r="AT8" s="71"/>
      <c r="AU8" s="71"/>
      <c r="AV8" s="71"/>
      <c r="AW8" s="71"/>
      <c r="AX8" s="71"/>
      <c r="AY8" s="71"/>
      <c r="AZ8" s="71"/>
      <c r="BA8" s="71"/>
      <c r="BB8" s="71"/>
      <c r="BC8" s="71"/>
      <c r="BD8" s="71"/>
      <c r="BE8" s="71"/>
      <c r="BF8" s="71"/>
      <c r="BG8" s="71"/>
      <c r="BH8" s="71"/>
      <c r="BI8" s="71"/>
      <c r="BJ8" s="71"/>
    </row>
    <row r="9" customFormat="false" ht="13.5" hidden="false" customHeight="true" outlineLevel="0" collapsed="false">
      <c r="A9" s="37" t="s">
        <v>260</v>
      </c>
      <c r="B9" s="68" t="n">
        <f aca="false">SUM(C9:AL9)</f>
        <v>2070000000</v>
      </c>
      <c r="C9" s="64" t="n">
        <f aca="false">'⚙️ Assumptions'!$B$10</f>
        <v>57500000</v>
      </c>
      <c r="D9" s="64" t="n">
        <f aca="false">'⚙️ Assumptions'!$B$10</f>
        <v>57500000</v>
      </c>
      <c r="E9" s="64" t="n">
        <f aca="false">'⚙️ Assumptions'!$B$10</f>
        <v>57500000</v>
      </c>
      <c r="F9" s="64" t="n">
        <f aca="false">'⚙️ Assumptions'!$B$10</f>
        <v>57500000</v>
      </c>
      <c r="G9" s="64" t="n">
        <f aca="false">'⚙️ Assumptions'!$B$10</f>
        <v>57500000</v>
      </c>
      <c r="H9" s="64" t="n">
        <f aca="false">'⚙️ Assumptions'!$B$10</f>
        <v>57500000</v>
      </c>
      <c r="I9" s="64" t="n">
        <f aca="false">'⚙️ Assumptions'!$B$10</f>
        <v>57500000</v>
      </c>
      <c r="J9" s="64" t="n">
        <f aca="false">'⚙️ Assumptions'!$B$10</f>
        <v>57500000</v>
      </c>
      <c r="K9" s="64" t="n">
        <f aca="false">'⚙️ Assumptions'!$B$10</f>
        <v>57500000</v>
      </c>
      <c r="L9" s="64" t="n">
        <f aca="false">'⚙️ Assumptions'!$B$10</f>
        <v>57500000</v>
      </c>
      <c r="M9" s="64" t="n">
        <f aca="false">'⚙️ Assumptions'!$B$10</f>
        <v>57500000</v>
      </c>
      <c r="N9" s="64" t="n">
        <f aca="false">'⚙️ Assumptions'!$B$10</f>
        <v>57500000</v>
      </c>
      <c r="O9" s="64" t="n">
        <f aca="false">'⚙️ Assumptions'!$B$10</f>
        <v>57500000</v>
      </c>
      <c r="P9" s="64" t="n">
        <f aca="false">'⚙️ Assumptions'!$B$10</f>
        <v>57500000</v>
      </c>
      <c r="Q9" s="64" t="n">
        <f aca="false">'⚙️ Assumptions'!$B$10</f>
        <v>57500000</v>
      </c>
      <c r="R9" s="64" t="n">
        <f aca="false">'⚙️ Assumptions'!$B$10</f>
        <v>57500000</v>
      </c>
      <c r="S9" s="64" t="n">
        <f aca="false">'⚙️ Assumptions'!$B$10</f>
        <v>57500000</v>
      </c>
      <c r="T9" s="64" t="n">
        <f aca="false">'⚙️ Assumptions'!$B$10</f>
        <v>57500000</v>
      </c>
      <c r="U9" s="64" t="n">
        <f aca="false">'⚙️ Assumptions'!$B$10</f>
        <v>57500000</v>
      </c>
      <c r="V9" s="64" t="n">
        <f aca="false">'⚙️ Assumptions'!$B$10</f>
        <v>57500000</v>
      </c>
      <c r="W9" s="64" t="n">
        <f aca="false">'⚙️ Assumptions'!$B$10</f>
        <v>57500000</v>
      </c>
      <c r="X9" s="64" t="n">
        <f aca="false">'⚙️ Assumptions'!$B$10</f>
        <v>57500000</v>
      </c>
      <c r="Y9" s="64" t="n">
        <f aca="false">'⚙️ Assumptions'!$B$10</f>
        <v>57500000</v>
      </c>
      <c r="Z9" s="64" t="n">
        <f aca="false">'⚙️ Assumptions'!$B$10</f>
        <v>57500000</v>
      </c>
      <c r="AA9" s="64" t="n">
        <f aca="false">'⚙️ Assumptions'!$B$10</f>
        <v>57500000</v>
      </c>
      <c r="AB9" s="64" t="n">
        <f aca="false">'⚙️ Assumptions'!$B$10</f>
        <v>57500000</v>
      </c>
      <c r="AC9" s="64" t="n">
        <f aca="false">'⚙️ Assumptions'!$B$10</f>
        <v>57500000</v>
      </c>
      <c r="AD9" s="64" t="n">
        <f aca="false">'⚙️ Assumptions'!$B$10</f>
        <v>57500000</v>
      </c>
      <c r="AE9" s="64" t="n">
        <f aca="false">'⚙️ Assumptions'!$B$10</f>
        <v>57500000</v>
      </c>
      <c r="AF9" s="64" t="n">
        <f aca="false">'⚙️ Assumptions'!$B$10</f>
        <v>57500000</v>
      </c>
      <c r="AG9" s="64" t="n">
        <f aca="false">'⚙️ Assumptions'!$B$10</f>
        <v>57500000</v>
      </c>
      <c r="AH9" s="64" t="n">
        <f aca="false">'⚙️ Assumptions'!$B$10</f>
        <v>57500000</v>
      </c>
      <c r="AI9" s="64" t="n">
        <f aca="false">'⚙️ Assumptions'!$B$10</f>
        <v>57500000</v>
      </c>
      <c r="AJ9" s="64" t="n">
        <f aca="false">'⚙️ Assumptions'!$B$10</f>
        <v>57500000</v>
      </c>
      <c r="AK9" s="64" t="n">
        <f aca="false">'⚙️ Assumptions'!$B$10</f>
        <v>57500000</v>
      </c>
      <c r="AL9" s="64" t="n">
        <f aca="false">'⚙️ Assumptions'!$B$10</f>
        <v>57500000</v>
      </c>
      <c r="AM9" s="64" t="n">
        <f aca="false">'⚙️ Assumptions'!$B$10</f>
        <v>57500000</v>
      </c>
      <c r="AN9" s="64" t="n">
        <f aca="false">'⚙️ Assumptions'!$B$10</f>
        <v>57500000</v>
      </c>
      <c r="AO9" s="64" t="n">
        <f aca="false">'⚙️ Assumptions'!$B$10</f>
        <v>57500000</v>
      </c>
      <c r="AP9" s="64" t="n">
        <f aca="false">'⚙️ Assumptions'!$B$10</f>
        <v>57500000</v>
      </c>
      <c r="AQ9" s="64" t="n">
        <f aca="false">'⚙️ Assumptions'!$B$10</f>
        <v>57500000</v>
      </c>
      <c r="AR9" s="64" t="n">
        <f aca="false">'⚙️ Assumptions'!$B$10</f>
        <v>57500000</v>
      </c>
      <c r="AS9" s="64" t="n">
        <f aca="false">'⚙️ Assumptions'!$B$10</f>
        <v>57500000</v>
      </c>
      <c r="AT9" s="64" t="n">
        <f aca="false">'⚙️ Assumptions'!$B$10</f>
        <v>57500000</v>
      </c>
      <c r="AU9" s="64" t="n">
        <f aca="false">'⚙️ Assumptions'!$B$10</f>
        <v>57500000</v>
      </c>
      <c r="AV9" s="64" t="n">
        <f aca="false">'⚙️ Assumptions'!$B$10</f>
        <v>57500000</v>
      </c>
      <c r="AW9" s="64" t="n">
        <f aca="false">'⚙️ Assumptions'!$B$10</f>
        <v>57500000</v>
      </c>
      <c r="AX9" s="64" t="n">
        <f aca="false">'⚙️ Assumptions'!$B$10</f>
        <v>57500000</v>
      </c>
      <c r="AY9" s="64" t="n">
        <f aca="false">'⚙️ Assumptions'!$B$10</f>
        <v>57500000</v>
      </c>
      <c r="AZ9" s="64" t="n">
        <f aca="false">'⚙️ Assumptions'!$B$10</f>
        <v>57500000</v>
      </c>
      <c r="BA9" s="64" t="n">
        <f aca="false">'⚙️ Assumptions'!$B$10</f>
        <v>57500000</v>
      </c>
      <c r="BB9" s="64" t="n">
        <f aca="false">'⚙️ Assumptions'!$B$10</f>
        <v>57500000</v>
      </c>
      <c r="BC9" s="64" t="n">
        <f aca="false">'⚙️ Assumptions'!$B$10</f>
        <v>57500000</v>
      </c>
      <c r="BD9" s="64" t="n">
        <f aca="false">'⚙️ Assumptions'!$B$10</f>
        <v>57500000</v>
      </c>
      <c r="BE9" s="64" t="n">
        <f aca="false">'⚙️ Assumptions'!$B$10</f>
        <v>57500000</v>
      </c>
      <c r="BF9" s="64" t="n">
        <f aca="false">'⚙️ Assumptions'!$B$10</f>
        <v>57500000</v>
      </c>
      <c r="BG9" s="64" t="n">
        <f aca="false">'⚙️ Assumptions'!$B$10</f>
        <v>57500000</v>
      </c>
      <c r="BH9" s="64" t="n">
        <f aca="false">'⚙️ Assumptions'!$B$10</f>
        <v>57500000</v>
      </c>
      <c r="BI9" s="64" t="n">
        <f aca="false">'⚙️ Assumptions'!$B$10</f>
        <v>57500000</v>
      </c>
      <c r="BJ9" s="64" t="n">
        <f aca="false">'⚙️ Assumptions'!$B$10</f>
        <v>57500000</v>
      </c>
    </row>
    <row r="10" customFormat="false" ht="13.5" hidden="false" customHeight="true" outlineLevel="0" collapsed="false">
      <c r="A10" s="38" t="s">
        <v>261</v>
      </c>
      <c r="B10" s="60" t="n">
        <f aca="false">SUM(C10:AL10)</f>
        <v>830238356.25</v>
      </c>
      <c r="C10" s="64" t="n">
        <f aca="false">_xlfn.LET(
_xlpm.Electric, C11,
_xlpm.Water, C13,
_xlpm.Electric + _xlpm.Water)</f>
        <v>0</v>
      </c>
      <c r="D10" s="64" t="n">
        <f aca="false">_xlfn.LET(
_xlpm.Electric, D11,
_xlpm.Water, D13,
_xlpm.Electric + _xlpm.Water)</f>
        <v>0</v>
      </c>
      <c r="E10" s="61" t="n">
        <f aca="false">_xlfn.LET(
_xlpm.Electric, E11,
_xlpm.Water, E13,
_xlpm.Electric + _xlpm.Water)</f>
        <v>9604575</v>
      </c>
      <c r="F10" s="61" t="n">
        <f aca="false">_xlfn.LET(
_xlpm.Electric, F11,
_xlpm.Water, F13,
_xlpm.Electric + _xlpm.Water)</f>
        <v>12806100</v>
      </c>
      <c r="G10" s="61" t="n">
        <f aca="false">_xlfn.LET(
_xlpm.Electric, G11,
_xlpm.Water, G13,
_xlpm.Electric + _xlpm.Water)</f>
        <v>10676531.25</v>
      </c>
      <c r="H10" s="61" t="n">
        <f aca="false">_xlfn.LET(
_xlpm.Electric, H11,
_xlpm.Water, H13,
_xlpm.Electric + _xlpm.Water)</f>
        <v>14577750</v>
      </c>
      <c r="I10" s="61" t="n">
        <f aca="false">_xlfn.LET(
_xlpm.Electric, I11,
_xlpm.Water, I13,
_xlpm.Electric + _xlpm.Water)</f>
        <v>19212187.5</v>
      </c>
      <c r="J10" s="61" t="n">
        <f aca="false">_xlfn.LET(
_xlpm.Electric, J11,
_xlpm.Water, J13,
_xlpm.Electric + _xlpm.Water)</f>
        <v>20140312.5</v>
      </c>
      <c r="K10" s="61" t="n">
        <f aca="false">_xlfn.LET(
_xlpm.Electric, K11,
_xlpm.Water, K13,
_xlpm.Electric + _xlpm.Water)</f>
        <v>30375000</v>
      </c>
      <c r="L10" s="61" t="n">
        <f aca="false">_xlfn.LET(
_xlpm.Electric, L11,
_xlpm.Water, L13,
_xlpm.Electric + _xlpm.Water)</f>
        <v>30079687.5</v>
      </c>
      <c r="M10" s="61" t="n">
        <f aca="false">_xlfn.LET(
_xlpm.Electric, M11,
_xlpm.Water, M13,
_xlpm.Electric + _xlpm.Water)</f>
        <v>26156250</v>
      </c>
      <c r="N10" s="61" t="n">
        <f aca="false">_xlfn.LET(
_xlpm.Electric, N11,
_xlpm.Water, N13,
_xlpm.Electric + _xlpm.Water)</f>
        <v>24046875</v>
      </c>
      <c r="O10" s="61" t="n">
        <f aca="false">_xlfn.LET(
_xlpm.Electric, O11,
_xlpm.Water, O13,
_xlpm.Electric + _xlpm.Water)</f>
        <v>24848437.5</v>
      </c>
      <c r="P10" s="61" t="n">
        <f aca="false">_xlfn.LET(
_xlpm.Electric, P11,
_xlpm.Water, P13,
_xlpm.Electric + _xlpm.Water)</f>
        <v>18073125</v>
      </c>
      <c r="Q10" s="61" t="n">
        <f aca="false">_xlfn.LET(
_xlpm.Electric, Q11,
_xlpm.Water, Q13,
_xlpm.Electric + _xlpm.Water)</f>
        <v>21343500</v>
      </c>
      <c r="R10" s="61" t="n">
        <f aca="false">_xlfn.LET(
_xlpm.Electric, R11,
_xlpm.Water, R13,
_xlpm.Electric + _xlpm.Water)</f>
        <v>21343500</v>
      </c>
      <c r="S10" s="61" t="n">
        <f aca="false">_xlfn.LET(
_xlpm.Electric, S11,
_xlpm.Water, S13,
_xlpm.Electric + _xlpm.Water)</f>
        <v>17671500</v>
      </c>
      <c r="T10" s="61" t="n">
        <f aca="false">_xlfn.LET(
_xlpm.Electric, T11,
_xlpm.Water, T13,
_xlpm.Electric + _xlpm.Water)</f>
        <v>21866625</v>
      </c>
      <c r="U10" s="61" t="n">
        <f aca="false">_xlfn.LET(
_xlpm.Electric, U11,
_xlpm.Water, U13,
_xlpm.Electric + _xlpm.Water)</f>
        <v>25616250</v>
      </c>
      <c r="V10" s="61" t="n">
        <f aca="false">_xlfn.LET(
_xlpm.Electric, V11,
_xlpm.Water, V13,
_xlpm.Electric + _xlpm.Water)</f>
        <v>24168375</v>
      </c>
      <c r="W10" s="61" t="n">
        <f aca="false">_xlfn.LET(
_xlpm.Electric, W11,
_xlpm.Water, W13,
_xlpm.Electric + _xlpm.Water)</f>
        <v>36450000</v>
      </c>
      <c r="X10" s="61" t="n">
        <f aca="false">_xlfn.LET(
_xlpm.Electric, X11,
_xlpm.Water, X13,
_xlpm.Electric + _xlpm.Water)</f>
        <v>36095625</v>
      </c>
      <c r="Y10" s="61" t="n">
        <f aca="false">_xlfn.LET(
_xlpm.Electric, Y11,
_xlpm.Water, Y13,
_xlpm.Electric + _xlpm.Water)</f>
        <v>31387500</v>
      </c>
      <c r="Z10" s="61" t="n">
        <f aca="false">_xlfn.LET(
_xlpm.Electric, Z11,
_xlpm.Water, Z13,
_xlpm.Electric + _xlpm.Water)</f>
        <v>28856250</v>
      </c>
      <c r="AA10" s="61" t="n">
        <f aca="false">_xlfn.LET(
_xlpm.Electric, AA11,
_xlpm.Water, AA13,
_xlpm.Electric + _xlpm.Water)</f>
        <v>29818125</v>
      </c>
      <c r="AB10" s="61" t="n">
        <f aca="false">_xlfn.LET(
_xlpm.Electric, AB11,
_xlpm.Water, AB13,
_xlpm.Electric + _xlpm.Water)</f>
        <v>21687750</v>
      </c>
      <c r="AC10" s="61" t="n">
        <f aca="false">_xlfn.LET(
_xlpm.Electric, AC11,
_xlpm.Water, AC13,
_xlpm.Electric + _xlpm.Water)</f>
        <v>25612200</v>
      </c>
      <c r="AD10" s="61" t="n">
        <f aca="false">_xlfn.LET(
_xlpm.Electric, AD11,
_xlpm.Water, AD13,
_xlpm.Electric + _xlpm.Water)</f>
        <v>25612200</v>
      </c>
      <c r="AE10" s="61" t="n">
        <f aca="false">_xlfn.LET(
_xlpm.Electric, AE11,
_xlpm.Water, AE13,
_xlpm.Electric + _xlpm.Water)</f>
        <v>17671500</v>
      </c>
      <c r="AF10" s="61" t="n">
        <f aca="false">_xlfn.LET(
_xlpm.Electric, AF11,
_xlpm.Water, AF13,
_xlpm.Electric + _xlpm.Water)</f>
        <v>21866625</v>
      </c>
      <c r="AG10" s="61" t="n">
        <f aca="false">_xlfn.LET(
_xlpm.Electric, AG11,
_xlpm.Water, AG13,
_xlpm.Electric + _xlpm.Water)</f>
        <v>25616250</v>
      </c>
      <c r="AH10" s="61" t="n">
        <f aca="false">_xlfn.LET(
_xlpm.Electric, AH11,
_xlpm.Water, AH13,
_xlpm.Electric + _xlpm.Water)</f>
        <v>24168375</v>
      </c>
      <c r="AI10" s="61" t="n">
        <f aca="false">_xlfn.LET(
_xlpm.Electric, AI11,
_xlpm.Water, AI13,
_xlpm.Electric + _xlpm.Water)</f>
        <v>36450000</v>
      </c>
      <c r="AJ10" s="61" t="n">
        <f aca="false">_xlfn.LET(
_xlpm.Electric, AJ11,
_xlpm.Water, AJ13,
_xlpm.Electric + _xlpm.Water)</f>
        <v>36095625</v>
      </c>
      <c r="AK10" s="61" t="n">
        <f aca="false">_xlfn.LET(
_xlpm.Electric, AK11,
_xlpm.Water, AK13,
_xlpm.Electric + _xlpm.Water)</f>
        <v>31387500</v>
      </c>
      <c r="AL10" s="61" t="n">
        <f aca="false">_xlfn.LET(
_xlpm.Electric, AL11,
_xlpm.Water, AL13,
_xlpm.Electric + _xlpm.Water)</f>
        <v>28856250</v>
      </c>
      <c r="AM10" s="61" t="n">
        <f aca="false">_xlfn.LET(
_xlpm.Electric, AM11,
_xlpm.Water, AM13,
_xlpm.Electric + _xlpm.Water)</f>
        <v>29818125</v>
      </c>
      <c r="AN10" s="61" t="n">
        <f aca="false">_xlfn.LET(
_xlpm.Electric, AN11,
_xlpm.Water, AN13,
_xlpm.Electric + _xlpm.Water)</f>
        <v>21687750</v>
      </c>
      <c r="AO10" s="61" t="n">
        <f aca="false">_xlfn.LET(
_xlpm.Electric, AO11,
_xlpm.Water, AO13,
_xlpm.Electric + _xlpm.Water)</f>
        <v>25612200</v>
      </c>
      <c r="AP10" s="61" t="n">
        <f aca="false">_xlfn.LET(
_xlpm.Electric, AP11,
_xlpm.Water, AP13,
_xlpm.Electric + _xlpm.Water)</f>
        <v>25612200</v>
      </c>
      <c r="AQ10" s="61" t="n">
        <f aca="false">_xlfn.LET(
_xlpm.Electric, AQ11,
_xlpm.Water, AQ13,
_xlpm.Electric + _xlpm.Water)</f>
        <v>17671500</v>
      </c>
      <c r="AR10" s="61" t="n">
        <f aca="false">_xlfn.LET(
_xlpm.Electric, AR11,
_xlpm.Water, AR13,
_xlpm.Electric + _xlpm.Water)</f>
        <v>21866625</v>
      </c>
      <c r="AS10" s="61" t="n">
        <f aca="false">_xlfn.LET(
_xlpm.Electric, AS11,
_xlpm.Water, AS13,
_xlpm.Electric + _xlpm.Water)</f>
        <v>25616250</v>
      </c>
      <c r="AT10" s="61" t="n">
        <f aca="false">_xlfn.LET(
_xlpm.Electric, AT11,
_xlpm.Water, AT13,
_xlpm.Electric + _xlpm.Water)</f>
        <v>24168375</v>
      </c>
      <c r="AU10" s="61" t="n">
        <f aca="false">_xlfn.LET(
_xlpm.Electric, AU11,
_xlpm.Water, AU13,
_xlpm.Electric + _xlpm.Water)</f>
        <v>36450000</v>
      </c>
      <c r="AV10" s="61" t="n">
        <f aca="false">_xlfn.LET(
_xlpm.Electric, AV11,
_xlpm.Water, AV13,
_xlpm.Electric + _xlpm.Water)</f>
        <v>36095625</v>
      </c>
      <c r="AW10" s="61" t="n">
        <f aca="false">_xlfn.LET(
_xlpm.Electric, AW11,
_xlpm.Water, AW13,
_xlpm.Electric + _xlpm.Water)</f>
        <v>31387500</v>
      </c>
      <c r="AX10" s="61" t="n">
        <f aca="false">_xlfn.LET(
_xlpm.Electric, AX11,
_xlpm.Water, AX13,
_xlpm.Electric + _xlpm.Water)</f>
        <v>28856250</v>
      </c>
      <c r="AY10" s="61" t="n">
        <f aca="false">_xlfn.LET(
_xlpm.Electric, AY11,
_xlpm.Water, AY13,
_xlpm.Electric + _xlpm.Water)</f>
        <v>29818125</v>
      </c>
      <c r="AZ10" s="61" t="n">
        <f aca="false">_xlfn.LET(
_xlpm.Electric, AZ11,
_xlpm.Water, AZ13,
_xlpm.Electric + _xlpm.Water)</f>
        <v>21687750</v>
      </c>
      <c r="BA10" s="61" t="n">
        <f aca="false">_xlfn.LET(
_xlpm.Electric, BA11,
_xlpm.Water, BA13,
_xlpm.Electric + _xlpm.Water)</f>
        <v>25612200</v>
      </c>
      <c r="BB10" s="61" t="n">
        <f aca="false">_xlfn.LET(
_xlpm.Electric, BB11,
_xlpm.Water, BB13,
_xlpm.Electric + _xlpm.Water)</f>
        <v>23804280</v>
      </c>
      <c r="BC10" s="61" t="n">
        <f aca="false">_xlfn.LET(
_xlpm.Electric, BC11,
_xlpm.Water, BC13,
_xlpm.Electric + _xlpm.Water)</f>
        <v>16971525</v>
      </c>
      <c r="BD10" s="61" t="n">
        <f aca="false">_xlfn.LET(
_xlpm.Electric, BD11,
_xlpm.Water, BD13,
_xlpm.Electric + _xlpm.Water)</f>
        <v>20276325</v>
      </c>
      <c r="BE10" s="61" t="n">
        <f aca="false">_xlfn.LET(
_xlpm.Electric, BE11,
_xlpm.Water, BE13,
_xlpm.Electric + _xlpm.Water)</f>
        <v>23753250</v>
      </c>
      <c r="BF10" s="61" t="n">
        <f aca="false">_xlfn.LET(
_xlpm.Electric, BF11,
_xlpm.Water, BF13,
_xlpm.Electric + _xlpm.Water)</f>
        <v>22410675</v>
      </c>
      <c r="BG10" s="61" t="n">
        <f aca="false">_xlfn.LET(
_xlpm.Electric, BG11,
_xlpm.Water, BG13,
_xlpm.Electric + _xlpm.Water)</f>
        <v>33534000</v>
      </c>
      <c r="BH10" s="61" t="n">
        <f aca="false">_xlfn.LET(
_xlpm.Electric, BH11,
_xlpm.Water, BH13,
_xlpm.Electric + _xlpm.Water)</f>
        <v>33207975</v>
      </c>
      <c r="BI10" s="61" t="n">
        <f aca="false">_xlfn.LET(
_xlpm.Electric, BI11,
_xlpm.Water, BI13,
_xlpm.Electric + _xlpm.Water)</f>
        <v>28876500</v>
      </c>
      <c r="BJ10" s="61" t="n">
        <f aca="false">_xlfn.LET(
_xlpm.Electric, BJ11,
_xlpm.Water, BJ13,
_xlpm.Electric + _xlpm.Water)</f>
        <v>26547750</v>
      </c>
    </row>
    <row r="11" customFormat="false" ht="13.5" hidden="false" customHeight="true" outlineLevel="0" collapsed="false">
      <c r="A11" s="38" t="s">
        <v>262</v>
      </c>
      <c r="B11" s="60" t="n">
        <f aca="false">SUM(C11:AL11)</f>
        <v>631809450</v>
      </c>
      <c r="C11" s="64" t="n">
        <f aca="false">_xlfn.LET(
_xlpm.Electric_percent, _xlfn.IFNA(INDEX('⚙️ Assumptions'!$B$40:$F$40,MATCH(YEAR(C3),'⚙️ Assumptions'!$B$38:$F$38,0)),C12),
_xlpm.Rev, INDEX('💰 Revenue'!$C$14:$BJ14,MATCH(C3,'💰 Revenue'!$C$5:$BJ$5,0)),
_xlpm.Adj_ratio, INDEX('⚙️ Other Assumptions'!$B$15:$M$15,MATCH(MONTH(C3),'⚙️ Other Assumptions'!$B$14:$M$14)),
_xlpm.Electric_percent * _xlpm.Rev * _xlpm.Adj_ratio)</f>
        <v>0</v>
      </c>
      <c r="D11" s="64" t="n">
        <f aca="false">_xlfn.LET(
_xlpm.Electric_percent, _xlfn.IFNA(INDEX('⚙️ Assumptions'!$B$40:$F$40,MATCH(YEAR(D3),'⚙️ Assumptions'!$B$38:$F$38,0)),D12),
_xlpm.Rev, INDEX('💰 Revenue'!$C$14:$BJ14,MATCH(D3,'💰 Revenue'!$C$5:$BJ$5,0)),
_xlpm.Adj_ratio, INDEX('⚙️ Other Assumptions'!$B$15:$M$15,MATCH(MONTH(D3),'⚙️ Other Assumptions'!$B$14:$M$14)),
_xlpm.Electric_percent * _xlpm.Rev * _xlpm.Adj_ratio)</f>
        <v>0</v>
      </c>
      <c r="E11" s="61" t="n">
        <f aca="false">_xlfn.LET(
_xlpm.Electric_percent, _xlfn.IFNA(INDEX('⚙️ Assumptions'!$B$40:$F$40,MATCH(YEAR(E3),'⚙️ Assumptions'!$B$38:$F$38,0)),E12),
_xlpm.Rev, INDEX('💰 Revenue'!$C$14:$BJ14,MATCH(E3,'💰 Revenue'!$C$5:$BJ$5,0)),
_xlpm.Adj_ratio, INDEX('⚙️ Other Assumptions'!$B$15:$M$15,MATCH(MONTH(E3),'⚙️ Other Assumptions'!$B$14:$M$14)),
_xlpm.Electric_percent * _xlpm.Rev * _xlpm.Adj_ratio)</f>
        <v>6779700</v>
      </c>
      <c r="F11" s="61" t="n">
        <f aca="false">_xlfn.LET(
_xlpm.Electric_percent, _xlfn.IFNA(INDEX('⚙️ Assumptions'!$B$40:$F$40,MATCH(YEAR(F3),'⚙️ Assumptions'!$B$38:$F$38,0)),F12),
_xlpm.Rev, INDEX('💰 Revenue'!$C$14:$BJ14,MATCH(F3,'💰 Revenue'!$C$5:$BJ$5,0)),
_xlpm.Adj_ratio, INDEX('⚙️ Other Assumptions'!$B$15:$M$15,MATCH(MONTH(F3),'⚙️ Other Assumptions'!$B$14:$M$14)),
_xlpm.Electric_percent * _xlpm.Rev * _xlpm.Adj_ratio)</f>
        <v>9039600</v>
      </c>
      <c r="G11" s="61" t="n">
        <f aca="false">_xlfn.LET(
_xlpm.Electric_percent, _xlfn.IFNA(INDEX('⚙️ Assumptions'!$B$40:$F$40,MATCH(YEAR(G3),'⚙️ Assumptions'!$B$38:$F$38,0)),G12),
_xlpm.Rev, INDEX('💰 Revenue'!$C$14:$BJ14,MATCH(G3,'💰 Revenue'!$C$5:$BJ$5,0)),
_xlpm.Adj_ratio, INDEX('⚙️ Other Assumptions'!$B$15:$M$15,MATCH(MONTH(G3),'⚙️ Other Assumptions'!$B$14:$M$14)),
_xlpm.Electric_percent * _xlpm.Rev * _xlpm.Adj_ratio)</f>
        <v>7764750</v>
      </c>
      <c r="H11" s="61" t="n">
        <f aca="false">_xlfn.LET(
_xlpm.Electric_percent, _xlfn.IFNA(INDEX('⚙️ Assumptions'!$B$40:$F$40,MATCH(YEAR(H3),'⚙️ Assumptions'!$B$38:$F$38,0)),H12),
_xlpm.Rev, INDEX('💰 Revenue'!$C$14:$BJ14,MATCH(H3,'💰 Revenue'!$C$5:$BJ$5,0)),
_xlpm.Adj_ratio, INDEX('⚙️ Other Assumptions'!$B$15:$M$15,MATCH(MONTH(H3),'⚙️ Other Assumptions'!$B$14:$M$14)),
_xlpm.Electric_percent * _xlpm.Rev * _xlpm.Adj_ratio)</f>
        <v>10602000</v>
      </c>
      <c r="I11" s="61" t="n">
        <f aca="false">_xlfn.LET(
_xlpm.Electric_percent, _xlfn.IFNA(INDEX('⚙️ Assumptions'!$B$40:$F$40,MATCH(YEAR(I3),'⚙️ Assumptions'!$B$38:$F$38,0)),I12),
_xlpm.Rev, INDEX('💰 Revenue'!$C$14:$BJ14,MATCH(I3,'💰 Revenue'!$C$5:$BJ$5,0)),
_xlpm.Adj_ratio, INDEX('⚙️ Other Assumptions'!$B$15:$M$15,MATCH(MONTH(I3),'⚙️ Other Assumptions'!$B$14:$M$14)),
_xlpm.Electric_percent * _xlpm.Rev * _xlpm.Adj_ratio)</f>
        <v>13972500</v>
      </c>
      <c r="J11" s="61" t="n">
        <f aca="false">_xlfn.LET(
_xlpm.Electric_percent, _xlfn.IFNA(INDEX('⚙️ Assumptions'!$B$40:$F$40,MATCH(YEAR(J3),'⚙️ Assumptions'!$B$38:$F$38,0)),J12),
_xlpm.Rev, INDEX('💰 Revenue'!$C$14:$BJ14,MATCH(J3,'💰 Revenue'!$C$5:$BJ$5,0)),
_xlpm.Adj_ratio, INDEX('⚙️ Other Assumptions'!$B$15:$M$15,MATCH(MONTH(J3),'⚙️ Other Assumptions'!$B$14:$M$14)),
_xlpm.Electric_percent * _xlpm.Rev * _xlpm.Adj_ratio)</f>
        <v>14647500</v>
      </c>
      <c r="K11" s="61" t="n">
        <f aca="false">_xlfn.LET(
_xlpm.Electric_percent, _xlfn.IFNA(INDEX('⚙️ Assumptions'!$B$40:$F$40,MATCH(YEAR(K3),'⚙️ Assumptions'!$B$38:$F$38,0)),K12),
_xlpm.Rev, INDEX('💰 Revenue'!$C$14:$BJ14,MATCH(K3,'💰 Revenue'!$C$5:$BJ$5,0)),
_xlpm.Adj_ratio, INDEX('⚙️ Other Assumptions'!$B$15:$M$15,MATCH(MONTH(K3),'⚙️ Other Assumptions'!$B$14:$M$14)),
_xlpm.Electric_percent * _xlpm.Rev * _xlpm.Adj_ratio)</f>
        <v>24300000</v>
      </c>
      <c r="L11" s="61" t="n">
        <f aca="false">_xlfn.LET(
_xlpm.Electric_percent, _xlfn.IFNA(INDEX('⚙️ Assumptions'!$B$40:$F$40,MATCH(YEAR(L3),'⚙️ Assumptions'!$B$38:$F$38,0)),L12),
_xlpm.Rev, INDEX('💰 Revenue'!$C$14:$BJ14,MATCH(L3,'💰 Revenue'!$C$5:$BJ$5,0)),
_xlpm.Adj_ratio, INDEX('⚙️ Other Assumptions'!$B$15:$M$15,MATCH(MONTH(L3),'⚙️ Other Assumptions'!$B$14:$M$14)),
_xlpm.Electric_percent * _xlpm.Rev * _xlpm.Adj_ratio)</f>
        <v>24063750</v>
      </c>
      <c r="M11" s="61" t="n">
        <f aca="false">_xlfn.LET(
_xlpm.Electric_percent, _xlfn.IFNA(INDEX('⚙️ Assumptions'!$B$40:$F$40,MATCH(YEAR(M3),'⚙️ Assumptions'!$B$38:$F$38,0)),M12),
_xlpm.Rev, INDEX('💰 Revenue'!$C$14:$BJ14,MATCH(M3,'💰 Revenue'!$C$5:$BJ$5,0)),
_xlpm.Adj_ratio, INDEX('⚙️ Other Assumptions'!$B$15:$M$15,MATCH(MONTH(M3),'⚙️ Other Assumptions'!$B$14:$M$14)),
_xlpm.Electric_percent * _xlpm.Rev * _xlpm.Adj_ratio)</f>
        <v>20925000</v>
      </c>
      <c r="N11" s="61" t="n">
        <f aca="false">_xlfn.LET(
_xlpm.Electric_percent, _xlfn.IFNA(INDEX('⚙️ Assumptions'!$B$40:$F$40,MATCH(YEAR(N3),'⚙️ Assumptions'!$B$38:$F$38,0)),N12),
_xlpm.Rev, INDEX('💰 Revenue'!$C$14:$BJ14,MATCH(N3,'💰 Revenue'!$C$5:$BJ$5,0)),
_xlpm.Adj_ratio, INDEX('⚙️ Other Assumptions'!$B$15:$M$15,MATCH(MONTH(N3),'⚙️ Other Assumptions'!$B$14:$M$14)),
_xlpm.Electric_percent * _xlpm.Rev * _xlpm.Adj_ratio)</f>
        <v>19237500</v>
      </c>
      <c r="O11" s="61" t="n">
        <f aca="false">_xlfn.LET(
_xlpm.Electric_percent, _xlfn.IFNA(INDEX('⚙️ Assumptions'!$B$40:$F$40,MATCH(YEAR(O3),'⚙️ Assumptions'!$B$38:$F$38,0)),O12),
_xlpm.Rev, INDEX('💰 Revenue'!$C$14:$BJ14,MATCH(O3,'💰 Revenue'!$C$5:$BJ$5,0)),
_xlpm.Adj_ratio, INDEX('⚙️ Other Assumptions'!$B$15:$M$15,MATCH(MONTH(O3),'⚙️ Other Assumptions'!$B$14:$M$14)),
_xlpm.Electric_percent * _xlpm.Rev * _xlpm.Adj_ratio)</f>
        <v>19878750</v>
      </c>
      <c r="P11" s="61" t="n">
        <f aca="false">_xlfn.LET(
_xlpm.Electric_percent, _xlfn.IFNA(INDEX('⚙️ Assumptions'!$B$40:$F$40,MATCH(YEAR(P3),'⚙️ Assumptions'!$B$38:$F$38,0)),P12),
_xlpm.Rev, INDEX('💰 Revenue'!$C$14:$BJ14,MATCH(P3,'💰 Revenue'!$C$5:$BJ$5,0)),
_xlpm.Adj_ratio, INDEX('⚙️ Other Assumptions'!$B$15:$M$15,MATCH(MONTH(P3),'⚙️ Other Assumptions'!$B$14:$M$14)),
_xlpm.Electric_percent * _xlpm.Rev * _xlpm.Adj_ratio)</f>
        <v>12757500</v>
      </c>
      <c r="Q11" s="61" t="n">
        <f aca="false">_xlfn.LET(
_xlpm.Electric_percent, _xlfn.IFNA(INDEX('⚙️ Assumptions'!$B$40:$F$40,MATCH(YEAR(Q3),'⚙️ Assumptions'!$B$38:$F$38,0)),Q12),
_xlpm.Rev, INDEX('💰 Revenue'!$C$14:$BJ14,MATCH(Q3,'💰 Revenue'!$C$5:$BJ$5,0)),
_xlpm.Adj_ratio, INDEX('⚙️ Other Assumptions'!$B$15:$M$15,MATCH(MONTH(Q3),'⚙️ Other Assumptions'!$B$14:$M$14)),
_xlpm.Electric_percent * _xlpm.Rev * _xlpm.Adj_ratio)</f>
        <v>15066000</v>
      </c>
      <c r="R11" s="61" t="n">
        <f aca="false">_xlfn.LET(
_xlpm.Electric_percent, _xlfn.IFNA(INDEX('⚙️ Assumptions'!$B$40:$F$40,MATCH(YEAR(R3),'⚙️ Assumptions'!$B$38:$F$38,0)),R12),
_xlpm.Rev, INDEX('💰 Revenue'!$C$14:$BJ14,MATCH(R3,'💰 Revenue'!$C$5:$BJ$5,0)),
_xlpm.Adj_ratio, INDEX('⚙️ Other Assumptions'!$B$15:$M$15,MATCH(MONTH(R3),'⚙️ Other Assumptions'!$B$14:$M$14)),
_xlpm.Electric_percent * _xlpm.Rev * _xlpm.Adj_ratio)</f>
        <v>15066000</v>
      </c>
      <c r="S11" s="61" t="n">
        <f aca="false">_xlfn.LET(
_xlpm.Electric_percent, _xlfn.IFNA(INDEX('⚙️ Assumptions'!$B$40:$F$40,MATCH(YEAR(S3),'⚙️ Assumptions'!$B$38:$F$38,0)),S12),
_xlpm.Rev, INDEX('💰 Revenue'!$C$14:$BJ14,MATCH(S3,'💰 Revenue'!$C$5:$BJ$5,0)),
_xlpm.Adj_ratio, INDEX('⚙️ Other Assumptions'!$B$15:$M$15,MATCH(MONTH(S3),'⚙️ Other Assumptions'!$B$14:$M$14)),
_xlpm.Electric_percent * _xlpm.Rev * _xlpm.Adj_ratio)</f>
        <v>12852000</v>
      </c>
      <c r="T11" s="61" t="n">
        <f aca="false">_xlfn.LET(
_xlpm.Electric_percent, _xlfn.IFNA(INDEX('⚙️ Assumptions'!$B$40:$F$40,MATCH(YEAR(T3),'⚙️ Assumptions'!$B$38:$F$38,0)),T12),
_xlpm.Rev, INDEX('💰 Revenue'!$C$14:$BJ14,MATCH(T3,'💰 Revenue'!$C$5:$BJ$5,0)),
_xlpm.Adj_ratio, INDEX('⚙️ Other Assumptions'!$B$15:$M$15,MATCH(MONTH(T3),'⚙️ Other Assumptions'!$B$14:$M$14)),
_xlpm.Electric_percent * _xlpm.Rev * _xlpm.Adj_ratio)</f>
        <v>15903000</v>
      </c>
      <c r="U11" s="61" t="n">
        <f aca="false">_xlfn.LET(
_xlpm.Electric_percent, _xlfn.IFNA(INDEX('⚙️ Assumptions'!$B$40:$F$40,MATCH(YEAR(U3),'⚙️ Assumptions'!$B$38:$F$38,0)),U12),
_xlpm.Rev, INDEX('💰 Revenue'!$C$14:$BJ14,MATCH(U3,'💰 Revenue'!$C$5:$BJ$5,0)),
_xlpm.Adj_ratio, INDEX('⚙️ Other Assumptions'!$B$15:$M$15,MATCH(MONTH(U3),'⚙️ Other Assumptions'!$B$14:$M$14)),
_xlpm.Electric_percent * _xlpm.Rev * _xlpm.Adj_ratio)</f>
        <v>18630000</v>
      </c>
      <c r="V11" s="61" t="n">
        <f aca="false">_xlfn.LET(
_xlpm.Electric_percent, _xlfn.IFNA(INDEX('⚙️ Assumptions'!$B$40:$F$40,MATCH(YEAR(V3),'⚙️ Assumptions'!$B$38:$F$38,0)),V12),
_xlpm.Rev, INDEX('💰 Revenue'!$C$14:$BJ14,MATCH(V3,'💰 Revenue'!$C$5:$BJ$5,0)),
_xlpm.Adj_ratio, INDEX('⚙️ Other Assumptions'!$B$15:$M$15,MATCH(MONTH(V3),'⚙️ Other Assumptions'!$B$14:$M$14)),
_xlpm.Electric_percent * _xlpm.Rev * _xlpm.Adj_ratio)</f>
        <v>17577000</v>
      </c>
      <c r="W11" s="61" t="n">
        <f aca="false">_xlfn.LET(
_xlpm.Electric_percent, _xlfn.IFNA(INDEX('⚙️ Assumptions'!$B$40:$F$40,MATCH(YEAR(W3),'⚙️ Assumptions'!$B$38:$F$38,0)),W12),
_xlpm.Rev, INDEX('💰 Revenue'!$C$14:$BJ14,MATCH(W3,'💰 Revenue'!$C$5:$BJ$5,0)),
_xlpm.Adj_ratio, INDEX('⚙️ Other Assumptions'!$B$15:$M$15,MATCH(MONTH(W3),'⚙️ Other Assumptions'!$B$14:$M$14)),
_xlpm.Electric_percent * _xlpm.Rev * _xlpm.Adj_ratio)</f>
        <v>29160000</v>
      </c>
      <c r="X11" s="61" t="n">
        <f aca="false">_xlfn.LET(
_xlpm.Electric_percent, _xlfn.IFNA(INDEX('⚙️ Assumptions'!$B$40:$F$40,MATCH(YEAR(X3),'⚙️ Assumptions'!$B$38:$F$38,0)),X12),
_xlpm.Rev, INDEX('💰 Revenue'!$C$14:$BJ14,MATCH(X3,'💰 Revenue'!$C$5:$BJ$5,0)),
_xlpm.Adj_ratio, INDEX('⚙️ Other Assumptions'!$B$15:$M$15,MATCH(MONTH(X3),'⚙️ Other Assumptions'!$B$14:$M$14)),
_xlpm.Electric_percent * _xlpm.Rev * _xlpm.Adj_ratio)</f>
        <v>28876500</v>
      </c>
      <c r="Y11" s="61" t="n">
        <f aca="false">_xlfn.LET(
_xlpm.Electric_percent, _xlfn.IFNA(INDEX('⚙️ Assumptions'!$B$40:$F$40,MATCH(YEAR(Y3),'⚙️ Assumptions'!$B$38:$F$38,0)),Y12),
_xlpm.Rev, INDEX('💰 Revenue'!$C$14:$BJ14,MATCH(Y3,'💰 Revenue'!$C$5:$BJ$5,0)),
_xlpm.Adj_ratio, INDEX('⚙️ Other Assumptions'!$B$15:$M$15,MATCH(MONTH(Y3),'⚙️ Other Assumptions'!$B$14:$M$14)),
_xlpm.Electric_percent * _xlpm.Rev * _xlpm.Adj_ratio)</f>
        <v>25110000</v>
      </c>
      <c r="Z11" s="61" t="n">
        <f aca="false">_xlfn.LET(
_xlpm.Electric_percent, _xlfn.IFNA(INDEX('⚙️ Assumptions'!$B$40:$F$40,MATCH(YEAR(Z3),'⚙️ Assumptions'!$B$38:$F$38,0)),Z12),
_xlpm.Rev, INDEX('💰 Revenue'!$C$14:$BJ14,MATCH(Z3,'💰 Revenue'!$C$5:$BJ$5,0)),
_xlpm.Adj_ratio, INDEX('⚙️ Other Assumptions'!$B$15:$M$15,MATCH(MONTH(Z3),'⚙️ Other Assumptions'!$B$14:$M$14)),
_xlpm.Electric_percent * _xlpm.Rev * _xlpm.Adj_ratio)</f>
        <v>23085000</v>
      </c>
      <c r="AA11" s="61" t="n">
        <f aca="false">_xlfn.LET(
_xlpm.Electric_percent, _xlfn.IFNA(INDEX('⚙️ Assumptions'!$B$40:$F$40,MATCH(YEAR(AA3),'⚙️ Assumptions'!$B$38:$F$38,0)),AA12),
_xlpm.Rev, INDEX('💰 Revenue'!$C$14:$BJ14,MATCH(AA3,'💰 Revenue'!$C$5:$BJ$5,0)),
_xlpm.Adj_ratio, INDEX('⚙️ Other Assumptions'!$B$15:$M$15,MATCH(MONTH(AA3),'⚙️ Other Assumptions'!$B$14:$M$14)),
_xlpm.Electric_percent * _xlpm.Rev * _xlpm.Adj_ratio)</f>
        <v>23854500</v>
      </c>
      <c r="AB11" s="61" t="n">
        <f aca="false">_xlfn.LET(
_xlpm.Electric_percent, _xlfn.IFNA(INDEX('⚙️ Assumptions'!$B$40:$F$40,MATCH(YEAR(AB3),'⚙️ Assumptions'!$B$38:$F$38,0)),AB12),
_xlpm.Rev, INDEX('💰 Revenue'!$C$14:$BJ14,MATCH(AB3,'💰 Revenue'!$C$5:$BJ$5,0)),
_xlpm.Adj_ratio, INDEX('⚙️ Other Assumptions'!$B$15:$M$15,MATCH(MONTH(AB3),'⚙️ Other Assumptions'!$B$14:$M$14)),
_xlpm.Electric_percent * _xlpm.Rev * _xlpm.Adj_ratio)</f>
        <v>15309000</v>
      </c>
      <c r="AC11" s="61" t="n">
        <f aca="false">_xlfn.LET(
_xlpm.Electric_percent, _xlfn.IFNA(INDEX('⚙️ Assumptions'!$B$40:$F$40,MATCH(YEAR(AC3),'⚙️ Assumptions'!$B$38:$F$38,0)),AC12),
_xlpm.Rev, INDEX('💰 Revenue'!$C$14:$BJ14,MATCH(AC3,'💰 Revenue'!$C$5:$BJ$5,0)),
_xlpm.Adj_ratio, INDEX('⚙️ Other Assumptions'!$B$15:$M$15,MATCH(MONTH(AC3),'⚙️ Other Assumptions'!$B$14:$M$14)),
_xlpm.Electric_percent * _xlpm.Rev * _xlpm.Adj_ratio)</f>
        <v>18079200</v>
      </c>
      <c r="AD11" s="61" t="n">
        <f aca="false">_xlfn.LET(
_xlpm.Electric_percent, _xlfn.IFNA(INDEX('⚙️ Assumptions'!$B$40:$F$40,MATCH(YEAR(AD3),'⚙️ Assumptions'!$B$38:$F$38,0)),AD12),
_xlpm.Rev, INDEX('💰 Revenue'!$C$14:$BJ14,MATCH(AD3,'💰 Revenue'!$C$5:$BJ$5,0)),
_xlpm.Adj_ratio, INDEX('⚙️ Other Assumptions'!$B$15:$M$15,MATCH(MONTH(AD3),'⚙️ Other Assumptions'!$B$14:$M$14)),
_xlpm.Electric_percent * _xlpm.Rev * _xlpm.Adj_ratio)</f>
        <v>18079200</v>
      </c>
      <c r="AE11" s="61" t="n">
        <f aca="false">_xlfn.LET(
_xlpm.Electric_percent, _xlfn.IFNA(INDEX('⚙️ Assumptions'!$B$40:$F$40,MATCH(YEAR(AE3),'⚙️ Assumptions'!$B$38:$F$38,0)),AE12),
_xlpm.Rev, INDEX('💰 Revenue'!$C$14:$BJ14,MATCH(AE3,'💰 Revenue'!$C$5:$BJ$5,0)),
_xlpm.Adj_ratio, INDEX('⚙️ Other Assumptions'!$B$15:$M$15,MATCH(MONTH(AE3),'⚙️ Other Assumptions'!$B$14:$M$14)),
_xlpm.Electric_percent * _xlpm.Rev * _xlpm.Adj_ratio)</f>
        <v>12852000</v>
      </c>
      <c r="AF11" s="61" t="n">
        <f aca="false">_xlfn.LET(
_xlpm.Electric_percent, _xlfn.IFNA(INDEX('⚙️ Assumptions'!$B$40:$F$40,MATCH(YEAR(AF3),'⚙️ Assumptions'!$B$38:$F$38,0)),AF12),
_xlpm.Rev, INDEX('💰 Revenue'!$C$14:$BJ14,MATCH(AF3,'💰 Revenue'!$C$5:$BJ$5,0)),
_xlpm.Adj_ratio, INDEX('⚙️ Other Assumptions'!$B$15:$M$15,MATCH(MONTH(AF3),'⚙️ Other Assumptions'!$B$14:$M$14)),
_xlpm.Electric_percent * _xlpm.Rev * _xlpm.Adj_ratio)</f>
        <v>15903000</v>
      </c>
      <c r="AG11" s="61" t="n">
        <f aca="false">_xlfn.LET(
_xlpm.Electric_percent, _xlfn.IFNA(INDEX('⚙️ Assumptions'!$B$40:$F$40,MATCH(YEAR(AG3),'⚙️ Assumptions'!$B$38:$F$38,0)),AG12),
_xlpm.Rev, INDEX('💰 Revenue'!$C$14:$BJ14,MATCH(AG3,'💰 Revenue'!$C$5:$BJ$5,0)),
_xlpm.Adj_ratio, INDEX('⚙️ Other Assumptions'!$B$15:$M$15,MATCH(MONTH(AG3),'⚙️ Other Assumptions'!$B$14:$M$14)),
_xlpm.Electric_percent * _xlpm.Rev * _xlpm.Adj_ratio)</f>
        <v>18630000</v>
      </c>
      <c r="AH11" s="61" t="n">
        <f aca="false">_xlfn.LET(
_xlpm.Electric_percent, _xlfn.IFNA(INDEX('⚙️ Assumptions'!$B$40:$F$40,MATCH(YEAR(AH3),'⚙️ Assumptions'!$B$38:$F$38,0)),AH12),
_xlpm.Rev, INDEX('💰 Revenue'!$C$14:$BJ14,MATCH(AH3,'💰 Revenue'!$C$5:$BJ$5,0)),
_xlpm.Adj_ratio, INDEX('⚙️ Other Assumptions'!$B$15:$M$15,MATCH(MONTH(AH3),'⚙️ Other Assumptions'!$B$14:$M$14)),
_xlpm.Electric_percent * _xlpm.Rev * _xlpm.Adj_ratio)</f>
        <v>17577000</v>
      </c>
      <c r="AI11" s="61" t="n">
        <f aca="false">_xlfn.LET(
_xlpm.Electric_percent, _xlfn.IFNA(INDEX('⚙️ Assumptions'!$B$40:$F$40,MATCH(YEAR(AI3),'⚙️ Assumptions'!$B$38:$F$38,0)),AI12),
_xlpm.Rev, INDEX('💰 Revenue'!$C$14:$BJ14,MATCH(AI3,'💰 Revenue'!$C$5:$BJ$5,0)),
_xlpm.Adj_ratio, INDEX('⚙️ Other Assumptions'!$B$15:$M$15,MATCH(MONTH(AI3),'⚙️ Other Assumptions'!$B$14:$M$14)),
_xlpm.Electric_percent * _xlpm.Rev * _xlpm.Adj_ratio)</f>
        <v>29160000</v>
      </c>
      <c r="AJ11" s="61" t="n">
        <f aca="false">_xlfn.LET(
_xlpm.Electric_percent, _xlfn.IFNA(INDEX('⚙️ Assumptions'!$B$40:$F$40,MATCH(YEAR(AJ3),'⚙️ Assumptions'!$B$38:$F$38,0)),AJ12),
_xlpm.Rev, INDEX('💰 Revenue'!$C$14:$BJ14,MATCH(AJ3,'💰 Revenue'!$C$5:$BJ$5,0)),
_xlpm.Adj_ratio, INDEX('⚙️ Other Assumptions'!$B$15:$M$15,MATCH(MONTH(AJ3),'⚙️ Other Assumptions'!$B$14:$M$14)),
_xlpm.Electric_percent * _xlpm.Rev * _xlpm.Adj_ratio)</f>
        <v>28876500</v>
      </c>
      <c r="AK11" s="61" t="n">
        <f aca="false">_xlfn.LET(
_xlpm.Electric_percent, _xlfn.IFNA(INDEX('⚙️ Assumptions'!$B$40:$F$40,MATCH(YEAR(AK3),'⚙️ Assumptions'!$B$38:$F$38,0)),AK12),
_xlpm.Rev, INDEX('💰 Revenue'!$C$14:$BJ14,MATCH(AK3,'💰 Revenue'!$C$5:$BJ$5,0)),
_xlpm.Adj_ratio, INDEX('⚙️ Other Assumptions'!$B$15:$M$15,MATCH(MONTH(AK3),'⚙️ Other Assumptions'!$B$14:$M$14)),
_xlpm.Electric_percent * _xlpm.Rev * _xlpm.Adj_ratio)</f>
        <v>25110000</v>
      </c>
      <c r="AL11" s="61" t="n">
        <f aca="false">_xlfn.LET(
_xlpm.Electric_percent, _xlfn.IFNA(INDEX('⚙️ Assumptions'!$B$40:$F$40,MATCH(YEAR(AL3),'⚙️ Assumptions'!$B$38:$F$38,0)),AL12),
_xlpm.Rev, INDEX('💰 Revenue'!$C$14:$BJ14,MATCH(AL3,'💰 Revenue'!$C$5:$BJ$5,0)),
_xlpm.Adj_ratio, INDEX('⚙️ Other Assumptions'!$B$15:$M$15,MATCH(MONTH(AL3),'⚙️ Other Assumptions'!$B$14:$M$14)),
_xlpm.Electric_percent * _xlpm.Rev * _xlpm.Adj_ratio)</f>
        <v>23085000</v>
      </c>
      <c r="AM11" s="61" t="n">
        <f aca="false">_xlfn.LET(
_xlpm.Electric_percent, _xlfn.IFNA(INDEX('⚙️ Assumptions'!$B$40:$F$40,MATCH(YEAR(AM3),'⚙️ Assumptions'!$B$38:$F$38,0)),AM12),
_xlpm.Rev, INDEX('💰 Revenue'!$C$14:$BJ14,MATCH(AM3,'💰 Revenue'!$C$5:$BJ$5,0)),
_xlpm.Adj_ratio, INDEX('⚙️ Other Assumptions'!$B$15:$M$15,MATCH(MONTH(AM3),'⚙️ Other Assumptions'!$B$14:$M$14)),
_xlpm.Electric_percent * _xlpm.Rev * _xlpm.Adj_ratio)</f>
        <v>23854500</v>
      </c>
      <c r="AN11" s="61" t="n">
        <f aca="false">_xlfn.LET(
_xlpm.Electric_percent, _xlfn.IFNA(INDEX('⚙️ Assumptions'!$B$40:$F$40,MATCH(YEAR(AN3),'⚙️ Assumptions'!$B$38:$F$38,0)),AN12),
_xlpm.Rev, INDEX('💰 Revenue'!$C$14:$BJ14,MATCH(AN3,'💰 Revenue'!$C$5:$BJ$5,0)),
_xlpm.Adj_ratio, INDEX('⚙️ Other Assumptions'!$B$15:$M$15,MATCH(MONTH(AN3),'⚙️ Other Assumptions'!$B$14:$M$14)),
_xlpm.Electric_percent * _xlpm.Rev * _xlpm.Adj_ratio)</f>
        <v>15309000</v>
      </c>
      <c r="AO11" s="61" t="n">
        <f aca="false">_xlfn.LET(
_xlpm.Electric_percent, _xlfn.IFNA(INDEX('⚙️ Assumptions'!$B$40:$F$40,MATCH(YEAR(AO3),'⚙️ Assumptions'!$B$38:$F$38,0)),AO12),
_xlpm.Rev, INDEX('💰 Revenue'!$C$14:$BJ14,MATCH(AO3,'💰 Revenue'!$C$5:$BJ$5,0)),
_xlpm.Adj_ratio, INDEX('⚙️ Other Assumptions'!$B$15:$M$15,MATCH(MONTH(AO3),'⚙️ Other Assumptions'!$B$14:$M$14)),
_xlpm.Electric_percent * _xlpm.Rev * _xlpm.Adj_ratio)</f>
        <v>18079200</v>
      </c>
      <c r="AP11" s="61" t="n">
        <f aca="false">_xlfn.LET(
_xlpm.Electric_percent, _xlfn.IFNA(INDEX('⚙️ Assumptions'!$B$40:$F$40,MATCH(YEAR(AP3),'⚙️ Assumptions'!$B$38:$F$38,0)),AP12),
_xlpm.Rev, INDEX('💰 Revenue'!$C$14:$BJ14,MATCH(AP3,'💰 Revenue'!$C$5:$BJ$5,0)),
_xlpm.Adj_ratio, INDEX('⚙️ Other Assumptions'!$B$15:$M$15,MATCH(MONTH(AP3),'⚙️ Other Assumptions'!$B$14:$M$14)),
_xlpm.Electric_percent * _xlpm.Rev * _xlpm.Adj_ratio)</f>
        <v>18079200</v>
      </c>
      <c r="AQ11" s="61" t="n">
        <f aca="false">_xlfn.LET(
_xlpm.Electric_percent, _xlfn.IFNA(INDEX('⚙️ Assumptions'!$B$40:$F$40,MATCH(YEAR(AQ3),'⚙️ Assumptions'!$B$38:$F$38,0)),AQ12),
_xlpm.Rev, INDEX('💰 Revenue'!$C$14:$BJ14,MATCH(AQ3,'💰 Revenue'!$C$5:$BJ$5,0)),
_xlpm.Adj_ratio, INDEX('⚙️ Other Assumptions'!$B$15:$M$15,MATCH(MONTH(AQ3),'⚙️ Other Assumptions'!$B$14:$M$14)),
_xlpm.Electric_percent * _xlpm.Rev * _xlpm.Adj_ratio)</f>
        <v>12852000</v>
      </c>
      <c r="AR11" s="61" t="n">
        <f aca="false">_xlfn.LET(
_xlpm.Electric_percent, _xlfn.IFNA(INDEX('⚙️ Assumptions'!$B$40:$F$40,MATCH(YEAR(AR3),'⚙️ Assumptions'!$B$38:$F$38,0)),AR12),
_xlpm.Rev, INDEX('💰 Revenue'!$C$14:$BJ14,MATCH(AR3,'💰 Revenue'!$C$5:$BJ$5,0)),
_xlpm.Adj_ratio, INDEX('⚙️ Other Assumptions'!$B$15:$M$15,MATCH(MONTH(AR3),'⚙️ Other Assumptions'!$B$14:$M$14)),
_xlpm.Electric_percent * _xlpm.Rev * _xlpm.Adj_ratio)</f>
        <v>15903000</v>
      </c>
      <c r="AS11" s="61" t="n">
        <f aca="false">_xlfn.LET(
_xlpm.Electric_percent, _xlfn.IFNA(INDEX('⚙️ Assumptions'!$B$40:$F$40,MATCH(YEAR(AS3),'⚙️ Assumptions'!$B$38:$F$38,0)),AS12),
_xlpm.Rev, INDEX('💰 Revenue'!$C$14:$BJ14,MATCH(AS3,'💰 Revenue'!$C$5:$BJ$5,0)),
_xlpm.Adj_ratio, INDEX('⚙️ Other Assumptions'!$B$15:$M$15,MATCH(MONTH(AS3),'⚙️ Other Assumptions'!$B$14:$M$14)),
_xlpm.Electric_percent * _xlpm.Rev * _xlpm.Adj_ratio)</f>
        <v>18630000</v>
      </c>
      <c r="AT11" s="61" t="n">
        <f aca="false">_xlfn.LET(
_xlpm.Electric_percent, _xlfn.IFNA(INDEX('⚙️ Assumptions'!$B$40:$F$40,MATCH(YEAR(AT3),'⚙️ Assumptions'!$B$38:$F$38,0)),AT12),
_xlpm.Rev, INDEX('💰 Revenue'!$C$14:$BJ14,MATCH(AT3,'💰 Revenue'!$C$5:$BJ$5,0)),
_xlpm.Adj_ratio, INDEX('⚙️ Other Assumptions'!$B$15:$M$15,MATCH(MONTH(AT3),'⚙️ Other Assumptions'!$B$14:$M$14)),
_xlpm.Electric_percent * _xlpm.Rev * _xlpm.Adj_ratio)</f>
        <v>17577000</v>
      </c>
      <c r="AU11" s="61" t="n">
        <f aca="false">_xlfn.LET(
_xlpm.Electric_percent, _xlfn.IFNA(INDEX('⚙️ Assumptions'!$B$40:$F$40,MATCH(YEAR(AU3),'⚙️ Assumptions'!$B$38:$F$38,0)),AU12),
_xlpm.Rev, INDEX('💰 Revenue'!$C$14:$BJ14,MATCH(AU3,'💰 Revenue'!$C$5:$BJ$5,0)),
_xlpm.Adj_ratio, INDEX('⚙️ Other Assumptions'!$B$15:$M$15,MATCH(MONTH(AU3),'⚙️ Other Assumptions'!$B$14:$M$14)),
_xlpm.Electric_percent * _xlpm.Rev * _xlpm.Adj_ratio)</f>
        <v>29160000</v>
      </c>
      <c r="AV11" s="61" t="n">
        <f aca="false">_xlfn.LET(
_xlpm.Electric_percent, _xlfn.IFNA(INDEX('⚙️ Assumptions'!$B$40:$F$40,MATCH(YEAR(AV3),'⚙️ Assumptions'!$B$38:$F$38,0)),AV12),
_xlpm.Rev, INDEX('💰 Revenue'!$C$14:$BJ14,MATCH(AV3,'💰 Revenue'!$C$5:$BJ$5,0)),
_xlpm.Adj_ratio, INDEX('⚙️ Other Assumptions'!$B$15:$M$15,MATCH(MONTH(AV3),'⚙️ Other Assumptions'!$B$14:$M$14)),
_xlpm.Electric_percent * _xlpm.Rev * _xlpm.Adj_ratio)</f>
        <v>28876500</v>
      </c>
      <c r="AW11" s="61" t="n">
        <f aca="false">_xlfn.LET(
_xlpm.Electric_percent, _xlfn.IFNA(INDEX('⚙️ Assumptions'!$B$40:$F$40,MATCH(YEAR(AW3),'⚙️ Assumptions'!$B$38:$F$38,0)),AW12),
_xlpm.Rev, INDEX('💰 Revenue'!$C$14:$BJ14,MATCH(AW3,'💰 Revenue'!$C$5:$BJ$5,0)),
_xlpm.Adj_ratio, INDEX('⚙️ Other Assumptions'!$B$15:$M$15,MATCH(MONTH(AW3),'⚙️ Other Assumptions'!$B$14:$M$14)),
_xlpm.Electric_percent * _xlpm.Rev * _xlpm.Adj_ratio)</f>
        <v>25110000</v>
      </c>
      <c r="AX11" s="61" t="n">
        <f aca="false">_xlfn.LET(
_xlpm.Electric_percent, _xlfn.IFNA(INDEX('⚙️ Assumptions'!$B$40:$F$40,MATCH(YEAR(AX3),'⚙️ Assumptions'!$B$38:$F$38,0)),AX12),
_xlpm.Rev, INDEX('💰 Revenue'!$C$14:$BJ14,MATCH(AX3,'💰 Revenue'!$C$5:$BJ$5,0)),
_xlpm.Adj_ratio, INDEX('⚙️ Other Assumptions'!$B$15:$M$15,MATCH(MONTH(AX3),'⚙️ Other Assumptions'!$B$14:$M$14)),
_xlpm.Electric_percent * _xlpm.Rev * _xlpm.Adj_ratio)</f>
        <v>23085000</v>
      </c>
      <c r="AY11" s="61" t="n">
        <f aca="false">_xlfn.LET(
_xlpm.Electric_percent, _xlfn.IFNA(INDEX('⚙️ Assumptions'!$B$40:$F$40,MATCH(YEAR(AY3),'⚙️ Assumptions'!$B$38:$F$38,0)),AY12),
_xlpm.Rev, INDEX('💰 Revenue'!$C$14:$BJ14,MATCH(AY3,'💰 Revenue'!$C$5:$BJ$5,0)),
_xlpm.Adj_ratio, INDEX('⚙️ Other Assumptions'!$B$15:$M$15,MATCH(MONTH(AY3),'⚙️ Other Assumptions'!$B$14:$M$14)),
_xlpm.Electric_percent * _xlpm.Rev * _xlpm.Adj_ratio)</f>
        <v>23854500</v>
      </c>
      <c r="AZ11" s="61" t="n">
        <f aca="false">_xlfn.LET(
_xlpm.Electric_percent, _xlfn.IFNA(INDEX('⚙️ Assumptions'!$B$40:$F$40,MATCH(YEAR(AZ3),'⚙️ Assumptions'!$B$38:$F$38,0)),AZ12),
_xlpm.Rev, INDEX('💰 Revenue'!$C$14:$BJ14,MATCH(AZ3,'💰 Revenue'!$C$5:$BJ$5,0)),
_xlpm.Adj_ratio, INDEX('⚙️ Other Assumptions'!$B$15:$M$15,MATCH(MONTH(AZ3),'⚙️ Other Assumptions'!$B$14:$M$14)),
_xlpm.Electric_percent * _xlpm.Rev * _xlpm.Adj_ratio)</f>
        <v>15309000</v>
      </c>
      <c r="BA11" s="61" t="n">
        <f aca="false">_xlfn.LET(
_xlpm.Electric_percent, _xlfn.IFNA(INDEX('⚙️ Assumptions'!$B$40:$F$40,MATCH(YEAR(BA3),'⚙️ Assumptions'!$B$38:$F$38,0)),BA12),
_xlpm.Rev, INDEX('💰 Revenue'!$C$14:$BJ14,MATCH(BA3,'💰 Revenue'!$C$5:$BJ$5,0)),
_xlpm.Adj_ratio, INDEX('⚙️ Other Assumptions'!$B$15:$M$15,MATCH(MONTH(BA3),'⚙️ Other Assumptions'!$B$14:$M$14)),
_xlpm.Electric_percent * _xlpm.Rev * _xlpm.Adj_ratio)</f>
        <v>18079200</v>
      </c>
      <c r="BB11" s="61" t="n">
        <f aca="false">_xlfn.LET(
_xlpm.Electric_percent, _xlfn.IFNA(INDEX('⚙️ Assumptions'!$B$40:$F$40,MATCH(YEAR(BB3),'⚙️ Assumptions'!$B$38:$F$38,0)),BB12),
_xlpm.Rev, INDEX('💰 Revenue'!$C$14:$BJ14,MATCH(BB3,'💰 Revenue'!$C$5:$BJ$5,0)),
_xlpm.Adj_ratio, INDEX('⚙️ Other Assumptions'!$B$15:$M$15,MATCH(MONTH(BB3),'⚙️ Other Assumptions'!$B$14:$M$14)),
_xlpm.Electric_percent * _xlpm.Rev * _xlpm.Adj_ratio)</f>
        <v>16271280</v>
      </c>
      <c r="BC11" s="61" t="n">
        <f aca="false">_xlfn.LET(
_xlpm.Electric_percent, _xlfn.IFNA(INDEX('⚙️ Assumptions'!$B$40:$F$40,MATCH(YEAR(BC3),'⚙️ Assumptions'!$B$38:$F$38,0)),BC12),
_xlpm.Rev, INDEX('💰 Revenue'!$C$14:$BJ14,MATCH(BC3,'💰 Revenue'!$C$5:$BJ$5,0)),
_xlpm.Adj_ratio, INDEX('⚙️ Other Assumptions'!$B$15:$M$15,MATCH(MONTH(BC3),'⚙️ Other Assumptions'!$B$14:$M$14)),
_xlpm.Electric_percent * _xlpm.Rev * _xlpm.Adj_ratio)</f>
        <v>11979900</v>
      </c>
      <c r="BD11" s="61" t="n">
        <f aca="false">_xlfn.LET(
_xlpm.Electric_percent, _xlfn.IFNA(INDEX('⚙️ Assumptions'!$B$40:$F$40,MATCH(YEAR(BD3),'⚙️ Assumptions'!$B$38:$F$38,0)),BD12),
_xlpm.Rev, INDEX('💰 Revenue'!$C$14:$BJ14,MATCH(BD3,'💰 Revenue'!$C$5:$BJ$5,0)),
_xlpm.Adj_ratio, INDEX('⚙️ Other Assumptions'!$B$15:$M$15,MATCH(MONTH(BD3),'⚙️ Other Assumptions'!$B$14:$M$14)),
_xlpm.Electric_percent * _xlpm.Rev * _xlpm.Adj_ratio)</f>
        <v>14312700</v>
      </c>
      <c r="BE11" s="61" t="n">
        <f aca="false">_xlfn.LET(
_xlpm.Electric_percent, _xlfn.IFNA(INDEX('⚙️ Assumptions'!$B$40:$F$40,MATCH(YEAR(BE3),'⚙️ Assumptions'!$B$38:$F$38,0)),BE12),
_xlpm.Rev, INDEX('💰 Revenue'!$C$14:$BJ14,MATCH(BE3,'💰 Revenue'!$C$5:$BJ$5,0)),
_xlpm.Adj_ratio, INDEX('⚙️ Other Assumptions'!$B$15:$M$15,MATCH(MONTH(BE3),'⚙️ Other Assumptions'!$B$14:$M$14)),
_xlpm.Electric_percent * _xlpm.Rev * _xlpm.Adj_ratio)</f>
        <v>16767000</v>
      </c>
      <c r="BF11" s="61" t="n">
        <f aca="false">_xlfn.LET(
_xlpm.Electric_percent, _xlfn.IFNA(INDEX('⚙️ Assumptions'!$B$40:$F$40,MATCH(YEAR(BF3),'⚙️ Assumptions'!$B$38:$F$38,0)),BF12),
_xlpm.Rev, INDEX('💰 Revenue'!$C$14:$BJ14,MATCH(BF3,'💰 Revenue'!$C$5:$BJ$5,0)),
_xlpm.Adj_ratio, INDEX('⚙️ Other Assumptions'!$B$15:$M$15,MATCH(MONTH(BF3),'⚙️ Other Assumptions'!$B$14:$M$14)),
_xlpm.Electric_percent * _xlpm.Rev * _xlpm.Adj_ratio)</f>
        <v>15819300</v>
      </c>
      <c r="BG11" s="61" t="n">
        <f aca="false">_xlfn.LET(
_xlpm.Electric_percent, _xlfn.IFNA(INDEX('⚙️ Assumptions'!$B$40:$F$40,MATCH(YEAR(BG3),'⚙️ Assumptions'!$B$38:$F$38,0)),BG12),
_xlpm.Rev, INDEX('💰 Revenue'!$C$14:$BJ14,MATCH(BG3,'💰 Revenue'!$C$5:$BJ$5,0)),
_xlpm.Adj_ratio, INDEX('⚙️ Other Assumptions'!$B$15:$M$15,MATCH(MONTH(BG3),'⚙️ Other Assumptions'!$B$14:$M$14)),
_xlpm.Electric_percent * _xlpm.Rev * _xlpm.Adj_ratio)</f>
        <v>26244000</v>
      </c>
      <c r="BH11" s="61" t="n">
        <f aca="false">_xlfn.LET(
_xlpm.Electric_percent, _xlfn.IFNA(INDEX('⚙️ Assumptions'!$B$40:$F$40,MATCH(YEAR(BH3),'⚙️ Assumptions'!$B$38:$F$38,0)),BH12),
_xlpm.Rev, INDEX('💰 Revenue'!$C$14:$BJ14,MATCH(BH3,'💰 Revenue'!$C$5:$BJ$5,0)),
_xlpm.Adj_ratio, INDEX('⚙️ Other Assumptions'!$B$15:$M$15,MATCH(MONTH(BH3),'⚙️ Other Assumptions'!$B$14:$M$14)),
_xlpm.Electric_percent * _xlpm.Rev * _xlpm.Adj_ratio)</f>
        <v>25988850</v>
      </c>
      <c r="BI11" s="61" t="n">
        <f aca="false">_xlfn.LET(
_xlpm.Electric_percent, _xlfn.IFNA(INDEX('⚙️ Assumptions'!$B$40:$F$40,MATCH(YEAR(BI3),'⚙️ Assumptions'!$B$38:$F$38,0)),BI12),
_xlpm.Rev, INDEX('💰 Revenue'!$C$14:$BJ14,MATCH(BI3,'💰 Revenue'!$C$5:$BJ$5,0)),
_xlpm.Adj_ratio, INDEX('⚙️ Other Assumptions'!$B$15:$M$15,MATCH(MONTH(BI3),'⚙️ Other Assumptions'!$B$14:$M$14)),
_xlpm.Electric_percent * _xlpm.Rev * _xlpm.Adj_ratio)</f>
        <v>22599000</v>
      </c>
      <c r="BJ11" s="61" t="n">
        <f aca="false">_xlfn.LET(
_xlpm.Electric_percent, _xlfn.IFNA(INDEX('⚙️ Assumptions'!$B$40:$F$40,MATCH(YEAR(BJ3),'⚙️ Assumptions'!$B$38:$F$38,0)),BJ12),
_xlpm.Rev, INDEX('💰 Revenue'!$C$14:$BJ14,MATCH(BJ3,'💰 Revenue'!$C$5:$BJ$5,0)),
_xlpm.Adj_ratio, INDEX('⚙️ Other Assumptions'!$B$15:$M$15,MATCH(MONTH(BJ3),'⚙️ Other Assumptions'!$B$14:$M$14)),
_xlpm.Electric_percent * _xlpm.Rev * _xlpm.Adj_ratio)</f>
        <v>20776500</v>
      </c>
    </row>
    <row r="12" customFormat="false" ht="13.5" hidden="true" customHeight="true" outlineLevel="0" collapsed="false">
      <c r="A12" s="38" t="s">
        <v>263</v>
      </c>
      <c r="B12" s="60"/>
      <c r="C12" s="64" t="e">
        <f aca="true">IF(_xlfn.IFNA(INDEX('⚙️ Assumptions'!$B$40:$F$40,MATCH(YEAR(C3),'⚙️ Assumptions'!$B$38:$F$38,0)),1)&lt;&gt;1,C11/INDEX('💰 Revenue'!$C$14:$BJ14,MATCH(C3,'💰 Revenue'!$C$5:$BJ$5,0)),OFFSET(C12,,-1))</f>
        <v>#DIV/0!</v>
      </c>
      <c r="D12" s="64" t="e">
        <f aca="true">IF(_xlfn.IFNA(INDEX('⚙️ Assumptions'!$B$40:$F$40,MATCH(YEAR(D3),'⚙️ Assumptions'!$B$38:$F$38,0)),1)&lt;&gt;1,D11/INDEX('💰 Revenue'!$C$14:$BJ14,MATCH(D3,'💰 Revenue'!$C$5:$BJ$5,0)),OFFSET(D12,,-1))</f>
        <v>#DIV/0!</v>
      </c>
      <c r="E12" s="61" t="n">
        <f aca="true">IF(_xlfn.IFNA(INDEX('⚙️ Assumptions'!$B$40:$F$40,MATCH(YEAR(E3),'⚙️ Assumptions'!$B$38:$F$38,0)),1)&lt;&gt;1,E11/INDEX('💰 Revenue'!$C$14:$BJ14,MATCH(E3,'💰 Revenue'!$C$5:$BJ$5,0)),OFFSET(E12,,-1))</f>
        <v>0.036</v>
      </c>
      <c r="F12" s="61" t="n">
        <f aca="true">IF(_xlfn.IFNA(INDEX('⚙️ Assumptions'!$B$40:$F$40,MATCH(YEAR(F3),'⚙️ Assumptions'!$B$38:$F$38,0)),1)&lt;&gt;1,F11/INDEX('💰 Revenue'!$C$14:$BJ14,MATCH(F3,'💰 Revenue'!$C$5:$BJ$5,0)),OFFSET(F12,,-1))</f>
        <v>0.036</v>
      </c>
      <c r="G12" s="61" t="n">
        <f aca="true">IF(_xlfn.IFNA(INDEX('⚙️ Assumptions'!$B$40:$F$40,MATCH(YEAR(G3),'⚙️ Assumptions'!$B$38:$F$38,0)),1)&lt;&gt;1,G11/INDEX('💰 Revenue'!$C$14:$BJ14,MATCH(G3,'💰 Revenue'!$C$5:$BJ$5,0)),OFFSET(G12,,-1))</f>
        <v>0.04</v>
      </c>
      <c r="H12" s="61" t="n">
        <f aca="true">IF(_xlfn.IFNA(INDEX('⚙️ Assumptions'!$B$40:$F$40,MATCH(YEAR(H3),'⚙️ Assumptions'!$B$38:$F$38,0)),1)&lt;&gt;1,H11/INDEX('💰 Revenue'!$C$14:$BJ14,MATCH(H3,'💰 Revenue'!$C$5:$BJ$5,0)),OFFSET(H12,,-1))</f>
        <v>0.04</v>
      </c>
      <c r="I12" s="61" t="n">
        <f aca="true">IF(_xlfn.IFNA(INDEX('⚙️ Assumptions'!$B$40:$F$40,MATCH(YEAR(I3),'⚙️ Assumptions'!$B$38:$F$38,0)),1)&lt;&gt;1,I11/INDEX('💰 Revenue'!$C$14:$BJ14,MATCH(I3,'💰 Revenue'!$C$5:$BJ$5,0)),OFFSET(I12,,-1))</f>
        <v>0.04</v>
      </c>
      <c r="J12" s="61" t="n">
        <f aca="true">IF(_xlfn.IFNA(INDEX('⚙️ Assumptions'!$B$40:$F$40,MATCH(YEAR(J3),'⚙️ Assumptions'!$B$38:$F$38,0)),1)&lt;&gt;1,J11/INDEX('💰 Revenue'!$C$14:$BJ14,MATCH(J3,'💰 Revenue'!$C$5:$BJ$5,0)),OFFSET(J12,,-1))</f>
        <v>0.04</v>
      </c>
      <c r="K12" s="61" t="n">
        <f aca="true">IF(_xlfn.IFNA(INDEX('⚙️ Assumptions'!$B$40:$F$40,MATCH(YEAR(K3),'⚙️ Assumptions'!$B$38:$F$38,0)),1)&lt;&gt;1,K11/INDEX('💰 Revenue'!$C$14:$BJ14,MATCH(K3,'💰 Revenue'!$C$5:$BJ$5,0)),OFFSET(K12,,-1))</f>
        <v>0.06</v>
      </c>
      <c r="L12" s="61" t="n">
        <f aca="true">IF(_xlfn.IFNA(INDEX('⚙️ Assumptions'!$B$40:$F$40,MATCH(YEAR(L3),'⚙️ Assumptions'!$B$38:$F$38,0)),1)&lt;&gt;1,L11/INDEX('💰 Revenue'!$C$14:$BJ14,MATCH(L3,'💰 Revenue'!$C$5:$BJ$5,0)),OFFSET(L12,,-1))</f>
        <v>0.06</v>
      </c>
      <c r="M12" s="61" t="n">
        <f aca="true">IF(_xlfn.IFNA(INDEX('⚙️ Assumptions'!$B$40:$F$40,MATCH(YEAR(M3),'⚙️ Assumptions'!$B$38:$F$38,0)),1)&lt;&gt;1,M11/INDEX('💰 Revenue'!$C$14:$BJ14,MATCH(M3,'💰 Revenue'!$C$5:$BJ$5,0)),OFFSET(M12,,-1))</f>
        <v>0.06</v>
      </c>
      <c r="N12" s="61" t="n">
        <f aca="true">IF(_xlfn.IFNA(INDEX('⚙️ Assumptions'!$B$40:$F$40,MATCH(YEAR(N3),'⚙️ Assumptions'!$B$38:$F$38,0)),1)&lt;&gt;1,N11/INDEX('💰 Revenue'!$C$14:$BJ14,MATCH(N3,'💰 Revenue'!$C$5:$BJ$5,0)),OFFSET(N12,,-1))</f>
        <v>0.06</v>
      </c>
      <c r="O12" s="61" t="n">
        <f aca="true">IF(_xlfn.IFNA(INDEX('⚙️ Assumptions'!$B$40:$F$40,MATCH(YEAR(O3),'⚙️ Assumptions'!$B$38:$F$38,0)),1)&lt;&gt;1,O11/INDEX('💰 Revenue'!$C$14:$BJ14,MATCH(O3,'💰 Revenue'!$C$5:$BJ$5,0)),OFFSET(O12,,-1))</f>
        <v>0.06</v>
      </c>
      <c r="P12" s="61" t="n">
        <f aca="true">IF(_xlfn.IFNA(INDEX('⚙️ Assumptions'!$B$40:$F$40,MATCH(YEAR(P3),'⚙️ Assumptions'!$B$38:$F$38,0)),1)&lt;&gt;1,P11/INDEX('💰 Revenue'!$C$14:$BJ14,MATCH(P3,'💰 Revenue'!$C$5:$BJ$5,0)),OFFSET(P12,,-1))</f>
        <v>0.036</v>
      </c>
      <c r="Q12" s="61" t="n">
        <f aca="true">IF(_xlfn.IFNA(INDEX('⚙️ Assumptions'!$B$40:$F$40,MATCH(YEAR(Q3),'⚙️ Assumptions'!$B$38:$F$38,0)),1)&lt;&gt;1,Q11/INDEX('💰 Revenue'!$C$14:$BJ14,MATCH(Q3,'💰 Revenue'!$C$5:$BJ$5,0)),OFFSET(Q12,,-1))</f>
        <v>0.036</v>
      </c>
      <c r="R12" s="61" t="n">
        <f aca="true">IF(_xlfn.IFNA(INDEX('⚙️ Assumptions'!$B$40:$F$40,MATCH(YEAR(R3),'⚙️ Assumptions'!$B$38:$F$38,0)),1)&lt;&gt;1,R11/INDEX('💰 Revenue'!$C$14:$BJ14,MATCH(R3,'💰 Revenue'!$C$5:$BJ$5,0)),OFFSET(R12,,-1))</f>
        <v>0.036</v>
      </c>
      <c r="S12" s="61" t="n">
        <f aca="true">IF(_xlfn.IFNA(INDEX('⚙️ Assumptions'!$B$40:$F$40,MATCH(YEAR(S3),'⚙️ Assumptions'!$B$38:$F$38,0)),1)&lt;&gt;1,S11/INDEX('💰 Revenue'!$C$14:$BJ14,MATCH(S3,'💰 Revenue'!$C$5:$BJ$5,0)),OFFSET(S12,,-1))</f>
        <v>0.04</v>
      </c>
      <c r="T12" s="61" t="n">
        <f aca="true">IF(_xlfn.IFNA(INDEX('⚙️ Assumptions'!$B$40:$F$40,MATCH(YEAR(T3),'⚙️ Assumptions'!$B$38:$F$38,0)),1)&lt;&gt;1,T11/INDEX('💰 Revenue'!$C$14:$BJ14,MATCH(T3,'💰 Revenue'!$C$5:$BJ$5,0)),OFFSET(T12,,-1))</f>
        <v>0.04</v>
      </c>
      <c r="U12" s="61" t="n">
        <f aca="true">IF(_xlfn.IFNA(INDEX('⚙️ Assumptions'!$B$40:$F$40,MATCH(YEAR(U3),'⚙️ Assumptions'!$B$38:$F$38,0)),1)&lt;&gt;1,U11/INDEX('💰 Revenue'!$C$14:$BJ14,MATCH(U3,'💰 Revenue'!$C$5:$BJ$5,0)),OFFSET(U12,,-1))</f>
        <v>0.04</v>
      </c>
      <c r="V12" s="61" t="n">
        <f aca="true">IF(_xlfn.IFNA(INDEX('⚙️ Assumptions'!$B$40:$F$40,MATCH(YEAR(V3),'⚙️ Assumptions'!$B$38:$F$38,0)),1)&lt;&gt;1,V11/INDEX('💰 Revenue'!$C$14:$BJ14,MATCH(V3,'💰 Revenue'!$C$5:$BJ$5,0)),OFFSET(V12,,-1))</f>
        <v>0.04</v>
      </c>
      <c r="W12" s="61" t="n">
        <f aca="true">IF(_xlfn.IFNA(INDEX('⚙️ Assumptions'!$B$40:$F$40,MATCH(YEAR(W3),'⚙️ Assumptions'!$B$38:$F$38,0)),1)&lt;&gt;1,W11/INDEX('💰 Revenue'!$C$14:$BJ14,MATCH(W3,'💰 Revenue'!$C$5:$BJ$5,0)),OFFSET(W12,,-1))</f>
        <v>0.06</v>
      </c>
      <c r="X12" s="61" t="n">
        <f aca="true">IF(_xlfn.IFNA(INDEX('⚙️ Assumptions'!$B$40:$F$40,MATCH(YEAR(X3),'⚙️ Assumptions'!$B$38:$F$38,0)),1)&lt;&gt;1,X11/INDEX('💰 Revenue'!$C$14:$BJ14,MATCH(X3,'💰 Revenue'!$C$5:$BJ$5,0)),OFFSET(X12,,-1))</f>
        <v>0.06</v>
      </c>
      <c r="Y12" s="61" t="n">
        <f aca="true">IF(_xlfn.IFNA(INDEX('⚙️ Assumptions'!$B$40:$F$40,MATCH(YEAR(Y3),'⚙️ Assumptions'!$B$38:$F$38,0)),1)&lt;&gt;1,Y11/INDEX('💰 Revenue'!$C$14:$BJ14,MATCH(Y3,'💰 Revenue'!$C$5:$BJ$5,0)),OFFSET(Y12,,-1))</f>
        <v>0.06</v>
      </c>
      <c r="Z12" s="61" t="n">
        <f aca="true">IF(_xlfn.IFNA(INDEX('⚙️ Assumptions'!$B$40:$F$40,MATCH(YEAR(Z3),'⚙️ Assumptions'!$B$38:$F$38,0)),1)&lt;&gt;1,Z11/INDEX('💰 Revenue'!$C$14:$BJ14,MATCH(Z3,'💰 Revenue'!$C$5:$BJ$5,0)),OFFSET(Z12,,-1))</f>
        <v>0.06</v>
      </c>
      <c r="AA12" s="61" t="n">
        <f aca="true">IF(_xlfn.IFNA(INDEX('⚙️ Assumptions'!$B$40:$F$40,MATCH(YEAR(AA3),'⚙️ Assumptions'!$B$38:$F$38,0)),1)&lt;&gt;1,AA11/INDEX('💰 Revenue'!$C$14:$BJ14,MATCH(AA3,'💰 Revenue'!$C$5:$BJ$5,0)),OFFSET(AA12,,-1))</f>
        <v>0.06</v>
      </c>
      <c r="AB12" s="61" t="n">
        <f aca="true">IF(_xlfn.IFNA(INDEX('⚙️ Assumptions'!$B$40:$F$40,MATCH(YEAR(AB3),'⚙️ Assumptions'!$B$38:$F$38,0)),1)&lt;&gt;1,AB11/INDEX('💰 Revenue'!$C$14:$BJ14,MATCH(AB3,'💰 Revenue'!$C$5:$BJ$5,0)),OFFSET(AB12,,-1))</f>
        <v>0.036</v>
      </c>
      <c r="AC12" s="61" t="n">
        <f aca="true">IF(_xlfn.IFNA(INDEX('⚙️ Assumptions'!$B$40:$F$40,MATCH(YEAR(AC3),'⚙️ Assumptions'!$B$38:$F$38,0)),1)&lt;&gt;1,AC11/INDEX('💰 Revenue'!$C$14:$BJ14,MATCH(AC3,'💰 Revenue'!$C$5:$BJ$5,0)),OFFSET(AC12,,-1))</f>
        <v>0.036</v>
      </c>
      <c r="AD12" s="61" t="n">
        <f aca="true">IF(_xlfn.IFNA(INDEX('⚙️ Assumptions'!$B$40:$F$40,MATCH(YEAR(AD3),'⚙️ Assumptions'!$B$38:$F$38,0)),1)&lt;&gt;1,AD11/INDEX('💰 Revenue'!$C$14:$BJ14,MATCH(AD3,'💰 Revenue'!$C$5:$BJ$5,0)),OFFSET(AD12,,-1))</f>
        <v>0.036</v>
      </c>
      <c r="AE12" s="61" t="n">
        <f aca="true">IF(_xlfn.IFNA(INDEX('⚙️ Assumptions'!$B$40:$F$40,MATCH(YEAR(AE3),'⚙️ Assumptions'!$B$38:$F$38,0)),1)&lt;&gt;1,AE11/INDEX('💰 Revenue'!$C$14:$BJ14,MATCH(AE3,'💰 Revenue'!$C$5:$BJ$5,0)),OFFSET(AE12,,-1))</f>
        <v>0.04</v>
      </c>
      <c r="AF12" s="61" t="n">
        <f aca="true">IF(_xlfn.IFNA(INDEX('⚙️ Assumptions'!$B$40:$F$40,MATCH(YEAR(AF3),'⚙️ Assumptions'!$B$38:$F$38,0)),1)&lt;&gt;1,AF11/INDEX('💰 Revenue'!$C$14:$BJ14,MATCH(AF3,'💰 Revenue'!$C$5:$BJ$5,0)),OFFSET(AF12,,-1))</f>
        <v>0.04</v>
      </c>
      <c r="AG12" s="61" t="n">
        <f aca="true">IF(_xlfn.IFNA(INDEX('⚙️ Assumptions'!$B$40:$F$40,MATCH(YEAR(AG3),'⚙️ Assumptions'!$B$38:$F$38,0)),1)&lt;&gt;1,AG11/INDEX('💰 Revenue'!$C$14:$BJ14,MATCH(AG3,'💰 Revenue'!$C$5:$BJ$5,0)),OFFSET(AG12,,-1))</f>
        <v>0.04</v>
      </c>
      <c r="AH12" s="61" t="n">
        <f aca="true">IF(_xlfn.IFNA(INDEX('⚙️ Assumptions'!$B$40:$F$40,MATCH(YEAR(AH3),'⚙️ Assumptions'!$B$38:$F$38,0)),1)&lt;&gt;1,AH11/INDEX('💰 Revenue'!$C$14:$BJ14,MATCH(AH3,'💰 Revenue'!$C$5:$BJ$5,0)),OFFSET(AH12,,-1))</f>
        <v>0.04</v>
      </c>
      <c r="AI12" s="61" t="n">
        <f aca="true">IF(_xlfn.IFNA(INDEX('⚙️ Assumptions'!$B$40:$F$40,MATCH(YEAR(AI3),'⚙️ Assumptions'!$B$38:$F$38,0)),1)&lt;&gt;1,AI11/INDEX('💰 Revenue'!$C$14:$BJ14,MATCH(AI3,'💰 Revenue'!$C$5:$BJ$5,0)),OFFSET(AI12,,-1))</f>
        <v>0.06</v>
      </c>
      <c r="AJ12" s="61" t="n">
        <f aca="true">IF(_xlfn.IFNA(INDEX('⚙️ Assumptions'!$B$40:$F$40,MATCH(YEAR(AJ3),'⚙️ Assumptions'!$B$38:$F$38,0)),1)&lt;&gt;1,AJ11/INDEX('💰 Revenue'!$C$14:$BJ14,MATCH(AJ3,'💰 Revenue'!$C$5:$BJ$5,0)),OFFSET(AJ12,,-1))</f>
        <v>0.06</v>
      </c>
      <c r="AK12" s="61" t="n">
        <f aca="true">IF(_xlfn.IFNA(INDEX('⚙️ Assumptions'!$B$40:$F$40,MATCH(YEAR(AK3),'⚙️ Assumptions'!$B$38:$F$38,0)),1)&lt;&gt;1,AK11/INDEX('💰 Revenue'!$C$14:$BJ14,MATCH(AK3,'💰 Revenue'!$C$5:$BJ$5,0)),OFFSET(AK12,,-1))</f>
        <v>0.06</v>
      </c>
      <c r="AL12" s="61" t="n">
        <f aca="true">IF(_xlfn.IFNA(INDEX('⚙️ Assumptions'!$B$40:$F$40,MATCH(YEAR(AL3),'⚙️ Assumptions'!$B$38:$F$38,0)),1)&lt;&gt;1,AL11/INDEX('💰 Revenue'!$C$14:$BJ14,MATCH(AL3,'💰 Revenue'!$C$5:$BJ$5,0)),OFFSET(AL12,,-1))</f>
        <v>0.06</v>
      </c>
      <c r="AM12" s="61" t="n">
        <f aca="true">IF(_xlfn.IFNA(INDEX('⚙️ Assumptions'!$B$40:$F$40,MATCH(YEAR(AM3),'⚙️ Assumptions'!$B$38:$F$38,0)),1)&lt;&gt;1,AM11/INDEX('💰 Revenue'!$C$14:$BJ14,MATCH(AM3,'💰 Revenue'!$C$5:$BJ$5,0)),OFFSET(AM12,,-1))</f>
        <v>0.06</v>
      </c>
      <c r="AN12" s="61" t="n">
        <f aca="true">IF(_xlfn.IFNA(INDEX('⚙️ Assumptions'!$B$40:$F$40,MATCH(YEAR(AN3),'⚙️ Assumptions'!$B$38:$F$38,0)),1)&lt;&gt;1,AN11/INDEX('💰 Revenue'!$C$14:$BJ14,MATCH(AN3,'💰 Revenue'!$C$5:$BJ$5,0)),OFFSET(AN12,,-1))</f>
        <v>0.036</v>
      </c>
      <c r="AO12" s="61" t="n">
        <f aca="true">IF(_xlfn.IFNA(INDEX('⚙️ Assumptions'!$B$40:$F$40,MATCH(YEAR(AO3),'⚙️ Assumptions'!$B$38:$F$38,0)),1)&lt;&gt;1,AO11/INDEX('💰 Revenue'!$C$14:$BJ14,MATCH(AO3,'💰 Revenue'!$C$5:$BJ$5,0)),OFFSET(AO12,,-1))</f>
        <v>0.036</v>
      </c>
      <c r="AP12" s="61" t="n">
        <f aca="true">IF(_xlfn.IFNA(INDEX('⚙️ Assumptions'!$B$40:$F$40,MATCH(YEAR(AP3),'⚙️ Assumptions'!$B$38:$F$38,0)),1)&lt;&gt;1,AP11/INDEX('💰 Revenue'!$C$14:$BJ14,MATCH(AP3,'💰 Revenue'!$C$5:$BJ$5,0)),OFFSET(AP12,,-1))</f>
        <v>0.036</v>
      </c>
      <c r="AQ12" s="61" t="n">
        <f aca="true">IF(_xlfn.IFNA(INDEX('⚙️ Assumptions'!$B$40:$F$40,MATCH(YEAR(AQ3),'⚙️ Assumptions'!$B$38:$F$38,0)),1)&lt;&gt;1,AQ11/INDEX('💰 Revenue'!$C$14:$BJ14,MATCH(AQ3,'💰 Revenue'!$C$5:$BJ$5,0)),OFFSET(AQ12,,-1))</f>
        <v>0.04</v>
      </c>
      <c r="AR12" s="61" t="n">
        <f aca="true">IF(_xlfn.IFNA(INDEX('⚙️ Assumptions'!$B$40:$F$40,MATCH(YEAR(AR3),'⚙️ Assumptions'!$B$38:$F$38,0)),1)&lt;&gt;1,AR11/INDEX('💰 Revenue'!$C$14:$BJ14,MATCH(AR3,'💰 Revenue'!$C$5:$BJ$5,0)),OFFSET(AR12,,-1))</f>
        <v>0.04</v>
      </c>
      <c r="AS12" s="61" t="n">
        <f aca="true">IF(_xlfn.IFNA(INDEX('⚙️ Assumptions'!$B$40:$F$40,MATCH(YEAR(AS3),'⚙️ Assumptions'!$B$38:$F$38,0)),1)&lt;&gt;1,AS11/INDEX('💰 Revenue'!$C$14:$BJ14,MATCH(AS3,'💰 Revenue'!$C$5:$BJ$5,0)),OFFSET(AS12,,-1))</f>
        <v>0.04</v>
      </c>
      <c r="AT12" s="61" t="n">
        <f aca="true">IF(_xlfn.IFNA(INDEX('⚙️ Assumptions'!$B$40:$F$40,MATCH(YEAR(AT3),'⚙️ Assumptions'!$B$38:$F$38,0)),1)&lt;&gt;1,AT11/INDEX('💰 Revenue'!$C$14:$BJ14,MATCH(AT3,'💰 Revenue'!$C$5:$BJ$5,0)),OFFSET(AT12,,-1))</f>
        <v>0.04</v>
      </c>
      <c r="AU12" s="61" t="n">
        <f aca="true">IF(_xlfn.IFNA(INDEX('⚙️ Assumptions'!$B$40:$F$40,MATCH(YEAR(AU3),'⚙️ Assumptions'!$B$38:$F$38,0)),1)&lt;&gt;1,AU11/INDEX('💰 Revenue'!$C$14:$BJ14,MATCH(AU3,'💰 Revenue'!$C$5:$BJ$5,0)),OFFSET(AU12,,-1))</f>
        <v>0.06</v>
      </c>
      <c r="AV12" s="61" t="n">
        <f aca="true">IF(_xlfn.IFNA(INDEX('⚙️ Assumptions'!$B$40:$F$40,MATCH(YEAR(AV3),'⚙️ Assumptions'!$B$38:$F$38,0)),1)&lt;&gt;1,AV11/INDEX('💰 Revenue'!$C$14:$BJ14,MATCH(AV3,'💰 Revenue'!$C$5:$BJ$5,0)),OFFSET(AV12,,-1))</f>
        <v>0.06</v>
      </c>
      <c r="AW12" s="61" t="n">
        <f aca="true">IF(_xlfn.IFNA(INDEX('⚙️ Assumptions'!$B$40:$F$40,MATCH(YEAR(AW3),'⚙️ Assumptions'!$B$38:$F$38,0)),1)&lt;&gt;1,AW11/INDEX('💰 Revenue'!$C$14:$BJ14,MATCH(AW3,'💰 Revenue'!$C$5:$BJ$5,0)),OFFSET(AW12,,-1))</f>
        <v>0.06</v>
      </c>
      <c r="AX12" s="61" t="n">
        <f aca="true">IF(_xlfn.IFNA(INDEX('⚙️ Assumptions'!$B$40:$F$40,MATCH(YEAR(AX3),'⚙️ Assumptions'!$B$38:$F$38,0)),1)&lt;&gt;1,AX11/INDEX('💰 Revenue'!$C$14:$BJ14,MATCH(AX3,'💰 Revenue'!$C$5:$BJ$5,0)),OFFSET(AX12,,-1))</f>
        <v>0.06</v>
      </c>
      <c r="AY12" s="61" t="n">
        <f aca="true">IF(_xlfn.IFNA(INDEX('⚙️ Assumptions'!$B$40:$F$40,MATCH(YEAR(AY3),'⚙️ Assumptions'!$B$38:$F$38,0)),1)&lt;&gt;1,AY11/INDEX('💰 Revenue'!$C$14:$BJ14,MATCH(AY3,'💰 Revenue'!$C$5:$BJ$5,0)),OFFSET(AY12,,-1))</f>
        <v>0.06</v>
      </c>
      <c r="AZ12" s="61" t="n">
        <f aca="true">IF(_xlfn.IFNA(INDEX('⚙️ Assumptions'!$B$40:$F$40,MATCH(YEAR(AZ3),'⚙️ Assumptions'!$B$38:$F$38,0)),1)&lt;&gt;1,AZ11/INDEX('💰 Revenue'!$C$14:$BJ14,MATCH(AZ3,'💰 Revenue'!$C$5:$BJ$5,0)),OFFSET(AZ12,,-1))</f>
        <v>0.036</v>
      </c>
      <c r="BA12" s="61" t="n">
        <f aca="true">IF(_xlfn.IFNA(INDEX('⚙️ Assumptions'!$B$40:$F$40,MATCH(YEAR(BA3),'⚙️ Assumptions'!$B$38:$F$38,0)),1)&lt;&gt;1,BA11/INDEX('💰 Revenue'!$C$14:$BJ14,MATCH(BA3,'💰 Revenue'!$C$5:$BJ$5,0)),OFFSET(BA12,,-1))</f>
        <v>0.036</v>
      </c>
      <c r="BB12" s="61" t="n">
        <f aca="true">IF(_xlfn.IFNA(INDEX('⚙️ Assumptions'!$B$40:$F$40,MATCH(YEAR(BB3),'⚙️ Assumptions'!$B$38:$F$38,0)),1)&lt;&gt;1,BB11/INDEX('💰 Revenue'!$C$14:$BJ14,MATCH(BB3,'💰 Revenue'!$C$5:$BJ$5,0)),OFFSET(BB12,,-1))</f>
        <v>0.036</v>
      </c>
      <c r="BC12" s="61" t="n">
        <f aca="true">IF(_xlfn.IFNA(INDEX('⚙️ Assumptions'!$B$40:$F$40,MATCH(YEAR(BC3),'⚙️ Assumptions'!$B$38:$F$38,0)),1)&lt;&gt;1,BC11/INDEX('💰 Revenue'!$C$14:$BJ14,MATCH(BC3,'💰 Revenue'!$C$5:$BJ$5,0)),OFFSET(BC12,,-1))</f>
        <v>0.036</v>
      </c>
      <c r="BD12" s="61" t="n">
        <f aca="true">IF(_xlfn.IFNA(INDEX('⚙️ Assumptions'!$B$40:$F$40,MATCH(YEAR(BD3),'⚙️ Assumptions'!$B$38:$F$38,0)),1)&lt;&gt;1,BD11/INDEX('💰 Revenue'!$C$14:$BJ14,MATCH(BD3,'💰 Revenue'!$C$5:$BJ$5,0)),OFFSET(BD12,,-1))</f>
        <v>0.036</v>
      </c>
      <c r="BE12" s="61" t="n">
        <f aca="true">IF(_xlfn.IFNA(INDEX('⚙️ Assumptions'!$B$40:$F$40,MATCH(YEAR(BE3),'⚙️ Assumptions'!$B$38:$F$38,0)),1)&lt;&gt;1,BE11/INDEX('💰 Revenue'!$C$14:$BJ14,MATCH(BE3,'💰 Revenue'!$C$5:$BJ$5,0)),OFFSET(BE12,,-1))</f>
        <v>0.036</v>
      </c>
      <c r="BF12" s="61" t="n">
        <f aca="true">IF(_xlfn.IFNA(INDEX('⚙️ Assumptions'!$B$40:$F$40,MATCH(YEAR(BF3),'⚙️ Assumptions'!$B$38:$F$38,0)),1)&lt;&gt;1,BF11/INDEX('💰 Revenue'!$C$14:$BJ14,MATCH(BF3,'💰 Revenue'!$C$5:$BJ$5,0)),OFFSET(BF12,,-1))</f>
        <v>0.036</v>
      </c>
      <c r="BG12" s="61" t="n">
        <f aca="true">IF(_xlfn.IFNA(INDEX('⚙️ Assumptions'!$B$40:$F$40,MATCH(YEAR(BG3),'⚙️ Assumptions'!$B$38:$F$38,0)),1)&lt;&gt;1,BG11/INDEX('💰 Revenue'!$C$14:$BJ14,MATCH(BG3,'💰 Revenue'!$C$5:$BJ$5,0)),OFFSET(BG12,,-1))</f>
        <v>0.036</v>
      </c>
      <c r="BH12" s="61" t="n">
        <f aca="true">IF(_xlfn.IFNA(INDEX('⚙️ Assumptions'!$B$40:$F$40,MATCH(YEAR(BH3),'⚙️ Assumptions'!$B$38:$F$38,0)),1)&lt;&gt;1,BH11/INDEX('💰 Revenue'!$C$14:$BJ14,MATCH(BH3,'💰 Revenue'!$C$5:$BJ$5,0)),OFFSET(BH12,,-1))</f>
        <v>0.036</v>
      </c>
      <c r="BI12" s="61" t="n">
        <f aca="true">IF(_xlfn.IFNA(INDEX('⚙️ Assumptions'!$B$40:$F$40,MATCH(YEAR(BI3),'⚙️ Assumptions'!$B$38:$F$38,0)),1)&lt;&gt;1,BI11/INDEX('💰 Revenue'!$C$14:$BJ14,MATCH(BI3,'💰 Revenue'!$C$5:$BJ$5,0)),OFFSET(BI12,,-1))</f>
        <v>0.036</v>
      </c>
      <c r="BJ12" s="61" t="n">
        <f aca="true">IF(_xlfn.IFNA(INDEX('⚙️ Assumptions'!$B$40:$F$40,MATCH(YEAR(BJ3),'⚙️ Assumptions'!$B$38:$F$38,0)),1)&lt;&gt;1,BJ11/INDEX('💰 Revenue'!$C$14:$BJ14,MATCH(BJ3,'💰 Revenue'!$C$5:$BJ$5,0)),OFFSET(BJ12,,-1))</f>
        <v>0.036</v>
      </c>
    </row>
    <row r="13" customFormat="false" ht="13.5" hidden="false" customHeight="true" outlineLevel="0" collapsed="false">
      <c r="A13" s="38" t="s">
        <v>264</v>
      </c>
      <c r="B13" s="60" t="n">
        <f aca="false">SUM(C13:AL13)</f>
        <v>198428906.25</v>
      </c>
      <c r="C13" s="64" t="n">
        <f aca="false">_xlfn.LET(
_xlpm.Water_percent,_xlfn.IFNA(INDEX('⚙️ Assumptions'!$B$41:$F$41,MATCH(YEAR(C3),'⚙️ Assumptions'!$B$38:$F$38,0)),OFFSET(C14,,-1)),
_xlpm.rev,INDEX('💰 Revenue'!$C$14:$BJ$14,MATCH(C3,'💰 Revenue'!$C$5:$BJ$5,0)),
_xlpm.Water_percent*_xlpm.rev)</f>
        <v>0</v>
      </c>
      <c r="D13" s="64" t="n">
        <f aca="false">_xlfn.LET(_xlpm.Water_percent,_xlfn.IFNA(INDEX('⚙️ Assumptions'!$B$41:$F$41,MATCH(YEAR(D3),'⚙️ Assumptions'!$B$38:$F$38,0)),OFFSET(D14,,-1)),_xlpm.rev,INDEX('💰 Revenue'!$C$14:$BJ$14,MATCH(D3,'💰 Revenue'!$C$5:$BJ$5,0)),_xlpm.Water_percent*_xlpm.rev)</f>
        <v>0</v>
      </c>
      <c r="E13" s="61" t="n">
        <f aca="false">_xlfn.LET(_xlpm.Water_percent,_xlfn.IFNA(INDEX('⚙️ Assumptions'!$B$41:$F$41,MATCH(YEAR(E3),'⚙️ Assumptions'!$B$38:$F$38,0)),OFFSET(E14,,-1)),_xlpm.rev,INDEX('💰 Revenue'!$C$14:$BJ$14,MATCH(E3,'💰 Revenue'!$C$5:$BJ$5,0)),_xlpm.Water_percent*_xlpm.rev)</f>
        <v>2824875</v>
      </c>
      <c r="F13" s="61" t="n">
        <f aca="false">_xlfn.LET(_xlpm.Water_percent,_xlfn.IFNA(INDEX('⚙️ Assumptions'!$B$41:$F$41,MATCH(YEAR(F3),'⚙️ Assumptions'!$B$38:$F$38,0)),OFFSET(F14,,-1)),_xlpm.rev,INDEX('💰 Revenue'!$C$14:$BJ$14,MATCH(F3,'💰 Revenue'!$C$5:$BJ$5,0)),_xlpm.Water_percent*_xlpm.rev)</f>
        <v>3766500</v>
      </c>
      <c r="G13" s="61" t="n">
        <f aca="false">_xlfn.LET(_xlpm.Water_percent,_xlfn.IFNA(INDEX('⚙️ Assumptions'!$B$41:$F$41,MATCH(YEAR(G3),'⚙️ Assumptions'!$B$38:$F$38,0)),OFFSET(G14,,-1)),_xlpm.rev,INDEX('💰 Revenue'!$C$14:$BJ$14,MATCH(G3,'💰 Revenue'!$C$5:$BJ$5,0)),_xlpm.Water_percent*_xlpm.rev)</f>
        <v>2911781.25</v>
      </c>
      <c r="H13" s="61" t="n">
        <f aca="false">_xlfn.LET(_xlpm.Water_percent,_xlfn.IFNA(INDEX('⚙️ Assumptions'!$B$41:$F$41,MATCH(YEAR(H3),'⚙️ Assumptions'!$B$38:$F$38,0)),OFFSET(H14,,-1)),_xlpm.rev,INDEX('💰 Revenue'!$C$14:$BJ$14,MATCH(H3,'💰 Revenue'!$C$5:$BJ$5,0)),_xlpm.Water_percent*_xlpm.rev)</f>
        <v>3975750</v>
      </c>
      <c r="I13" s="61" t="n">
        <f aca="false">_xlfn.LET(_xlpm.Water_percent,_xlfn.IFNA(INDEX('⚙️ Assumptions'!$B$41:$F$41,MATCH(YEAR(I3),'⚙️ Assumptions'!$B$38:$F$38,0)),OFFSET(I14,,-1)),_xlpm.rev,INDEX('💰 Revenue'!$C$14:$BJ$14,MATCH(I3,'💰 Revenue'!$C$5:$BJ$5,0)),_xlpm.Water_percent*_xlpm.rev)</f>
        <v>5239687.5</v>
      </c>
      <c r="J13" s="61" t="n">
        <f aca="false">_xlfn.LET(_xlpm.Water_percent,_xlfn.IFNA(INDEX('⚙️ Assumptions'!$B$41:$F$41,MATCH(YEAR(J3),'⚙️ Assumptions'!$B$38:$F$38,0)),OFFSET(J14,,-1)),_xlpm.rev,INDEX('💰 Revenue'!$C$14:$BJ$14,MATCH(J3,'💰 Revenue'!$C$5:$BJ$5,0)),_xlpm.Water_percent*_xlpm.rev)</f>
        <v>5492812.5</v>
      </c>
      <c r="K13" s="61" t="n">
        <f aca="false">_xlfn.LET(_xlpm.Water_percent,_xlfn.IFNA(INDEX('⚙️ Assumptions'!$B$41:$F$41,MATCH(YEAR(K3),'⚙️ Assumptions'!$B$38:$F$38,0)),OFFSET(K14,,-1)),_xlpm.rev,INDEX('💰 Revenue'!$C$14:$BJ$14,MATCH(K3,'💰 Revenue'!$C$5:$BJ$5,0)),_xlpm.Water_percent*_xlpm.rev)</f>
        <v>6075000</v>
      </c>
      <c r="L13" s="61" t="n">
        <f aca="false">_xlfn.LET(_xlpm.Water_percent,_xlfn.IFNA(INDEX('⚙️ Assumptions'!$B$41:$F$41,MATCH(YEAR(L3),'⚙️ Assumptions'!$B$38:$F$38,0)),OFFSET(L14,,-1)),_xlpm.rev,INDEX('💰 Revenue'!$C$14:$BJ$14,MATCH(L3,'💰 Revenue'!$C$5:$BJ$5,0)),_xlpm.Water_percent*_xlpm.rev)</f>
        <v>6015937.5</v>
      </c>
      <c r="M13" s="61" t="n">
        <f aca="false">_xlfn.LET(_xlpm.Water_percent,_xlfn.IFNA(INDEX('⚙️ Assumptions'!$B$41:$F$41,MATCH(YEAR(M3),'⚙️ Assumptions'!$B$38:$F$38,0)),OFFSET(M14,,-1)),_xlpm.rev,INDEX('💰 Revenue'!$C$14:$BJ$14,MATCH(M3,'💰 Revenue'!$C$5:$BJ$5,0)),_xlpm.Water_percent*_xlpm.rev)</f>
        <v>5231250</v>
      </c>
      <c r="N13" s="61" t="n">
        <f aca="false">_xlfn.LET(_xlpm.Water_percent,_xlfn.IFNA(INDEX('⚙️ Assumptions'!$B$41:$F$41,MATCH(YEAR(N3),'⚙️ Assumptions'!$B$38:$F$38,0)),OFFSET(N14,,-1)),_xlpm.rev,INDEX('💰 Revenue'!$C$14:$BJ$14,MATCH(N3,'💰 Revenue'!$C$5:$BJ$5,0)),_xlpm.Water_percent*_xlpm.rev)</f>
        <v>4809375</v>
      </c>
      <c r="O13" s="61" t="n">
        <f aca="false">_xlfn.LET(_xlpm.Water_percent,_xlfn.IFNA(INDEX('⚙️ Assumptions'!$B$41:$F$41,MATCH(YEAR(O3),'⚙️ Assumptions'!$B$38:$F$38,0)),OFFSET(O14,,-1)),_xlpm.rev,INDEX('💰 Revenue'!$C$14:$BJ$14,MATCH(O3,'💰 Revenue'!$C$5:$BJ$5,0)),_xlpm.Water_percent*_xlpm.rev)</f>
        <v>4969687.5</v>
      </c>
      <c r="P13" s="61" t="n">
        <f aca="false">_xlfn.LET(_xlpm.Water_percent,_xlfn.IFNA(INDEX('⚙️ Assumptions'!$B$41:$F$41,MATCH(YEAR(P3),'⚙️ Assumptions'!$B$38:$F$38,0)),OFFSET(P14,,-1)),_xlpm.rev,INDEX('💰 Revenue'!$C$14:$BJ$14,MATCH(P3,'💰 Revenue'!$C$5:$BJ$5,0)),_xlpm.Water_percent*_xlpm.rev)</f>
        <v>5315625</v>
      </c>
      <c r="Q13" s="61" t="n">
        <f aca="false">_xlfn.LET(_xlpm.Water_percent,_xlfn.IFNA(INDEX('⚙️ Assumptions'!$B$41:$F$41,MATCH(YEAR(Q3),'⚙️ Assumptions'!$B$38:$F$38,0)),OFFSET(Q14,,-1)),_xlpm.rev,INDEX('💰 Revenue'!$C$14:$BJ$14,MATCH(Q3,'💰 Revenue'!$C$5:$BJ$5,0)),_xlpm.Water_percent*_xlpm.rev)</f>
        <v>6277500</v>
      </c>
      <c r="R13" s="61" t="n">
        <f aca="false">_xlfn.LET(_xlpm.Water_percent,_xlfn.IFNA(INDEX('⚙️ Assumptions'!$B$41:$F$41,MATCH(YEAR(R3),'⚙️ Assumptions'!$B$38:$F$38,0)),OFFSET(R14,,-1)),_xlpm.rev,INDEX('💰 Revenue'!$C$14:$BJ$14,MATCH(R3,'💰 Revenue'!$C$5:$BJ$5,0)),_xlpm.Water_percent*_xlpm.rev)</f>
        <v>6277500</v>
      </c>
      <c r="S13" s="61" t="n">
        <f aca="false">_xlfn.LET(_xlpm.Water_percent,_xlfn.IFNA(INDEX('⚙️ Assumptions'!$B$41:$F$41,MATCH(YEAR(S3),'⚙️ Assumptions'!$B$38:$F$38,0)),OFFSET(S14,,-1)),_xlpm.rev,INDEX('💰 Revenue'!$C$14:$BJ$14,MATCH(S3,'💰 Revenue'!$C$5:$BJ$5,0)),_xlpm.Water_percent*_xlpm.rev)</f>
        <v>4819500</v>
      </c>
      <c r="T13" s="61" t="n">
        <f aca="false">_xlfn.LET(_xlpm.Water_percent,_xlfn.IFNA(INDEX('⚙️ Assumptions'!$B$41:$F$41,MATCH(YEAR(T3),'⚙️ Assumptions'!$B$38:$F$38,0)),OFFSET(T14,,-1)),_xlpm.rev,INDEX('💰 Revenue'!$C$14:$BJ$14,MATCH(T3,'💰 Revenue'!$C$5:$BJ$5,0)),_xlpm.Water_percent*_xlpm.rev)</f>
        <v>5963625</v>
      </c>
      <c r="U13" s="61" t="n">
        <f aca="false">_xlfn.LET(_xlpm.Water_percent,_xlfn.IFNA(INDEX('⚙️ Assumptions'!$B$41:$F$41,MATCH(YEAR(U3),'⚙️ Assumptions'!$B$38:$F$38,0)),OFFSET(U14,,-1)),_xlpm.rev,INDEX('💰 Revenue'!$C$14:$BJ$14,MATCH(U3,'💰 Revenue'!$C$5:$BJ$5,0)),_xlpm.Water_percent*_xlpm.rev)</f>
        <v>6986250</v>
      </c>
      <c r="V13" s="61" t="n">
        <f aca="false">_xlfn.LET(_xlpm.Water_percent,_xlfn.IFNA(INDEX('⚙️ Assumptions'!$B$41:$F$41,MATCH(YEAR(V3),'⚙️ Assumptions'!$B$38:$F$38,0)),OFFSET(V14,,-1)),_xlpm.rev,INDEX('💰 Revenue'!$C$14:$BJ$14,MATCH(V3,'💰 Revenue'!$C$5:$BJ$5,0)),_xlpm.Water_percent*_xlpm.rev)</f>
        <v>6591375</v>
      </c>
      <c r="W13" s="61" t="n">
        <f aca="false">_xlfn.LET(_xlpm.Water_percent,_xlfn.IFNA(INDEX('⚙️ Assumptions'!$B$41:$F$41,MATCH(YEAR(W3),'⚙️ Assumptions'!$B$38:$F$38,0)),OFFSET(W14,,-1)),_xlpm.rev,INDEX('💰 Revenue'!$C$14:$BJ$14,MATCH(W3,'💰 Revenue'!$C$5:$BJ$5,0)),_xlpm.Water_percent*_xlpm.rev)</f>
        <v>7290000</v>
      </c>
      <c r="X13" s="61" t="n">
        <f aca="false">_xlfn.LET(_xlpm.Water_percent,_xlfn.IFNA(INDEX('⚙️ Assumptions'!$B$41:$F$41,MATCH(YEAR(X3),'⚙️ Assumptions'!$B$38:$F$38,0)),OFFSET(X14,,-1)),_xlpm.rev,INDEX('💰 Revenue'!$C$14:$BJ$14,MATCH(X3,'💰 Revenue'!$C$5:$BJ$5,0)),_xlpm.Water_percent*_xlpm.rev)</f>
        <v>7219125</v>
      </c>
      <c r="Y13" s="61" t="n">
        <f aca="false">_xlfn.LET(_xlpm.Water_percent,_xlfn.IFNA(INDEX('⚙️ Assumptions'!$B$41:$F$41,MATCH(YEAR(Y3),'⚙️ Assumptions'!$B$38:$F$38,0)),OFFSET(Y14,,-1)),_xlpm.rev,INDEX('💰 Revenue'!$C$14:$BJ$14,MATCH(Y3,'💰 Revenue'!$C$5:$BJ$5,0)),_xlpm.Water_percent*_xlpm.rev)</f>
        <v>6277500</v>
      </c>
      <c r="Z13" s="61" t="n">
        <f aca="false">_xlfn.LET(_xlpm.Water_percent,_xlfn.IFNA(INDEX('⚙️ Assumptions'!$B$41:$F$41,MATCH(YEAR(Z3),'⚙️ Assumptions'!$B$38:$F$38,0)),OFFSET(Z14,,-1)),_xlpm.rev,INDEX('💰 Revenue'!$C$14:$BJ$14,MATCH(Z3,'💰 Revenue'!$C$5:$BJ$5,0)),_xlpm.Water_percent*_xlpm.rev)</f>
        <v>5771250</v>
      </c>
      <c r="AA13" s="61" t="n">
        <f aca="false">_xlfn.LET(_xlpm.Water_percent,_xlfn.IFNA(INDEX('⚙️ Assumptions'!$B$41:$F$41,MATCH(YEAR(AA3),'⚙️ Assumptions'!$B$38:$F$38,0)),OFFSET(AA14,,-1)),_xlpm.rev,INDEX('💰 Revenue'!$C$14:$BJ$14,MATCH(AA3,'💰 Revenue'!$C$5:$BJ$5,0)),_xlpm.Water_percent*_xlpm.rev)</f>
        <v>5963625</v>
      </c>
      <c r="AB13" s="61" t="n">
        <f aca="false">_xlfn.LET(_xlpm.Water_percent,_xlfn.IFNA(INDEX('⚙️ Assumptions'!$B$41:$F$41,MATCH(YEAR(AB3),'⚙️ Assumptions'!$B$38:$F$38,0)),OFFSET(AB14,,-1)),_xlpm.rev,INDEX('💰 Revenue'!$C$14:$BJ$14,MATCH(AB3,'💰 Revenue'!$C$5:$BJ$5,0)),_xlpm.Water_percent*_xlpm.rev)</f>
        <v>6378750</v>
      </c>
      <c r="AC13" s="61" t="n">
        <f aca="false">_xlfn.LET(_xlpm.Water_percent,_xlfn.IFNA(INDEX('⚙️ Assumptions'!$B$41:$F$41,MATCH(YEAR(AC3),'⚙️ Assumptions'!$B$38:$F$38,0)),OFFSET(AC14,,-1)),_xlpm.rev,INDEX('💰 Revenue'!$C$14:$BJ$14,MATCH(AC3,'💰 Revenue'!$C$5:$BJ$5,0)),_xlpm.Water_percent*_xlpm.rev)</f>
        <v>7533000</v>
      </c>
      <c r="AD13" s="61" t="n">
        <f aca="false">_xlfn.LET(_xlpm.Water_percent,_xlfn.IFNA(INDEX('⚙️ Assumptions'!$B$41:$F$41,MATCH(YEAR(AD3),'⚙️ Assumptions'!$B$38:$F$38,0)),OFFSET(AD14,,-1)),_xlpm.rev,INDEX('💰 Revenue'!$C$14:$BJ$14,MATCH(AD3,'💰 Revenue'!$C$5:$BJ$5,0)),_xlpm.Water_percent*_xlpm.rev)</f>
        <v>7533000</v>
      </c>
      <c r="AE13" s="61" t="n">
        <f aca="false">_xlfn.LET(_xlpm.Water_percent,_xlfn.IFNA(INDEX('⚙️ Assumptions'!$B$41:$F$41,MATCH(YEAR(AE3),'⚙️ Assumptions'!$B$38:$F$38,0)),OFFSET(AE14,,-1)),_xlpm.rev,INDEX('💰 Revenue'!$C$14:$BJ$14,MATCH(AE3,'💰 Revenue'!$C$5:$BJ$5,0)),_xlpm.Water_percent*_xlpm.rev)</f>
        <v>4819500</v>
      </c>
      <c r="AF13" s="61" t="n">
        <f aca="false">_xlfn.LET(_xlpm.Water_percent,_xlfn.IFNA(INDEX('⚙️ Assumptions'!$B$41:$F$41,MATCH(YEAR(AF3),'⚙️ Assumptions'!$B$38:$F$38,0)),OFFSET(AF14,,-1)),_xlpm.rev,INDEX('💰 Revenue'!$C$14:$BJ$14,MATCH(AF3,'💰 Revenue'!$C$5:$BJ$5,0)),_xlpm.Water_percent*_xlpm.rev)</f>
        <v>5963625</v>
      </c>
      <c r="AG13" s="61" t="n">
        <f aca="false">_xlfn.LET(_xlpm.Water_percent,_xlfn.IFNA(INDEX('⚙️ Assumptions'!$B$41:$F$41,MATCH(YEAR(AG3),'⚙️ Assumptions'!$B$38:$F$38,0)),OFFSET(AG14,,-1)),_xlpm.rev,INDEX('💰 Revenue'!$C$14:$BJ$14,MATCH(AG3,'💰 Revenue'!$C$5:$BJ$5,0)),_xlpm.Water_percent*_xlpm.rev)</f>
        <v>6986250</v>
      </c>
      <c r="AH13" s="61" t="n">
        <f aca="false">_xlfn.LET(_xlpm.Water_percent,_xlfn.IFNA(INDEX('⚙️ Assumptions'!$B$41:$F$41,MATCH(YEAR(AH3),'⚙️ Assumptions'!$B$38:$F$38,0)),OFFSET(AH14,,-1)),_xlpm.rev,INDEX('💰 Revenue'!$C$14:$BJ$14,MATCH(AH3,'💰 Revenue'!$C$5:$BJ$5,0)),_xlpm.Water_percent*_xlpm.rev)</f>
        <v>6591375</v>
      </c>
      <c r="AI13" s="61" t="n">
        <f aca="false">_xlfn.LET(_xlpm.Water_percent,_xlfn.IFNA(INDEX('⚙️ Assumptions'!$B$41:$F$41,MATCH(YEAR(AI3),'⚙️ Assumptions'!$B$38:$F$38,0)),OFFSET(AI14,,-1)),_xlpm.rev,INDEX('💰 Revenue'!$C$14:$BJ$14,MATCH(AI3,'💰 Revenue'!$C$5:$BJ$5,0)),_xlpm.Water_percent*_xlpm.rev)</f>
        <v>7290000</v>
      </c>
      <c r="AJ13" s="61" t="n">
        <f aca="false">_xlfn.LET(_xlpm.Water_percent,_xlfn.IFNA(INDEX('⚙️ Assumptions'!$B$41:$F$41,MATCH(YEAR(AJ3),'⚙️ Assumptions'!$B$38:$F$38,0)),OFFSET(AJ14,,-1)),_xlpm.rev,INDEX('💰 Revenue'!$C$14:$BJ$14,MATCH(AJ3,'💰 Revenue'!$C$5:$BJ$5,0)),_xlpm.Water_percent*_xlpm.rev)</f>
        <v>7219125</v>
      </c>
      <c r="AK13" s="61" t="n">
        <f aca="false">_xlfn.LET(_xlpm.Water_percent,_xlfn.IFNA(INDEX('⚙️ Assumptions'!$B$41:$F$41,MATCH(YEAR(AK3),'⚙️ Assumptions'!$B$38:$F$38,0)),OFFSET(AK14,,-1)),_xlpm.rev,INDEX('💰 Revenue'!$C$14:$BJ$14,MATCH(AK3,'💰 Revenue'!$C$5:$BJ$5,0)),_xlpm.Water_percent*_xlpm.rev)</f>
        <v>6277500</v>
      </c>
      <c r="AL13" s="61" t="n">
        <f aca="false">_xlfn.LET(_xlpm.Water_percent,_xlfn.IFNA(INDEX('⚙️ Assumptions'!$B$41:$F$41,MATCH(YEAR(AL3),'⚙️ Assumptions'!$B$38:$F$38,0)),OFFSET(AL14,,-1)),_xlpm.rev,INDEX('💰 Revenue'!$C$14:$BJ$14,MATCH(AL3,'💰 Revenue'!$C$5:$BJ$5,0)),_xlpm.Water_percent*_xlpm.rev)</f>
        <v>5771250</v>
      </c>
      <c r="AM13" s="61" t="n">
        <f aca="false">_xlfn.LET(_xlpm.Water_percent,_xlfn.IFNA(INDEX('⚙️ Assumptions'!$B$41:$F$41,MATCH(YEAR(AM3),'⚙️ Assumptions'!$B$38:$F$38,0)),OFFSET(AM14,,-1)),_xlpm.rev,INDEX('💰 Revenue'!$C$14:$BJ$14,MATCH(AM3,'💰 Revenue'!$C$5:$BJ$5,0)),_xlpm.Water_percent*_xlpm.rev)</f>
        <v>5963625</v>
      </c>
      <c r="AN13" s="61" t="n">
        <f aca="false">_xlfn.LET(_xlpm.Water_percent,_xlfn.IFNA(INDEX('⚙️ Assumptions'!$B$41:$F$41,MATCH(YEAR(AN3),'⚙️ Assumptions'!$B$38:$F$38,0)),OFFSET(AN14,,-1)),_xlpm.rev,INDEX('💰 Revenue'!$C$14:$BJ$14,MATCH(AN3,'💰 Revenue'!$C$5:$BJ$5,0)),_xlpm.Water_percent*_xlpm.rev)</f>
        <v>6378750</v>
      </c>
      <c r="AO13" s="61" t="n">
        <f aca="false">_xlfn.LET(_xlpm.Water_percent,_xlfn.IFNA(INDEX('⚙️ Assumptions'!$B$41:$F$41,MATCH(YEAR(AO3),'⚙️ Assumptions'!$B$38:$F$38,0)),OFFSET(AO14,,-1)),_xlpm.rev,INDEX('💰 Revenue'!$C$14:$BJ$14,MATCH(AO3,'💰 Revenue'!$C$5:$BJ$5,0)),_xlpm.Water_percent*_xlpm.rev)</f>
        <v>7533000</v>
      </c>
      <c r="AP13" s="61" t="n">
        <f aca="false">_xlfn.LET(_xlpm.Water_percent,_xlfn.IFNA(INDEX('⚙️ Assumptions'!$B$41:$F$41,MATCH(YEAR(AP3),'⚙️ Assumptions'!$B$38:$F$38,0)),OFFSET(AP14,,-1)),_xlpm.rev,INDEX('💰 Revenue'!$C$14:$BJ$14,MATCH(AP3,'💰 Revenue'!$C$5:$BJ$5,0)),_xlpm.Water_percent*_xlpm.rev)</f>
        <v>7533000</v>
      </c>
      <c r="AQ13" s="61" t="n">
        <f aca="false">_xlfn.LET(_xlpm.Water_percent,_xlfn.IFNA(INDEX('⚙️ Assumptions'!$B$41:$F$41,MATCH(YEAR(AQ3),'⚙️ Assumptions'!$B$38:$F$38,0)),OFFSET(AQ14,,-1)),_xlpm.rev,INDEX('💰 Revenue'!$C$14:$BJ$14,MATCH(AQ3,'💰 Revenue'!$C$5:$BJ$5,0)),_xlpm.Water_percent*_xlpm.rev)</f>
        <v>4819500</v>
      </c>
      <c r="AR13" s="61" t="n">
        <f aca="false">_xlfn.LET(_xlpm.Water_percent,_xlfn.IFNA(INDEX('⚙️ Assumptions'!$B$41:$F$41,MATCH(YEAR(AR3),'⚙️ Assumptions'!$B$38:$F$38,0)),OFFSET(AR14,,-1)),_xlpm.rev,INDEX('💰 Revenue'!$C$14:$BJ$14,MATCH(AR3,'💰 Revenue'!$C$5:$BJ$5,0)),_xlpm.Water_percent*_xlpm.rev)</f>
        <v>5963625</v>
      </c>
      <c r="AS13" s="61" t="n">
        <f aca="false">_xlfn.LET(_xlpm.Water_percent,_xlfn.IFNA(INDEX('⚙️ Assumptions'!$B$41:$F$41,MATCH(YEAR(AS3),'⚙️ Assumptions'!$B$38:$F$38,0)),OFFSET(AS14,,-1)),_xlpm.rev,INDEX('💰 Revenue'!$C$14:$BJ$14,MATCH(AS3,'💰 Revenue'!$C$5:$BJ$5,0)),_xlpm.Water_percent*_xlpm.rev)</f>
        <v>6986250</v>
      </c>
      <c r="AT13" s="61" t="n">
        <f aca="false">_xlfn.LET(_xlpm.Water_percent,_xlfn.IFNA(INDEX('⚙️ Assumptions'!$B$41:$F$41,MATCH(YEAR(AT3),'⚙️ Assumptions'!$B$38:$F$38,0)),OFFSET(AT14,,-1)),_xlpm.rev,INDEX('💰 Revenue'!$C$14:$BJ$14,MATCH(AT3,'💰 Revenue'!$C$5:$BJ$5,0)),_xlpm.Water_percent*_xlpm.rev)</f>
        <v>6591375</v>
      </c>
      <c r="AU13" s="61" t="n">
        <f aca="false">_xlfn.LET(_xlpm.Water_percent,_xlfn.IFNA(INDEX('⚙️ Assumptions'!$B$41:$F$41,MATCH(YEAR(AU3),'⚙️ Assumptions'!$B$38:$F$38,0)),OFFSET(AU14,,-1)),_xlpm.rev,INDEX('💰 Revenue'!$C$14:$BJ$14,MATCH(AU3,'💰 Revenue'!$C$5:$BJ$5,0)),_xlpm.Water_percent*_xlpm.rev)</f>
        <v>7290000</v>
      </c>
      <c r="AV13" s="61" t="n">
        <f aca="false">_xlfn.LET(_xlpm.Water_percent,_xlfn.IFNA(INDEX('⚙️ Assumptions'!$B$41:$F$41,MATCH(YEAR(AV3),'⚙️ Assumptions'!$B$38:$F$38,0)),OFFSET(AV14,,-1)),_xlpm.rev,INDEX('💰 Revenue'!$C$14:$BJ$14,MATCH(AV3,'💰 Revenue'!$C$5:$BJ$5,0)),_xlpm.Water_percent*_xlpm.rev)</f>
        <v>7219125</v>
      </c>
      <c r="AW13" s="61" t="n">
        <f aca="false">_xlfn.LET(_xlpm.Water_percent,_xlfn.IFNA(INDEX('⚙️ Assumptions'!$B$41:$F$41,MATCH(YEAR(AW3),'⚙️ Assumptions'!$B$38:$F$38,0)),OFFSET(AW14,,-1)),_xlpm.rev,INDEX('💰 Revenue'!$C$14:$BJ$14,MATCH(AW3,'💰 Revenue'!$C$5:$BJ$5,0)),_xlpm.Water_percent*_xlpm.rev)</f>
        <v>6277500</v>
      </c>
      <c r="AX13" s="61" t="n">
        <f aca="false">_xlfn.LET(_xlpm.Water_percent,_xlfn.IFNA(INDEX('⚙️ Assumptions'!$B$41:$F$41,MATCH(YEAR(AX3),'⚙️ Assumptions'!$B$38:$F$38,0)),OFFSET(AX14,,-1)),_xlpm.rev,INDEX('💰 Revenue'!$C$14:$BJ$14,MATCH(AX3,'💰 Revenue'!$C$5:$BJ$5,0)),_xlpm.Water_percent*_xlpm.rev)</f>
        <v>5771250</v>
      </c>
      <c r="AY13" s="61" t="n">
        <f aca="false">_xlfn.LET(_xlpm.Water_percent,_xlfn.IFNA(INDEX('⚙️ Assumptions'!$B$41:$F$41,MATCH(YEAR(AY3),'⚙️ Assumptions'!$B$38:$F$38,0)),OFFSET(AY14,,-1)),_xlpm.rev,INDEX('💰 Revenue'!$C$14:$BJ$14,MATCH(AY3,'💰 Revenue'!$C$5:$BJ$5,0)),_xlpm.Water_percent*_xlpm.rev)</f>
        <v>5963625</v>
      </c>
      <c r="AZ13" s="61" t="n">
        <f aca="false">_xlfn.LET(_xlpm.Water_percent,_xlfn.IFNA(INDEX('⚙️ Assumptions'!$B$41:$F$41,MATCH(YEAR(AZ3),'⚙️ Assumptions'!$B$38:$F$38,0)),OFFSET(AZ14,,-1)),_xlpm.rev,INDEX('💰 Revenue'!$C$14:$BJ$14,MATCH(AZ3,'💰 Revenue'!$C$5:$BJ$5,0)),_xlpm.Water_percent*_xlpm.rev)</f>
        <v>6378750</v>
      </c>
      <c r="BA13" s="61" t="n">
        <f aca="false">_xlfn.LET(_xlpm.Water_percent,_xlfn.IFNA(INDEX('⚙️ Assumptions'!$B$41:$F$41,MATCH(YEAR(BA3),'⚙️ Assumptions'!$B$38:$F$38,0)),OFFSET(BA14,,-1)),_xlpm.rev,INDEX('💰 Revenue'!$C$14:$BJ$14,MATCH(BA3,'💰 Revenue'!$C$5:$BJ$5,0)),_xlpm.Water_percent*_xlpm.rev)</f>
        <v>7533000</v>
      </c>
      <c r="BB13" s="61" t="n">
        <f aca="false">_xlfn.LET(_xlpm.Water_percent,_xlfn.IFNA(INDEX('⚙️ Assumptions'!$B$41:$F$41,MATCH(YEAR(BB3),'⚙️ Assumptions'!$B$38:$F$38,0)),OFFSET(BB14,,-1)),_xlpm.rev,INDEX('💰 Revenue'!$C$14:$BJ$14,MATCH(BB3,'💰 Revenue'!$C$5:$BJ$5,0)),_xlpm.Water_percent*_xlpm.rev)</f>
        <v>7533000</v>
      </c>
      <c r="BC13" s="61" t="n">
        <f aca="false">_xlfn.LET(_xlpm.Water_percent,_xlfn.IFNA(INDEX('⚙️ Assumptions'!$B$41:$F$41,MATCH(YEAR(BC3),'⚙️ Assumptions'!$B$38:$F$38,0)),OFFSET(BC14,,-1)),_xlpm.rev,INDEX('💰 Revenue'!$C$14:$BJ$14,MATCH(BC3,'💰 Revenue'!$C$5:$BJ$5,0)),_xlpm.Water_percent*_xlpm.rev)</f>
        <v>4991625</v>
      </c>
      <c r="BD13" s="61" t="n">
        <f aca="false">_xlfn.LET(_xlpm.Water_percent,_xlfn.IFNA(INDEX('⚙️ Assumptions'!$B$41:$F$41,MATCH(YEAR(BD3),'⚙️ Assumptions'!$B$38:$F$38,0)),OFFSET(BD14,,-1)),_xlpm.rev,INDEX('💰 Revenue'!$C$14:$BJ$14,MATCH(BD3,'💰 Revenue'!$C$5:$BJ$5,0)),_xlpm.Water_percent*_xlpm.rev)</f>
        <v>5963625</v>
      </c>
      <c r="BE13" s="61" t="n">
        <f aca="false">_xlfn.LET(_xlpm.Water_percent,_xlfn.IFNA(INDEX('⚙️ Assumptions'!$B$41:$F$41,MATCH(YEAR(BE3),'⚙️ Assumptions'!$B$38:$F$38,0)),OFFSET(BE14,,-1)),_xlpm.rev,INDEX('💰 Revenue'!$C$14:$BJ$14,MATCH(BE3,'💰 Revenue'!$C$5:$BJ$5,0)),_xlpm.Water_percent*_xlpm.rev)</f>
        <v>6986250</v>
      </c>
      <c r="BF13" s="61" t="n">
        <f aca="false">_xlfn.LET(_xlpm.Water_percent,_xlfn.IFNA(INDEX('⚙️ Assumptions'!$B$41:$F$41,MATCH(YEAR(BF3),'⚙️ Assumptions'!$B$38:$F$38,0)),OFFSET(BF14,,-1)),_xlpm.rev,INDEX('💰 Revenue'!$C$14:$BJ$14,MATCH(BF3,'💰 Revenue'!$C$5:$BJ$5,0)),_xlpm.Water_percent*_xlpm.rev)</f>
        <v>6591375</v>
      </c>
      <c r="BG13" s="61" t="n">
        <f aca="false">_xlfn.LET(_xlpm.Water_percent,_xlfn.IFNA(INDEX('⚙️ Assumptions'!$B$41:$F$41,MATCH(YEAR(BG3),'⚙️ Assumptions'!$B$38:$F$38,0)),OFFSET(BG14,,-1)),_xlpm.rev,INDEX('💰 Revenue'!$C$14:$BJ$14,MATCH(BG3,'💰 Revenue'!$C$5:$BJ$5,0)),_xlpm.Water_percent*_xlpm.rev)</f>
        <v>7290000</v>
      </c>
      <c r="BH13" s="61" t="n">
        <f aca="false">_xlfn.LET(_xlpm.Water_percent,_xlfn.IFNA(INDEX('⚙️ Assumptions'!$B$41:$F$41,MATCH(YEAR(BH3),'⚙️ Assumptions'!$B$38:$F$38,0)),OFFSET(BH14,,-1)),_xlpm.rev,INDEX('💰 Revenue'!$C$14:$BJ$14,MATCH(BH3,'💰 Revenue'!$C$5:$BJ$5,0)),_xlpm.Water_percent*_xlpm.rev)</f>
        <v>7219125</v>
      </c>
      <c r="BI13" s="61" t="n">
        <f aca="false">_xlfn.LET(_xlpm.Water_percent,_xlfn.IFNA(INDEX('⚙️ Assumptions'!$B$41:$F$41,MATCH(YEAR(BI3),'⚙️ Assumptions'!$B$38:$F$38,0)),OFFSET(BI14,,-1)),_xlpm.rev,INDEX('💰 Revenue'!$C$14:$BJ$14,MATCH(BI3,'💰 Revenue'!$C$5:$BJ$5,0)),_xlpm.Water_percent*_xlpm.rev)</f>
        <v>6277500</v>
      </c>
      <c r="BJ13" s="61" t="n">
        <f aca="false">_xlfn.LET(_xlpm.Water_percent,_xlfn.IFNA(INDEX('⚙️ Assumptions'!$B$41:$F$41,MATCH(YEAR(BJ3),'⚙️ Assumptions'!$B$38:$F$38,0)),OFFSET(BJ14,,-1)),_xlpm.rev,INDEX('💰 Revenue'!$C$14:$BJ$14,MATCH(BJ3,'💰 Revenue'!$C$5:$BJ$5,0)),_xlpm.Water_percent*_xlpm.rev)</f>
        <v>5771250</v>
      </c>
    </row>
    <row r="14" customFormat="false" ht="13.5" hidden="true" customHeight="true" outlineLevel="0" collapsed="false">
      <c r="A14" s="38" t="s">
        <v>265</v>
      </c>
      <c r="B14" s="60"/>
      <c r="C14" s="64" t="e">
        <f aca="true">IF(_xlfn.IFNA(INDEX('⚙️ Assumptions'!$B$40:$F$40,MATCH(YEAR(C3),'⚙️ Assumptions'!$B$38:$F$38,0)),1)&lt;&gt;1,C13/INDEX('💰 Revenue'!$C$14:$BJ14,MATCH(C3,'💰 Revenue'!$C$5:$BJ$5,0)),OFFSET(C14,,-1))</f>
        <v>#DIV/0!</v>
      </c>
      <c r="D14" s="64" t="e">
        <f aca="true">IF(_xlfn.IFNA(INDEX('⚙️ Assumptions'!$B$40:$F$40,MATCH(YEAR(D3),'⚙️ Assumptions'!$B$38:$F$38,0)),1)&lt;&gt;1,D13/INDEX('💰 Revenue'!$C$14:$BJ14,MATCH(D3,'💰 Revenue'!$C$5:$BJ$5,0)),OFFSET(D14,,-1))</f>
        <v>#DIV/0!</v>
      </c>
      <c r="E14" s="61" t="n">
        <f aca="true">IF(_xlfn.IFNA(INDEX('⚙️ Assumptions'!$B$40:$F$40,MATCH(YEAR(E3),'⚙️ Assumptions'!$B$38:$F$38,0)),1)&lt;&gt;1,E13/INDEX('💰 Revenue'!$C$14:$BJ14,MATCH(E3,'💰 Revenue'!$C$5:$BJ$5,0)),OFFSET(E14,,-1))</f>
        <v>0.015</v>
      </c>
      <c r="F14" s="61" t="n">
        <f aca="true">IF(_xlfn.IFNA(INDEX('⚙️ Assumptions'!$B$40:$F$40,MATCH(YEAR(F3),'⚙️ Assumptions'!$B$38:$F$38,0)),1)&lt;&gt;1,F13/INDEX('💰 Revenue'!$C$14:$BJ14,MATCH(F3,'💰 Revenue'!$C$5:$BJ$5,0)),OFFSET(F14,,-1))</f>
        <v>0.015</v>
      </c>
      <c r="G14" s="61" t="n">
        <f aca="true">IF(_xlfn.IFNA(INDEX('⚙️ Assumptions'!$B$40:$F$40,MATCH(YEAR(G3),'⚙️ Assumptions'!$B$38:$F$38,0)),1)&lt;&gt;1,G13/INDEX('💰 Revenue'!$C$14:$BJ14,MATCH(G3,'💰 Revenue'!$C$5:$BJ$5,0)),OFFSET(G14,,-1))</f>
        <v>0.015</v>
      </c>
      <c r="H14" s="61" t="n">
        <f aca="true">IF(_xlfn.IFNA(INDEX('⚙️ Assumptions'!$B$40:$F$40,MATCH(YEAR(H3),'⚙️ Assumptions'!$B$38:$F$38,0)),1)&lt;&gt;1,H13/INDEX('💰 Revenue'!$C$14:$BJ14,MATCH(H3,'💰 Revenue'!$C$5:$BJ$5,0)),OFFSET(H14,,-1))</f>
        <v>0.015</v>
      </c>
      <c r="I14" s="61" t="n">
        <f aca="true">IF(_xlfn.IFNA(INDEX('⚙️ Assumptions'!$B$40:$F$40,MATCH(YEAR(I3),'⚙️ Assumptions'!$B$38:$F$38,0)),1)&lt;&gt;1,I13/INDEX('💰 Revenue'!$C$14:$BJ14,MATCH(I3,'💰 Revenue'!$C$5:$BJ$5,0)),OFFSET(I14,,-1))</f>
        <v>0.015</v>
      </c>
      <c r="J14" s="61" t="n">
        <f aca="true">IF(_xlfn.IFNA(INDEX('⚙️ Assumptions'!$B$40:$F$40,MATCH(YEAR(J3),'⚙️ Assumptions'!$B$38:$F$38,0)),1)&lt;&gt;1,J13/INDEX('💰 Revenue'!$C$14:$BJ14,MATCH(J3,'💰 Revenue'!$C$5:$BJ$5,0)),OFFSET(J14,,-1))</f>
        <v>0.015</v>
      </c>
      <c r="K14" s="61" t="n">
        <f aca="true">IF(_xlfn.IFNA(INDEX('⚙️ Assumptions'!$B$40:$F$40,MATCH(YEAR(K3),'⚙️ Assumptions'!$B$38:$F$38,0)),1)&lt;&gt;1,K13/INDEX('💰 Revenue'!$C$14:$BJ14,MATCH(K3,'💰 Revenue'!$C$5:$BJ$5,0)),OFFSET(K14,,-1))</f>
        <v>0.015</v>
      </c>
      <c r="L14" s="61" t="n">
        <f aca="true">IF(_xlfn.IFNA(INDEX('⚙️ Assumptions'!$B$40:$F$40,MATCH(YEAR(L3),'⚙️ Assumptions'!$B$38:$F$38,0)),1)&lt;&gt;1,L13/INDEX('💰 Revenue'!$C$14:$BJ14,MATCH(L3,'💰 Revenue'!$C$5:$BJ$5,0)),OFFSET(L14,,-1))</f>
        <v>0.015</v>
      </c>
      <c r="M14" s="61" t="n">
        <f aca="true">IF(_xlfn.IFNA(INDEX('⚙️ Assumptions'!$B$40:$F$40,MATCH(YEAR(M3),'⚙️ Assumptions'!$B$38:$F$38,0)),1)&lt;&gt;1,M13/INDEX('💰 Revenue'!$C$14:$BJ14,MATCH(M3,'💰 Revenue'!$C$5:$BJ$5,0)),OFFSET(M14,,-1))</f>
        <v>0.015</v>
      </c>
      <c r="N14" s="61" t="n">
        <f aca="true">IF(_xlfn.IFNA(INDEX('⚙️ Assumptions'!$B$40:$F$40,MATCH(YEAR(N3),'⚙️ Assumptions'!$B$38:$F$38,0)),1)&lt;&gt;1,N13/INDEX('💰 Revenue'!$C$14:$BJ14,MATCH(N3,'💰 Revenue'!$C$5:$BJ$5,0)),OFFSET(N14,,-1))</f>
        <v>0.015</v>
      </c>
      <c r="O14" s="61" t="n">
        <f aca="true">IF(_xlfn.IFNA(INDEX('⚙️ Assumptions'!$B$40:$F$40,MATCH(YEAR(O3),'⚙️ Assumptions'!$B$38:$F$38,0)),1)&lt;&gt;1,O13/INDEX('💰 Revenue'!$C$14:$BJ14,MATCH(O3,'💰 Revenue'!$C$5:$BJ$5,0)),OFFSET(O14,,-1))</f>
        <v>0.015</v>
      </c>
      <c r="P14" s="61" t="n">
        <f aca="true">IF(_xlfn.IFNA(INDEX('⚙️ Assumptions'!$B$40:$F$40,MATCH(YEAR(P3),'⚙️ Assumptions'!$B$38:$F$38,0)),1)&lt;&gt;1,P13/INDEX('💰 Revenue'!$C$14:$BJ14,MATCH(P3,'💰 Revenue'!$C$5:$BJ$5,0)),OFFSET(P14,,-1))</f>
        <v>0.015</v>
      </c>
      <c r="Q14" s="61" t="n">
        <f aca="true">IF(_xlfn.IFNA(INDEX('⚙️ Assumptions'!$B$40:$F$40,MATCH(YEAR(Q3),'⚙️ Assumptions'!$B$38:$F$38,0)),1)&lt;&gt;1,Q13/INDEX('💰 Revenue'!$C$14:$BJ14,MATCH(Q3,'💰 Revenue'!$C$5:$BJ$5,0)),OFFSET(Q14,,-1))</f>
        <v>0.015</v>
      </c>
      <c r="R14" s="61" t="n">
        <f aca="true">IF(_xlfn.IFNA(INDEX('⚙️ Assumptions'!$B$40:$F$40,MATCH(YEAR(R3),'⚙️ Assumptions'!$B$38:$F$38,0)),1)&lt;&gt;1,R13/INDEX('💰 Revenue'!$C$14:$BJ14,MATCH(R3,'💰 Revenue'!$C$5:$BJ$5,0)),OFFSET(R14,,-1))</f>
        <v>0.015</v>
      </c>
      <c r="S14" s="61" t="n">
        <f aca="true">IF(_xlfn.IFNA(INDEX('⚙️ Assumptions'!$B$40:$F$40,MATCH(YEAR(S3),'⚙️ Assumptions'!$B$38:$F$38,0)),1)&lt;&gt;1,S13/INDEX('💰 Revenue'!$C$14:$BJ14,MATCH(S3,'💰 Revenue'!$C$5:$BJ$5,0)),OFFSET(S14,,-1))</f>
        <v>0.015</v>
      </c>
      <c r="T14" s="61" t="n">
        <f aca="true">IF(_xlfn.IFNA(INDEX('⚙️ Assumptions'!$B$40:$F$40,MATCH(YEAR(T3),'⚙️ Assumptions'!$B$38:$F$38,0)),1)&lt;&gt;1,T13/INDEX('💰 Revenue'!$C$14:$BJ14,MATCH(T3,'💰 Revenue'!$C$5:$BJ$5,0)),OFFSET(T14,,-1))</f>
        <v>0.015</v>
      </c>
      <c r="U14" s="61" t="n">
        <f aca="true">IF(_xlfn.IFNA(INDEX('⚙️ Assumptions'!$B$40:$F$40,MATCH(YEAR(U3),'⚙️ Assumptions'!$B$38:$F$38,0)),1)&lt;&gt;1,U13/INDEX('💰 Revenue'!$C$14:$BJ14,MATCH(U3,'💰 Revenue'!$C$5:$BJ$5,0)),OFFSET(U14,,-1))</f>
        <v>0.015</v>
      </c>
      <c r="V14" s="61" t="n">
        <f aca="true">IF(_xlfn.IFNA(INDEX('⚙️ Assumptions'!$B$40:$F$40,MATCH(YEAR(V3),'⚙️ Assumptions'!$B$38:$F$38,0)),1)&lt;&gt;1,V13/INDEX('💰 Revenue'!$C$14:$BJ14,MATCH(V3,'💰 Revenue'!$C$5:$BJ$5,0)),OFFSET(V14,,-1))</f>
        <v>0.015</v>
      </c>
      <c r="W14" s="61" t="n">
        <f aca="true">IF(_xlfn.IFNA(INDEX('⚙️ Assumptions'!$B$40:$F$40,MATCH(YEAR(W3),'⚙️ Assumptions'!$B$38:$F$38,0)),1)&lt;&gt;1,W13/INDEX('💰 Revenue'!$C$14:$BJ14,MATCH(W3,'💰 Revenue'!$C$5:$BJ$5,0)),OFFSET(W14,,-1))</f>
        <v>0.015</v>
      </c>
      <c r="X14" s="61" t="n">
        <f aca="true">IF(_xlfn.IFNA(INDEX('⚙️ Assumptions'!$B$40:$F$40,MATCH(YEAR(X3),'⚙️ Assumptions'!$B$38:$F$38,0)),1)&lt;&gt;1,X13/INDEX('💰 Revenue'!$C$14:$BJ14,MATCH(X3,'💰 Revenue'!$C$5:$BJ$5,0)),OFFSET(X14,,-1))</f>
        <v>0.015</v>
      </c>
      <c r="Y14" s="61" t="n">
        <f aca="true">IF(_xlfn.IFNA(INDEX('⚙️ Assumptions'!$B$40:$F$40,MATCH(YEAR(Y3),'⚙️ Assumptions'!$B$38:$F$38,0)),1)&lt;&gt;1,Y13/INDEX('💰 Revenue'!$C$14:$BJ14,MATCH(Y3,'💰 Revenue'!$C$5:$BJ$5,0)),OFFSET(Y14,,-1))</f>
        <v>0.015</v>
      </c>
      <c r="Z14" s="61" t="n">
        <f aca="true">IF(_xlfn.IFNA(INDEX('⚙️ Assumptions'!$B$40:$F$40,MATCH(YEAR(Z3),'⚙️ Assumptions'!$B$38:$F$38,0)),1)&lt;&gt;1,Z13/INDEX('💰 Revenue'!$C$14:$BJ14,MATCH(Z3,'💰 Revenue'!$C$5:$BJ$5,0)),OFFSET(Z14,,-1))</f>
        <v>0.015</v>
      </c>
      <c r="AA14" s="61" t="n">
        <f aca="true">IF(_xlfn.IFNA(INDEX('⚙️ Assumptions'!$B$40:$F$40,MATCH(YEAR(AA3),'⚙️ Assumptions'!$B$38:$F$38,0)),1)&lt;&gt;1,AA13/INDEX('💰 Revenue'!$C$14:$BJ14,MATCH(AA3,'💰 Revenue'!$C$5:$BJ$5,0)),OFFSET(AA14,,-1))</f>
        <v>0.015</v>
      </c>
      <c r="AB14" s="61" t="n">
        <f aca="true">IF(_xlfn.IFNA(INDEX('⚙️ Assumptions'!$B$40:$F$40,MATCH(YEAR(AB3),'⚙️ Assumptions'!$B$38:$F$38,0)),1)&lt;&gt;1,AB13/INDEX('💰 Revenue'!$C$14:$BJ14,MATCH(AB3,'💰 Revenue'!$C$5:$BJ$5,0)),OFFSET(AB14,,-1))</f>
        <v>0.015</v>
      </c>
      <c r="AC14" s="61" t="n">
        <f aca="true">IF(_xlfn.IFNA(INDEX('⚙️ Assumptions'!$B$40:$F$40,MATCH(YEAR(AC3),'⚙️ Assumptions'!$B$38:$F$38,0)),1)&lt;&gt;1,AC13/INDEX('💰 Revenue'!$C$14:$BJ14,MATCH(AC3,'💰 Revenue'!$C$5:$BJ$5,0)),OFFSET(AC14,,-1))</f>
        <v>0.015</v>
      </c>
      <c r="AD14" s="61" t="n">
        <f aca="true">IF(_xlfn.IFNA(INDEX('⚙️ Assumptions'!$B$40:$F$40,MATCH(YEAR(AD3),'⚙️ Assumptions'!$B$38:$F$38,0)),1)&lt;&gt;1,AD13/INDEX('💰 Revenue'!$C$14:$BJ14,MATCH(AD3,'💰 Revenue'!$C$5:$BJ$5,0)),OFFSET(AD14,,-1))</f>
        <v>0.015</v>
      </c>
      <c r="AE14" s="61" t="n">
        <f aca="true">IF(_xlfn.IFNA(INDEX('⚙️ Assumptions'!$B$40:$F$40,MATCH(YEAR(AE3),'⚙️ Assumptions'!$B$38:$F$38,0)),1)&lt;&gt;1,AE13/INDEX('💰 Revenue'!$C$14:$BJ14,MATCH(AE3,'💰 Revenue'!$C$5:$BJ$5,0)),OFFSET(AE14,,-1))</f>
        <v>0.015</v>
      </c>
      <c r="AF14" s="61" t="n">
        <f aca="true">IF(_xlfn.IFNA(INDEX('⚙️ Assumptions'!$B$40:$F$40,MATCH(YEAR(AF3),'⚙️ Assumptions'!$B$38:$F$38,0)),1)&lt;&gt;1,AF13/INDEX('💰 Revenue'!$C$14:$BJ14,MATCH(AF3,'💰 Revenue'!$C$5:$BJ$5,0)),OFFSET(AF14,,-1))</f>
        <v>0.015</v>
      </c>
      <c r="AG14" s="61" t="n">
        <f aca="true">IF(_xlfn.IFNA(INDEX('⚙️ Assumptions'!$B$40:$F$40,MATCH(YEAR(AG3),'⚙️ Assumptions'!$B$38:$F$38,0)),1)&lt;&gt;1,AG13/INDEX('💰 Revenue'!$C$14:$BJ14,MATCH(AG3,'💰 Revenue'!$C$5:$BJ$5,0)),OFFSET(AG14,,-1))</f>
        <v>0.015</v>
      </c>
      <c r="AH14" s="61" t="n">
        <f aca="true">IF(_xlfn.IFNA(INDEX('⚙️ Assumptions'!$B$40:$F$40,MATCH(YEAR(AH3),'⚙️ Assumptions'!$B$38:$F$38,0)),1)&lt;&gt;1,AH13/INDEX('💰 Revenue'!$C$14:$BJ14,MATCH(AH3,'💰 Revenue'!$C$5:$BJ$5,0)),OFFSET(AH14,,-1))</f>
        <v>0.015</v>
      </c>
      <c r="AI14" s="61" t="n">
        <f aca="true">IF(_xlfn.IFNA(INDEX('⚙️ Assumptions'!$B$40:$F$40,MATCH(YEAR(AI3),'⚙️ Assumptions'!$B$38:$F$38,0)),1)&lt;&gt;1,AI13/INDEX('💰 Revenue'!$C$14:$BJ14,MATCH(AI3,'💰 Revenue'!$C$5:$BJ$5,0)),OFFSET(AI14,,-1))</f>
        <v>0.015</v>
      </c>
      <c r="AJ14" s="61" t="n">
        <f aca="true">IF(_xlfn.IFNA(INDEX('⚙️ Assumptions'!$B$40:$F$40,MATCH(YEAR(AJ3),'⚙️ Assumptions'!$B$38:$F$38,0)),1)&lt;&gt;1,AJ13/INDEX('💰 Revenue'!$C$14:$BJ14,MATCH(AJ3,'💰 Revenue'!$C$5:$BJ$5,0)),OFFSET(AJ14,,-1))</f>
        <v>0.015</v>
      </c>
      <c r="AK14" s="61" t="n">
        <f aca="true">IF(_xlfn.IFNA(INDEX('⚙️ Assumptions'!$B$40:$F$40,MATCH(YEAR(AK3),'⚙️ Assumptions'!$B$38:$F$38,0)),1)&lt;&gt;1,AK13/INDEX('💰 Revenue'!$C$14:$BJ14,MATCH(AK3,'💰 Revenue'!$C$5:$BJ$5,0)),OFFSET(AK14,,-1))</f>
        <v>0.015</v>
      </c>
      <c r="AL14" s="61" t="n">
        <f aca="true">IF(_xlfn.IFNA(INDEX('⚙️ Assumptions'!$B$40:$F$40,MATCH(YEAR(AL3),'⚙️ Assumptions'!$B$38:$F$38,0)),1)&lt;&gt;1,AL13/INDEX('💰 Revenue'!$C$14:$BJ14,MATCH(AL3,'💰 Revenue'!$C$5:$BJ$5,0)),OFFSET(AL14,,-1))</f>
        <v>0.015</v>
      </c>
      <c r="AM14" s="61" t="n">
        <f aca="true">IF(_xlfn.IFNA(INDEX('⚙️ Assumptions'!$B$40:$F$40,MATCH(YEAR(AM3),'⚙️ Assumptions'!$B$38:$F$38,0)),1)&lt;&gt;1,AM13/INDEX('💰 Revenue'!$C$14:$BJ14,MATCH(AM3,'💰 Revenue'!$C$5:$BJ$5,0)),OFFSET(AM14,,-1))</f>
        <v>0.015</v>
      </c>
      <c r="AN14" s="61" t="n">
        <f aca="true">IF(_xlfn.IFNA(INDEX('⚙️ Assumptions'!$B$40:$F$40,MATCH(YEAR(AN3),'⚙️ Assumptions'!$B$38:$F$38,0)),1)&lt;&gt;1,AN13/INDEX('💰 Revenue'!$C$14:$BJ14,MATCH(AN3,'💰 Revenue'!$C$5:$BJ$5,0)),OFFSET(AN14,,-1))</f>
        <v>0.015</v>
      </c>
      <c r="AO14" s="61" t="n">
        <f aca="true">IF(_xlfn.IFNA(INDEX('⚙️ Assumptions'!$B$40:$F$40,MATCH(YEAR(AO3),'⚙️ Assumptions'!$B$38:$F$38,0)),1)&lt;&gt;1,AO13/INDEX('💰 Revenue'!$C$14:$BJ14,MATCH(AO3,'💰 Revenue'!$C$5:$BJ$5,0)),OFFSET(AO14,,-1))</f>
        <v>0.015</v>
      </c>
      <c r="AP14" s="61" t="n">
        <f aca="true">IF(_xlfn.IFNA(INDEX('⚙️ Assumptions'!$B$40:$F$40,MATCH(YEAR(AP3),'⚙️ Assumptions'!$B$38:$F$38,0)),1)&lt;&gt;1,AP13/INDEX('💰 Revenue'!$C$14:$BJ14,MATCH(AP3,'💰 Revenue'!$C$5:$BJ$5,0)),OFFSET(AP14,,-1))</f>
        <v>0.015</v>
      </c>
      <c r="AQ14" s="61" t="n">
        <f aca="true">IF(_xlfn.IFNA(INDEX('⚙️ Assumptions'!$B$40:$F$40,MATCH(YEAR(AQ3),'⚙️ Assumptions'!$B$38:$F$38,0)),1)&lt;&gt;1,AQ13/INDEX('💰 Revenue'!$C$14:$BJ14,MATCH(AQ3,'💰 Revenue'!$C$5:$BJ$5,0)),OFFSET(AQ14,,-1))</f>
        <v>0.015</v>
      </c>
      <c r="AR14" s="61" t="n">
        <f aca="true">IF(_xlfn.IFNA(INDEX('⚙️ Assumptions'!$B$40:$F$40,MATCH(YEAR(AR3),'⚙️ Assumptions'!$B$38:$F$38,0)),1)&lt;&gt;1,AR13/INDEX('💰 Revenue'!$C$14:$BJ14,MATCH(AR3,'💰 Revenue'!$C$5:$BJ$5,0)),OFFSET(AR14,,-1))</f>
        <v>0.015</v>
      </c>
      <c r="AS14" s="61" t="n">
        <f aca="true">IF(_xlfn.IFNA(INDEX('⚙️ Assumptions'!$B$40:$F$40,MATCH(YEAR(AS3),'⚙️ Assumptions'!$B$38:$F$38,0)),1)&lt;&gt;1,AS13/INDEX('💰 Revenue'!$C$14:$BJ14,MATCH(AS3,'💰 Revenue'!$C$5:$BJ$5,0)),OFFSET(AS14,,-1))</f>
        <v>0.015</v>
      </c>
      <c r="AT14" s="61" t="n">
        <f aca="true">IF(_xlfn.IFNA(INDEX('⚙️ Assumptions'!$B$40:$F$40,MATCH(YEAR(AT3),'⚙️ Assumptions'!$B$38:$F$38,0)),1)&lt;&gt;1,AT13/INDEX('💰 Revenue'!$C$14:$BJ14,MATCH(AT3,'💰 Revenue'!$C$5:$BJ$5,0)),OFFSET(AT14,,-1))</f>
        <v>0.015</v>
      </c>
      <c r="AU14" s="61" t="n">
        <f aca="true">IF(_xlfn.IFNA(INDEX('⚙️ Assumptions'!$B$40:$F$40,MATCH(YEAR(AU3),'⚙️ Assumptions'!$B$38:$F$38,0)),1)&lt;&gt;1,AU13/INDEX('💰 Revenue'!$C$14:$BJ14,MATCH(AU3,'💰 Revenue'!$C$5:$BJ$5,0)),OFFSET(AU14,,-1))</f>
        <v>0.015</v>
      </c>
      <c r="AV14" s="61" t="n">
        <f aca="true">IF(_xlfn.IFNA(INDEX('⚙️ Assumptions'!$B$40:$F$40,MATCH(YEAR(AV3),'⚙️ Assumptions'!$B$38:$F$38,0)),1)&lt;&gt;1,AV13/INDEX('💰 Revenue'!$C$14:$BJ14,MATCH(AV3,'💰 Revenue'!$C$5:$BJ$5,0)),OFFSET(AV14,,-1))</f>
        <v>0.015</v>
      </c>
      <c r="AW14" s="61" t="n">
        <f aca="true">IF(_xlfn.IFNA(INDEX('⚙️ Assumptions'!$B$40:$F$40,MATCH(YEAR(AW3),'⚙️ Assumptions'!$B$38:$F$38,0)),1)&lt;&gt;1,AW13/INDEX('💰 Revenue'!$C$14:$BJ14,MATCH(AW3,'💰 Revenue'!$C$5:$BJ$5,0)),OFFSET(AW14,,-1))</f>
        <v>0.015</v>
      </c>
      <c r="AX14" s="61" t="n">
        <f aca="true">IF(_xlfn.IFNA(INDEX('⚙️ Assumptions'!$B$40:$F$40,MATCH(YEAR(AX3),'⚙️ Assumptions'!$B$38:$F$38,0)),1)&lt;&gt;1,AX13/INDEX('💰 Revenue'!$C$14:$BJ14,MATCH(AX3,'💰 Revenue'!$C$5:$BJ$5,0)),OFFSET(AX14,,-1))</f>
        <v>0.015</v>
      </c>
      <c r="AY14" s="61" t="n">
        <f aca="true">IF(_xlfn.IFNA(INDEX('⚙️ Assumptions'!$B$40:$F$40,MATCH(YEAR(AY3),'⚙️ Assumptions'!$B$38:$F$38,0)),1)&lt;&gt;1,AY13/INDEX('💰 Revenue'!$C$14:$BJ14,MATCH(AY3,'💰 Revenue'!$C$5:$BJ$5,0)),OFFSET(AY14,,-1))</f>
        <v>0.015</v>
      </c>
      <c r="AZ14" s="61" t="n">
        <f aca="true">IF(_xlfn.IFNA(INDEX('⚙️ Assumptions'!$B$40:$F$40,MATCH(YEAR(AZ3),'⚙️ Assumptions'!$B$38:$F$38,0)),1)&lt;&gt;1,AZ13/INDEX('💰 Revenue'!$C$14:$BJ14,MATCH(AZ3,'💰 Revenue'!$C$5:$BJ$5,0)),OFFSET(AZ14,,-1))</f>
        <v>0.015</v>
      </c>
      <c r="BA14" s="61" t="n">
        <f aca="true">IF(_xlfn.IFNA(INDEX('⚙️ Assumptions'!$B$40:$F$40,MATCH(YEAR(BA3),'⚙️ Assumptions'!$B$38:$F$38,0)),1)&lt;&gt;1,BA13/INDEX('💰 Revenue'!$C$14:$BJ14,MATCH(BA3,'💰 Revenue'!$C$5:$BJ$5,0)),OFFSET(BA14,,-1))</f>
        <v>0.015</v>
      </c>
      <c r="BB14" s="61" t="n">
        <f aca="true">IF(_xlfn.IFNA(INDEX('⚙️ Assumptions'!$B$40:$F$40,MATCH(YEAR(BB3),'⚙️ Assumptions'!$B$38:$F$38,0)),1)&lt;&gt;1,BB13/INDEX('💰 Revenue'!$C$14:$BJ14,MATCH(BB3,'💰 Revenue'!$C$5:$BJ$5,0)),OFFSET(BB14,,-1))</f>
        <v>0.015</v>
      </c>
      <c r="BC14" s="61" t="n">
        <f aca="true">IF(_xlfn.IFNA(INDEX('⚙️ Assumptions'!$B$40:$F$40,MATCH(YEAR(BC3),'⚙️ Assumptions'!$B$38:$F$38,0)),1)&lt;&gt;1,BC13/INDEX('💰 Revenue'!$C$14:$BJ14,MATCH(BC3,'💰 Revenue'!$C$5:$BJ$5,0)),OFFSET(BC14,,-1))</f>
        <v>0.015</v>
      </c>
      <c r="BD14" s="61" t="n">
        <f aca="true">IF(_xlfn.IFNA(INDEX('⚙️ Assumptions'!$B$40:$F$40,MATCH(YEAR(BD3),'⚙️ Assumptions'!$B$38:$F$38,0)),1)&lt;&gt;1,BD13/INDEX('💰 Revenue'!$C$14:$BJ14,MATCH(BD3,'💰 Revenue'!$C$5:$BJ$5,0)),OFFSET(BD14,,-1))</f>
        <v>0.015</v>
      </c>
      <c r="BE14" s="61" t="n">
        <f aca="true">IF(_xlfn.IFNA(INDEX('⚙️ Assumptions'!$B$40:$F$40,MATCH(YEAR(BE3),'⚙️ Assumptions'!$B$38:$F$38,0)),1)&lt;&gt;1,BE13/INDEX('💰 Revenue'!$C$14:$BJ14,MATCH(BE3,'💰 Revenue'!$C$5:$BJ$5,0)),OFFSET(BE14,,-1))</f>
        <v>0.015</v>
      </c>
      <c r="BF14" s="61" t="n">
        <f aca="true">IF(_xlfn.IFNA(INDEX('⚙️ Assumptions'!$B$40:$F$40,MATCH(YEAR(BF3),'⚙️ Assumptions'!$B$38:$F$38,0)),1)&lt;&gt;1,BF13/INDEX('💰 Revenue'!$C$14:$BJ14,MATCH(BF3,'💰 Revenue'!$C$5:$BJ$5,0)),OFFSET(BF14,,-1))</f>
        <v>0.015</v>
      </c>
      <c r="BG14" s="61" t="n">
        <f aca="true">IF(_xlfn.IFNA(INDEX('⚙️ Assumptions'!$B$40:$F$40,MATCH(YEAR(BG3),'⚙️ Assumptions'!$B$38:$F$38,0)),1)&lt;&gt;1,BG13/INDEX('💰 Revenue'!$C$14:$BJ14,MATCH(BG3,'💰 Revenue'!$C$5:$BJ$5,0)),OFFSET(BG14,,-1))</f>
        <v>0.015</v>
      </c>
      <c r="BH14" s="61" t="n">
        <f aca="true">IF(_xlfn.IFNA(INDEX('⚙️ Assumptions'!$B$40:$F$40,MATCH(YEAR(BH3),'⚙️ Assumptions'!$B$38:$F$38,0)),1)&lt;&gt;1,BH13/INDEX('💰 Revenue'!$C$14:$BJ14,MATCH(BH3,'💰 Revenue'!$C$5:$BJ$5,0)),OFFSET(BH14,,-1))</f>
        <v>0.015</v>
      </c>
      <c r="BI14" s="61" t="n">
        <f aca="true">IF(_xlfn.IFNA(INDEX('⚙️ Assumptions'!$B$40:$F$40,MATCH(YEAR(BI3),'⚙️ Assumptions'!$B$38:$F$38,0)),1)&lt;&gt;1,BI13/INDEX('💰 Revenue'!$C$14:$BJ14,MATCH(BI3,'💰 Revenue'!$C$5:$BJ$5,0)),OFFSET(BI14,,-1))</f>
        <v>0.015</v>
      </c>
      <c r="BJ14" s="61" t="n">
        <f aca="true">IF(_xlfn.IFNA(INDEX('⚙️ Assumptions'!$B$40:$F$40,MATCH(YEAR(BJ3),'⚙️ Assumptions'!$B$38:$F$38,0)),1)&lt;&gt;1,BJ13/INDEX('💰 Revenue'!$C$14:$BJ14,MATCH(BJ3,'💰 Revenue'!$C$5:$BJ$5,0)),OFFSET(BJ14,,-1))</f>
        <v>0.015</v>
      </c>
    </row>
    <row r="15" customFormat="false" ht="13.5" hidden="false" customHeight="true" outlineLevel="0" collapsed="false">
      <c r="A15" s="37" t="s">
        <v>266</v>
      </c>
      <c r="B15" s="68" t="n">
        <f aca="false">SUM(C15:AL15)</f>
        <v>312983437.5</v>
      </c>
      <c r="C15" s="64" t="n">
        <f aca="false">_xlfn.LET(
_xlpm.Maintainance_ratio,_xlfn.IFNA(INDEX('⚙️ Assumptions'!$B$42:$F$42,MATCH(YEAR(C3),'⚙️ Assumptions'!$B$38:F$38,0)),OFFSET(C16,,-1)),
_xlpm.rev,INDEX('💰 Revenue'!$C$14:$BJ$14,MATCH(C3,'💰 Revenue'!$C$5:$BJ$5,0)),
_xlpm.Maintainance_ratio*_xlpm.rev)</f>
        <v>0</v>
      </c>
      <c r="D15" s="64" t="n">
        <f aca="false">_xlfn.LET(_xlpm.Maintainance_ratio,_xlfn.IFNA(INDEX('⚙️ Assumptions'!$B$42:$F$42,MATCH(YEAR(D3),'⚙️ Assumptions'!$B$38:G$38,0)),OFFSET(D16,,-1)),_xlpm.rev,INDEX('💰 Revenue'!$C$14:$BJ$14,MATCH(D3,'💰 Revenue'!$C$5:$BJ$5,0)),_xlpm.Maintainance_ratio*_xlpm.rev)</f>
        <v>0</v>
      </c>
      <c r="E15" s="61" t="n">
        <f aca="false">_xlfn.LET(_xlpm.Maintainance_ratio,_xlfn.IFNA(INDEX('⚙️ Assumptions'!$B$42:$F$42,MATCH(YEAR(E3),'⚙️ Assumptions'!$B$38:H$38,0)),OFFSET(E16,,-1)),_xlpm.rev,INDEX('💰 Revenue'!$C$14:$BJ$14,MATCH(E3,'💰 Revenue'!$C$5:$BJ$5,0)),_xlpm.Maintainance_ratio*_xlpm.rev)</f>
        <v>1883250</v>
      </c>
      <c r="F15" s="61" t="n">
        <f aca="false">_xlfn.LET(_xlpm.Maintainance_ratio,_xlfn.IFNA(INDEX('⚙️ Assumptions'!$B$42:$F$42,MATCH(YEAR(F3),'⚙️ Assumptions'!$B$38:I$38,0)),OFFSET(F16,,-1)),_xlpm.rev,INDEX('💰 Revenue'!$C$14:$BJ$14,MATCH(F3,'💰 Revenue'!$C$5:$BJ$5,0)),_xlpm.Maintainance_ratio*_xlpm.rev)</f>
        <v>2511000</v>
      </c>
      <c r="G15" s="61" t="n">
        <f aca="false">_xlfn.LET(_xlpm.Maintainance_ratio,_xlfn.IFNA(INDEX('⚙️ Assumptions'!$B$42:$F$42,MATCH(YEAR(G3),'⚙️ Assumptions'!$B$38:J$38,0)),OFFSET(G16,,-1)),_xlpm.rev,INDEX('💰 Revenue'!$C$14:$BJ$14,MATCH(G3,'💰 Revenue'!$C$5:$BJ$5,0)),_xlpm.Maintainance_ratio*_xlpm.rev)</f>
        <v>1941187.5</v>
      </c>
      <c r="H15" s="61" t="n">
        <f aca="false">_xlfn.LET(_xlpm.Maintainance_ratio,_xlfn.IFNA(INDEX('⚙️ Assumptions'!$B$42:$F$42,MATCH(YEAR(H3),'⚙️ Assumptions'!$B$38:K$38,0)),OFFSET(H16,,-1)),_xlpm.rev,INDEX('💰 Revenue'!$C$14:$BJ$14,MATCH(H3,'💰 Revenue'!$C$5:$BJ$5,0)),_xlpm.Maintainance_ratio*_xlpm.rev)</f>
        <v>2650500</v>
      </c>
      <c r="I15" s="61" t="n">
        <f aca="false">_xlfn.LET(_xlpm.Maintainance_ratio,_xlfn.IFNA(INDEX('⚙️ Assumptions'!$B$42:$F$42,MATCH(YEAR(I3),'⚙️ Assumptions'!$B$38:L$38,0)),OFFSET(I16,,-1)),_xlpm.rev,INDEX('💰 Revenue'!$C$14:$BJ$14,MATCH(I3,'💰 Revenue'!$C$5:$BJ$5,0)),_xlpm.Maintainance_ratio*_xlpm.rev)</f>
        <v>3493125</v>
      </c>
      <c r="J15" s="61" t="n">
        <f aca="false">_xlfn.LET(_xlpm.Maintainance_ratio,_xlfn.IFNA(INDEX('⚙️ Assumptions'!$B$42:$F$42,MATCH(YEAR(J3),'⚙️ Assumptions'!$B$38:M$38,0)),OFFSET(J16,,-1)),_xlpm.rev,INDEX('💰 Revenue'!$C$14:$BJ$14,MATCH(J3,'💰 Revenue'!$C$5:$BJ$5,0)),_xlpm.Maintainance_ratio*_xlpm.rev)</f>
        <v>3661875</v>
      </c>
      <c r="K15" s="61" t="n">
        <f aca="false">_xlfn.LET(_xlpm.Maintainance_ratio,_xlfn.IFNA(INDEX('⚙️ Assumptions'!$B$42:$F$42,MATCH(YEAR(K3),'⚙️ Assumptions'!$B$38:N$38,0)),OFFSET(K16,,-1)),_xlpm.rev,INDEX('💰 Revenue'!$C$14:$BJ$14,MATCH(K3,'💰 Revenue'!$C$5:$BJ$5,0)),_xlpm.Maintainance_ratio*_xlpm.rev)</f>
        <v>4050000</v>
      </c>
      <c r="L15" s="61" t="n">
        <f aca="false">_xlfn.LET(_xlpm.Maintainance_ratio,_xlfn.IFNA(INDEX('⚙️ Assumptions'!$B$42:$F$42,MATCH(YEAR(L3),'⚙️ Assumptions'!$B$38:O$38,0)),OFFSET(L16,,-1)),_xlpm.rev,INDEX('💰 Revenue'!$C$14:$BJ$14,MATCH(L3,'💰 Revenue'!$C$5:$BJ$5,0)),_xlpm.Maintainance_ratio*_xlpm.rev)</f>
        <v>4010625</v>
      </c>
      <c r="M15" s="61" t="n">
        <f aca="false">_xlfn.LET(_xlpm.Maintainance_ratio,_xlfn.IFNA(INDEX('⚙️ Assumptions'!$B$42:$F$42,MATCH(YEAR(M3),'⚙️ Assumptions'!$B$38:P$38,0)),OFFSET(M16,,-1)),_xlpm.rev,INDEX('💰 Revenue'!$C$14:$BJ$14,MATCH(M3,'💰 Revenue'!$C$5:$BJ$5,0)),_xlpm.Maintainance_ratio*_xlpm.rev)</f>
        <v>3487500</v>
      </c>
      <c r="N15" s="61" t="n">
        <f aca="false">_xlfn.LET(_xlpm.Maintainance_ratio,_xlfn.IFNA(INDEX('⚙️ Assumptions'!$B$42:$F$42,MATCH(YEAR(N3),'⚙️ Assumptions'!$B$38:Q$38,0)),OFFSET(N16,,-1)),_xlpm.rev,INDEX('💰 Revenue'!$C$14:$BJ$14,MATCH(N3,'💰 Revenue'!$C$5:$BJ$5,0)),_xlpm.Maintainance_ratio*_xlpm.rev)</f>
        <v>3206250</v>
      </c>
      <c r="O15" s="61" t="n">
        <f aca="false">_xlfn.LET(_xlpm.Maintainance_ratio,_xlfn.IFNA(INDEX('⚙️ Assumptions'!$B$42:$F$42,MATCH(YEAR(O3),'⚙️ Assumptions'!$B$38:R$38,0)),OFFSET(O16,,-1)),_xlpm.rev,INDEX('💰 Revenue'!$C$14:$BJ$14,MATCH(O3,'💰 Revenue'!$C$5:$BJ$5,0)),_xlpm.Maintainance_ratio*_xlpm.rev)</f>
        <v>3313125</v>
      </c>
      <c r="P15" s="61" t="n">
        <f aca="false">_xlfn.LET(_xlpm.Maintainance_ratio,_xlfn.IFNA(INDEX('⚙️ Assumptions'!$B$42:$F$42,MATCH(YEAR(P3),'⚙️ Assumptions'!$B$38:S$38,0)),OFFSET(P16,,-1)),_xlpm.rev,INDEX('💰 Revenue'!$C$14:$BJ$14,MATCH(P3,'💰 Revenue'!$C$5:$BJ$5,0)),_xlpm.Maintainance_ratio*_xlpm.rev)</f>
        <v>3543750</v>
      </c>
      <c r="Q15" s="61" t="n">
        <f aca="false">_xlfn.LET(_xlpm.Maintainance_ratio,_xlfn.IFNA(INDEX('⚙️ Assumptions'!$B$42:$F$42,MATCH(YEAR(Q3),'⚙️ Assumptions'!$B$38:T$38,0)),OFFSET(Q16,,-1)),_xlpm.rev,INDEX('💰 Revenue'!$C$14:$BJ$14,MATCH(Q3,'💰 Revenue'!$C$5:$BJ$5,0)),_xlpm.Maintainance_ratio*_xlpm.rev)</f>
        <v>4185000</v>
      </c>
      <c r="R15" s="61" t="n">
        <f aca="false">_xlfn.LET(_xlpm.Maintainance_ratio,_xlfn.IFNA(INDEX('⚙️ Assumptions'!$B$42:$F$42,MATCH(YEAR(R3),'⚙️ Assumptions'!$B$38:U$38,0)),OFFSET(R16,,-1)),_xlpm.rev,INDEX('💰 Revenue'!$C$14:$BJ$14,MATCH(R3,'💰 Revenue'!$C$5:$BJ$5,0)),_xlpm.Maintainance_ratio*_xlpm.rev)</f>
        <v>12555000</v>
      </c>
      <c r="S15" s="61" t="n">
        <f aca="false">_xlfn.LET(_xlpm.Maintainance_ratio,_xlfn.IFNA(INDEX('⚙️ Assumptions'!$B$42:$F$42,MATCH(YEAR(S3),'⚙️ Assumptions'!$B$38:V$38,0)),OFFSET(S16,,-1)),_xlpm.rev,INDEX('💰 Revenue'!$C$14:$BJ$14,MATCH(S3,'💰 Revenue'!$C$5:$BJ$5,0)),_xlpm.Maintainance_ratio*_xlpm.rev)</f>
        <v>9639000</v>
      </c>
      <c r="T15" s="61" t="n">
        <f aca="false">_xlfn.LET(_xlpm.Maintainance_ratio,_xlfn.IFNA(INDEX('⚙️ Assumptions'!$B$42:$F$42,MATCH(YEAR(T3),'⚙️ Assumptions'!$B$38:W$38,0)),OFFSET(T16,,-1)),_xlpm.rev,INDEX('💰 Revenue'!$C$14:$BJ$14,MATCH(T3,'💰 Revenue'!$C$5:$BJ$5,0)),_xlpm.Maintainance_ratio*_xlpm.rev)</f>
        <v>11927250</v>
      </c>
      <c r="U15" s="61" t="n">
        <f aca="false">_xlfn.LET(_xlpm.Maintainance_ratio,_xlfn.IFNA(INDEX('⚙️ Assumptions'!$B$42:$F$42,MATCH(YEAR(U3),'⚙️ Assumptions'!$B$38:X$38,0)),OFFSET(U16,,-1)),_xlpm.rev,INDEX('💰 Revenue'!$C$14:$BJ$14,MATCH(U3,'💰 Revenue'!$C$5:$BJ$5,0)),_xlpm.Maintainance_ratio*_xlpm.rev)</f>
        <v>13972500</v>
      </c>
      <c r="V15" s="61" t="n">
        <f aca="false">_xlfn.LET(_xlpm.Maintainance_ratio,_xlfn.IFNA(INDEX('⚙️ Assumptions'!$B$42:$F$42,MATCH(YEAR(V3),'⚙️ Assumptions'!$B$38:Y$38,0)),OFFSET(V16,,-1)),_xlpm.rev,INDEX('💰 Revenue'!$C$14:$BJ$14,MATCH(V3,'💰 Revenue'!$C$5:$BJ$5,0)),_xlpm.Maintainance_ratio*_xlpm.rev)</f>
        <v>13182750</v>
      </c>
      <c r="W15" s="61" t="n">
        <f aca="false">_xlfn.LET(_xlpm.Maintainance_ratio,_xlfn.IFNA(INDEX('⚙️ Assumptions'!$B$42:$F$42,MATCH(YEAR(W3),'⚙️ Assumptions'!$B$38:Z$38,0)),OFFSET(W16,,-1)),_xlpm.rev,INDEX('💰 Revenue'!$C$14:$BJ$14,MATCH(W3,'💰 Revenue'!$C$5:$BJ$5,0)),_xlpm.Maintainance_ratio*_xlpm.rev)</f>
        <v>14580000</v>
      </c>
      <c r="X15" s="61" t="n">
        <f aca="false">_xlfn.LET(_xlpm.Maintainance_ratio,_xlfn.IFNA(INDEX('⚙️ Assumptions'!$B$42:$F$42,MATCH(YEAR(X3),'⚙️ Assumptions'!$B$38:AA$38,0)),OFFSET(X16,,-1)),_xlpm.rev,INDEX('💰 Revenue'!$C$14:$BJ$14,MATCH(X3,'💰 Revenue'!$C$5:$BJ$5,0)),_xlpm.Maintainance_ratio*_xlpm.rev)</f>
        <v>14438250</v>
      </c>
      <c r="Y15" s="61" t="n">
        <f aca="false">_xlfn.LET(_xlpm.Maintainance_ratio,_xlfn.IFNA(INDEX('⚙️ Assumptions'!$B$42:$F$42,MATCH(YEAR(Y3),'⚙️ Assumptions'!$B$38:AB$38,0)),OFFSET(Y16,,-1)),_xlpm.rev,INDEX('💰 Revenue'!$C$14:$BJ$14,MATCH(Y3,'💰 Revenue'!$C$5:$BJ$5,0)),_xlpm.Maintainance_ratio*_xlpm.rev)</f>
        <v>12555000</v>
      </c>
      <c r="Z15" s="61" t="n">
        <f aca="false">_xlfn.LET(_xlpm.Maintainance_ratio,_xlfn.IFNA(INDEX('⚙️ Assumptions'!$B$42:$F$42,MATCH(YEAR(Z3),'⚙️ Assumptions'!$B$38:AC$38,0)),OFFSET(Z16,,-1)),_xlpm.rev,INDEX('💰 Revenue'!$C$14:$BJ$14,MATCH(Z3,'💰 Revenue'!$C$5:$BJ$5,0)),_xlpm.Maintainance_ratio*_xlpm.rev)</f>
        <v>11542500</v>
      </c>
      <c r="AA15" s="61" t="n">
        <f aca="false">_xlfn.LET(_xlpm.Maintainance_ratio,_xlfn.IFNA(INDEX('⚙️ Assumptions'!$B$42:$F$42,MATCH(YEAR(AA3),'⚙️ Assumptions'!$B$38:AD$38,0)),OFFSET(AA16,,-1)),_xlpm.rev,INDEX('💰 Revenue'!$C$14:$BJ$14,MATCH(AA3,'💰 Revenue'!$C$5:$BJ$5,0)),_xlpm.Maintainance_ratio*_xlpm.rev)</f>
        <v>11927250</v>
      </c>
      <c r="AB15" s="61" t="n">
        <f aca="false">_xlfn.LET(_xlpm.Maintainance_ratio,_xlfn.IFNA(INDEX('⚙️ Assumptions'!$B$42:$F$42,MATCH(YEAR(AB3),'⚙️ Assumptions'!$B$38:AE$38,0)),OFFSET(AB16,,-1)),_xlpm.rev,INDEX('💰 Revenue'!$C$14:$BJ$14,MATCH(AB3,'💰 Revenue'!$C$5:$BJ$5,0)),_xlpm.Maintainance_ratio*_xlpm.rev)</f>
        <v>12757500</v>
      </c>
      <c r="AC15" s="61" t="n">
        <f aca="false">_xlfn.LET(_xlpm.Maintainance_ratio,_xlfn.IFNA(INDEX('⚙️ Assumptions'!$B$42:$F$42,MATCH(YEAR(AC3),'⚙️ Assumptions'!$B$38:AF$38,0)),OFFSET(AC16,,-1)),_xlpm.rev,INDEX('💰 Revenue'!$C$14:$BJ$14,MATCH(AC3,'💰 Revenue'!$C$5:$BJ$5,0)),_xlpm.Maintainance_ratio*_xlpm.rev)</f>
        <v>15066000</v>
      </c>
      <c r="AD15" s="61" t="n">
        <f aca="false">_xlfn.LET(_xlpm.Maintainance_ratio,_xlfn.IFNA(INDEX('⚙️ Assumptions'!$B$42:$F$42,MATCH(YEAR(AD3),'⚙️ Assumptions'!$B$38:AG$38,0)),OFFSET(AD16,,-1)),_xlpm.rev,INDEX('💰 Revenue'!$C$14:$BJ$14,MATCH(AD3,'💰 Revenue'!$C$5:$BJ$5,0)),_xlpm.Maintainance_ratio*_xlpm.rev)</f>
        <v>15066000</v>
      </c>
      <c r="AE15" s="61" t="n">
        <f aca="false">_xlfn.LET(_xlpm.Maintainance_ratio,_xlfn.IFNA(INDEX('⚙️ Assumptions'!$B$42:$F$42,MATCH(YEAR(AE3),'⚙️ Assumptions'!$B$38:AH$38,0)),OFFSET(AE16,,-1)),_xlpm.rev,INDEX('💰 Revenue'!$C$14:$BJ$14,MATCH(AE3,'💰 Revenue'!$C$5:$BJ$5,0)),_xlpm.Maintainance_ratio*_xlpm.rev)</f>
        <v>9639000</v>
      </c>
      <c r="AF15" s="61" t="n">
        <f aca="false">_xlfn.LET(_xlpm.Maintainance_ratio,_xlfn.IFNA(INDEX('⚙️ Assumptions'!$B$42:$F$42,MATCH(YEAR(AF3),'⚙️ Assumptions'!$B$38:AI$38,0)),OFFSET(AF16,,-1)),_xlpm.rev,INDEX('💰 Revenue'!$C$14:$BJ$14,MATCH(AF3,'💰 Revenue'!$C$5:$BJ$5,0)),_xlpm.Maintainance_ratio*_xlpm.rev)</f>
        <v>11927250</v>
      </c>
      <c r="AG15" s="61" t="n">
        <f aca="false">_xlfn.LET(_xlpm.Maintainance_ratio,_xlfn.IFNA(INDEX('⚙️ Assumptions'!$B$42:$F$42,MATCH(YEAR(AG3),'⚙️ Assumptions'!$B$38:AJ$38,0)),OFFSET(AG16,,-1)),_xlpm.rev,INDEX('💰 Revenue'!$C$14:$BJ$14,MATCH(AG3,'💰 Revenue'!$C$5:$BJ$5,0)),_xlpm.Maintainance_ratio*_xlpm.rev)</f>
        <v>13972500</v>
      </c>
      <c r="AH15" s="61" t="n">
        <f aca="false">_xlfn.LET(_xlpm.Maintainance_ratio,_xlfn.IFNA(INDEX('⚙️ Assumptions'!$B$42:$F$42,MATCH(YEAR(AH3),'⚙️ Assumptions'!$B$38:AK$38,0)),OFFSET(AH16,,-1)),_xlpm.rev,INDEX('💰 Revenue'!$C$14:$BJ$14,MATCH(AH3,'💰 Revenue'!$C$5:$BJ$5,0)),_xlpm.Maintainance_ratio*_xlpm.rev)</f>
        <v>13182750</v>
      </c>
      <c r="AI15" s="61" t="n">
        <f aca="false">_xlfn.LET(_xlpm.Maintainance_ratio,_xlfn.IFNA(INDEX('⚙️ Assumptions'!$B$42:$F$42,MATCH(YEAR(AI3),'⚙️ Assumptions'!$B$38:AL$38,0)),OFFSET(AI16,,-1)),_xlpm.rev,INDEX('💰 Revenue'!$C$14:$BJ$14,MATCH(AI3,'💰 Revenue'!$C$5:$BJ$5,0)),_xlpm.Maintainance_ratio*_xlpm.rev)</f>
        <v>14580000</v>
      </c>
      <c r="AJ15" s="61" t="n">
        <f aca="false">_xlfn.LET(_xlpm.Maintainance_ratio,_xlfn.IFNA(INDEX('⚙️ Assumptions'!$B$42:$F$42,MATCH(YEAR(AJ3),'⚙️ Assumptions'!$B$38:AM$38,0)),OFFSET(AJ16,,-1)),_xlpm.rev,INDEX('💰 Revenue'!$C$14:$BJ$14,MATCH(AJ3,'💰 Revenue'!$C$5:$BJ$5,0)),_xlpm.Maintainance_ratio*_xlpm.rev)</f>
        <v>14438250</v>
      </c>
      <c r="AK15" s="61" t="n">
        <f aca="false">_xlfn.LET(_xlpm.Maintainance_ratio,_xlfn.IFNA(INDEX('⚙️ Assumptions'!$B$42:$F$42,MATCH(YEAR(AK3),'⚙️ Assumptions'!$B$38:AN$38,0)),OFFSET(AK16,,-1)),_xlpm.rev,INDEX('💰 Revenue'!$C$14:$BJ$14,MATCH(AK3,'💰 Revenue'!$C$5:$BJ$5,0)),_xlpm.Maintainance_ratio*_xlpm.rev)</f>
        <v>12555000</v>
      </c>
      <c r="AL15" s="61" t="n">
        <f aca="false">_xlfn.LET(_xlpm.Maintainance_ratio,_xlfn.IFNA(INDEX('⚙️ Assumptions'!$B$42:$F$42,MATCH(YEAR(AL3),'⚙️ Assumptions'!$B$38:AO$38,0)),OFFSET(AL16,,-1)),_xlpm.rev,INDEX('💰 Revenue'!$C$14:$BJ$14,MATCH(AL3,'💰 Revenue'!$C$5:$BJ$5,0)),_xlpm.Maintainance_ratio*_xlpm.rev)</f>
        <v>11542500</v>
      </c>
      <c r="AM15" s="61" t="n">
        <f aca="false">_xlfn.LET(_xlpm.Maintainance_ratio,_xlfn.IFNA(INDEX('⚙️ Assumptions'!$B$42:$F$42,MATCH(YEAR(AM3),'⚙️ Assumptions'!$B$38:AP$38,0)),OFFSET(AM16,,-1)),_xlpm.rev,INDEX('💰 Revenue'!$C$14:$BJ$14,MATCH(AM3,'💰 Revenue'!$C$5:$BJ$5,0)),_xlpm.Maintainance_ratio*_xlpm.rev)</f>
        <v>11927250</v>
      </c>
      <c r="AN15" s="61" t="n">
        <f aca="false">_xlfn.LET(_xlpm.Maintainance_ratio,_xlfn.IFNA(INDEX('⚙️ Assumptions'!$B$42:$F$42,MATCH(YEAR(AN3),'⚙️ Assumptions'!$B$38:AQ$38,0)),OFFSET(AN16,,-1)),_xlpm.rev,INDEX('💰 Revenue'!$C$14:$BJ$14,MATCH(AN3,'💰 Revenue'!$C$5:$BJ$5,0)),_xlpm.Maintainance_ratio*_xlpm.rev)</f>
        <v>12757500</v>
      </c>
      <c r="AO15" s="61" t="n">
        <f aca="false">_xlfn.LET(_xlpm.Maintainance_ratio,_xlfn.IFNA(INDEX('⚙️ Assumptions'!$B$42:$F$42,MATCH(YEAR(AO3),'⚙️ Assumptions'!$B$38:AR$38,0)),OFFSET(AO16,,-1)),_xlpm.rev,INDEX('💰 Revenue'!$C$14:$BJ$14,MATCH(AO3,'💰 Revenue'!$C$5:$BJ$5,0)),_xlpm.Maintainance_ratio*_xlpm.rev)</f>
        <v>15066000</v>
      </c>
      <c r="AP15" s="61" t="n">
        <f aca="false">_xlfn.LET(_xlpm.Maintainance_ratio,_xlfn.IFNA(INDEX('⚙️ Assumptions'!$B$42:$F$42,MATCH(YEAR(AP3),'⚙️ Assumptions'!$B$38:AS$38,0)),OFFSET(AP16,,-1)),_xlpm.rev,INDEX('💰 Revenue'!$C$14:$BJ$14,MATCH(AP3,'💰 Revenue'!$C$5:$BJ$5,0)),_xlpm.Maintainance_ratio*_xlpm.rev)</f>
        <v>20088000</v>
      </c>
      <c r="AQ15" s="61" t="n">
        <f aca="false">_xlfn.LET(_xlpm.Maintainance_ratio,_xlfn.IFNA(INDEX('⚙️ Assumptions'!$B$42:$F$42,MATCH(YEAR(AQ3),'⚙️ Assumptions'!$B$38:AT$38,0)),OFFSET(AQ16,,-1)),_xlpm.rev,INDEX('💰 Revenue'!$C$14:$BJ$14,MATCH(AQ3,'💰 Revenue'!$C$5:$BJ$5,0)),_xlpm.Maintainance_ratio*_xlpm.rev)</f>
        <v>12852000</v>
      </c>
      <c r="AR15" s="61" t="n">
        <f aca="false">_xlfn.LET(_xlpm.Maintainance_ratio,_xlfn.IFNA(INDEX('⚙️ Assumptions'!$B$42:$F$42,MATCH(YEAR(AR3),'⚙️ Assumptions'!$B$38:AU$38,0)),OFFSET(AR16,,-1)),_xlpm.rev,INDEX('💰 Revenue'!$C$14:$BJ$14,MATCH(AR3,'💰 Revenue'!$C$5:$BJ$5,0)),_xlpm.Maintainance_ratio*_xlpm.rev)</f>
        <v>15903000</v>
      </c>
      <c r="AS15" s="61" t="n">
        <f aca="false">_xlfn.LET(_xlpm.Maintainance_ratio,_xlfn.IFNA(INDEX('⚙️ Assumptions'!$B$42:$F$42,MATCH(YEAR(AS3),'⚙️ Assumptions'!$B$38:AV$38,0)),OFFSET(AS16,,-1)),_xlpm.rev,INDEX('💰 Revenue'!$C$14:$BJ$14,MATCH(AS3,'💰 Revenue'!$C$5:$BJ$5,0)),_xlpm.Maintainance_ratio*_xlpm.rev)</f>
        <v>18630000</v>
      </c>
      <c r="AT15" s="61" t="n">
        <f aca="false">_xlfn.LET(_xlpm.Maintainance_ratio,_xlfn.IFNA(INDEX('⚙️ Assumptions'!$B$42:$F$42,MATCH(YEAR(AT3),'⚙️ Assumptions'!$B$38:AW$38,0)),OFFSET(AT16,,-1)),_xlpm.rev,INDEX('💰 Revenue'!$C$14:$BJ$14,MATCH(AT3,'💰 Revenue'!$C$5:$BJ$5,0)),_xlpm.Maintainance_ratio*_xlpm.rev)</f>
        <v>17577000</v>
      </c>
      <c r="AU15" s="61" t="n">
        <f aca="false">_xlfn.LET(_xlpm.Maintainance_ratio,_xlfn.IFNA(INDEX('⚙️ Assumptions'!$B$42:$F$42,MATCH(YEAR(AU3),'⚙️ Assumptions'!$B$38:AX$38,0)),OFFSET(AU16,,-1)),_xlpm.rev,INDEX('💰 Revenue'!$C$14:$BJ$14,MATCH(AU3,'💰 Revenue'!$C$5:$BJ$5,0)),_xlpm.Maintainance_ratio*_xlpm.rev)</f>
        <v>19440000</v>
      </c>
      <c r="AV15" s="61" t="n">
        <f aca="false">_xlfn.LET(_xlpm.Maintainance_ratio,_xlfn.IFNA(INDEX('⚙️ Assumptions'!$B$42:$F$42,MATCH(YEAR(AV3),'⚙️ Assumptions'!$B$38:AY$38,0)),OFFSET(AV16,,-1)),_xlpm.rev,INDEX('💰 Revenue'!$C$14:$BJ$14,MATCH(AV3,'💰 Revenue'!$C$5:$BJ$5,0)),_xlpm.Maintainance_ratio*_xlpm.rev)</f>
        <v>19251000</v>
      </c>
      <c r="AW15" s="61" t="n">
        <f aca="false">_xlfn.LET(_xlpm.Maintainance_ratio,_xlfn.IFNA(INDEX('⚙️ Assumptions'!$B$42:$F$42,MATCH(YEAR(AW3),'⚙️ Assumptions'!$B$38:AZ$38,0)),OFFSET(AW16,,-1)),_xlpm.rev,INDEX('💰 Revenue'!$C$14:$BJ$14,MATCH(AW3,'💰 Revenue'!$C$5:$BJ$5,0)),_xlpm.Maintainance_ratio*_xlpm.rev)</f>
        <v>16740000</v>
      </c>
      <c r="AX15" s="61" t="n">
        <f aca="false">_xlfn.LET(_xlpm.Maintainance_ratio,_xlfn.IFNA(INDEX('⚙️ Assumptions'!$B$42:$F$42,MATCH(YEAR(AX3),'⚙️ Assumptions'!$B$38:BA$38,0)),OFFSET(AX16,,-1)),_xlpm.rev,INDEX('💰 Revenue'!$C$14:$BJ$14,MATCH(AX3,'💰 Revenue'!$C$5:$BJ$5,0)),_xlpm.Maintainance_ratio*_xlpm.rev)</f>
        <v>15390000</v>
      </c>
      <c r="AY15" s="61" t="n">
        <f aca="false">_xlfn.LET(_xlpm.Maintainance_ratio,_xlfn.IFNA(INDEX('⚙️ Assumptions'!$B$42:$F$42,MATCH(YEAR(AY3),'⚙️ Assumptions'!$B$38:BB$38,0)),OFFSET(AY16,,-1)),_xlpm.rev,INDEX('💰 Revenue'!$C$14:$BJ$14,MATCH(AY3,'💰 Revenue'!$C$5:$BJ$5,0)),_xlpm.Maintainance_ratio*_xlpm.rev)</f>
        <v>15903000</v>
      </c>
      <c r="AZ15" s="61" t="n">
        <f aca="false">_xlfn.LET(_xlpm.Maintainance_ratio,_xlfn.IFNA(INDEX('⚙️ Assumptions'!$B$42:$F$42,MATCH(YEAR(AZ3),'⚙️ Assumptions'!$B$38:BC$38,0)),OFFSET(AZ16,,-1)),_xlpm.rev,INDEX('💰 Revenue'!$C$14:$BJ$14,MATCH(AZ3,'💰 Revenue'!$C$5:$BJ$5,0)),_xlpm.Maintainance_ratio*_xlpm.rev)</f>
        <v>17010000</v>
      </c>
      <c r="BA15" s="61" t="n">
        <f aca="false">_xlfn.LET(_xlpm.Maintainance_ratio,_xlfn.IFNA(INDEX('⚙️ Assumptions'!$B$42:$F$42,MATCH(YEAR(BA3),'⚙️ Assumptions'!$B$38:BD$38,0)),OFFSET(BA16,,-1)),_xlpm.rev,INDEX('💰 Revenue'!$C$14:$BJ$14,MATCH(BA3,'💰 Revenue'!$C$5:$BJ$5,0)),_xlpm.Maintainance_ratio*_xlpm.rev)</f>
        <v>20088000</v>
      </c>
      <c r="BB15" s="61" t="n">
        <f aca="false">_xlfn.LET(_xlpm.Maintainance_ratio,_xlfn.IFNA(INDEX('⚙️ Assumptions'!$B$42:$F$42,MATCH(YEAR(BB3),'⚙️ Assumptions'!$B$38:BE$38,0)),OFFSET(BB16,,-1)),_xlpm.rev,INDEX('💰 Revenue'!$C$14:$BJ$14,MATCH(BB3,'💰 Revenue'!$C$5:$BJ$5,0)),_xlpm.Maintainance_ratio*_xlpm.rev)</f>
        <v>20088000</v>
      </c>
      <c r="BC15" s="61" t="n">
        <f aca="false">_xlfn.LET(_xlpm.Maintainance_ratio,_xlfn.IFNA(INDEX('⚙️ Assumptions'!$B$42:$F$42,MATCH(YEAR(BC3),'⚙️ Assumptions'!$B$38:BF$38,0)),OFFSET(BC16,,-1)),_xlpm.rev,INDEX('💰 Revenue'!$C$14:$BJ$14,MATCH(BC3,'💰 Revenue'!$C$5:$BJ$5,0)),_xlpm.Maintainance_ratio*_xlpm.rev)</f>
        <v>13311000</v>
      </c>
      <c r="BD15" s="61" t="n">
        <f aca="false">_xlfn.LET(_xlpm.Maintainance_ratio,_xlfn.IFNA(INDEX('⚙️ Assumptions'!$B$42:$F$42,MATCH(YEAR(BD3),'⚙️ Assumptions'!$B$38:BG$38,0)),OFFSET(BD16,,-1)),_xlpm.rev,INDEX('💰 Revenue'!$C$14:$BJ$14,MATCH(BD3,'💰 Revenue'!$C$5:$BJ$5,0)),_xlpm.Maintainance_ratio*_xlpm.rev)</f>
        <v>15903000</v>
      </c>
      <c r="BE15" s="61" t="n">
        <f aca="false">_xlfn.LET(_xlpm.Maintainance_ratio,_xlfn.IFNA(INDEX('⚙️ Assumptions'!$B$42:$F$42,MATCH(YEAR(BE3),'⚙️ Assumptions'!$B$38:BH$38,0)),OFFSET(BE16,,-1)),_xlpm.rev,INDEX('💰 Revenue'!$C$14:$BJ$14,MATCH(BE3,'💰 Revenue'!$C$5:$BJ$5,0)),_xlpm.Maintainance_ratio*_xlpm.rev)</f>
        <v>18630000</v>
      </c>
      <c r="BF15" s="61" t="n">
        <f aca="false">_xlfn.LET(_xlpm.Maintainance_ratio,_xlfn.IFNA(INDEX('⚙️ Assumptions'!$B$42:$F$42,MATCH(YEAR(BF3),'⚙️ Assumptions'!$B$38:BI$38,0)),OFFSET(BF16,,-1)),_xlpm.rev,INDEX('💰 Revenue'!$C$14:$BJ$14,MATCH(BF3,'💰 Revenue'!$C$5:$BJ$5,0)),_xlpm.Maintainance_ratio*_xlpm.rev)</f>
        <v>17577000</v>
      </c>
      <c r="BG15" s="61" t="n">
        <f aca="false">_xlfn.LET(_xlpm.Maintainance_ratio,_xlfn.IFNA(INDEX('⚙️ Assumptions'!$B$42:$F$42,MATCH(YEAR(BG3),'⚙️ Assumptions'!$B$38:BJ$38,0)),OFFSET(BG16,,-1)),_xlpm.rev,INDEX('💰 Revenue'!$C$14:$BJ$14,MATCH(BG3,'💰 Revenue'!$C$5:$BJ$5,0)),_xlpm.Maintainance_ratio*_xlpm.rev)</f>
        <v>19440000</v>
      </c>
      <c r="BH15" s="61" t="n">
        <f aca="false">_xlfn.LET(_xlpm.Maintainance_ratio,_xlfn.IFNA(INDEX('⚙️ Assumptions'!$B$42:$F$42,MATCH(YEAR(BH3),'⚙️ Assumptions'!$B$38:BK$38,0)),OFFSET(BH16,,-1)),_xlpm.rev,INDEX('💰 Revenue'!$C$14:$BJ$14,MATCH(BH3,'💰 Revenue'!$C$5:$BJ$5,0)),_xlpm.Maintainance_ratio*_xlpm.rev)</f>
        <v>19251000</v>
      </c>
      <c r="BI15" s="61" t="n">
        <f aca="false">_xlfn.LET(_xlpm.Maintainance_ratio,_xlfn.IFNA(INDEX('⚙️ Assumptions'!$B$42:$F$42,MATCH(YEAR(BI3),'⚙️ Assumptions'!$B$38:BL$38,0)),OFFSET(BI16,,-1)),_xlpm.rev,INDEX('💰 Revenue'!$C$14:$BJ$14,MATCH(BI3,'💰 Revenue'!$C$5:$BJ$5,0)),_xlpm.Maintainance_ratio*_xlpm.rev)</f>
        <v>16740000</v>
      </c>
      <c r="BJ15" s="61" t="n">
        <f aca="false">_xlfn.LET(_xlpm.Maintainance_ratio,_xlfn.IFNA(INDEX('⚙️ Assumptions'!$B$42:$F$42,MATCH(YEAR(BJ3),'⚙️ Assumptions'!$B$38:BM$38,0)),OFFSET(BJ16,,-1)),_xlpm.rev,INDEX('💰 Revenue'!$C$14:$BJ$14,MATCH(BJ3,'💰 Revenue'!$C$5:$BJ$5,0)),_xlpm.Maintainance_ratio*_xlpm.rev)</f>
        <v>15390000</v>
      </c>
    </row>
    <row r="16" s="71" customFormat="true" ht="13.5" hidden="true" customHeight="true" outlineLevel="0" collapsed="false">
      <c r="A16" s="37" t="s">
        <v>267</v>
      </c>
      <c r="B16" s="68"/>
      <c r="C16" s="64" t="e">
        <f aca="true">IF(_xlfn.IFNA(INDEX('⚙️ Assumptions'!$B$40:$F$40,MATCH(YEAR(C3),'⚙️ Assumptions'!$B$38:$F$38,0)),1)&lt;&gt;1,C15/INDEX('💰 Revenue'!$C$14:$BJ14,MATCH(C3,'💰 Revenue'!$C$5:$BJ$5,0)),OFFSET(C16,,-1))</f>
        <v>#DIV/0!</v>
      </c>
      <c r="D16" s="64" t="e">
        <f aca="true">IF(_xlfn.IFNA(INDEX('⚙️ Assumptions'!$B$40:$F$40,MATCH(YEAR(D3),'⚙️ Assumptions'!$B$38:$F$38,0)),1)&lt;&gt;1,D15/INDEX('💰 Revenue'!$C$14:$BJ14,MATCH(D3,'💰 Revenue'!$C$5:$BJ$5,0)),OFFSET(D16,,-1))</f>
        <v>#DIV/0!</v>
      </c>
      <c r="E16" s="61" t="n">
        <f aca="true">IF(_xlfn.IFNA(INDEX('⚙️ Assumptions'!$B$40:$F$40,MATCH(YEAR(E3),'⚙️ Assumptions'!$B$38:$F$38,0)),1)&lt;&gt;1,E15/INDEX('💰 Revenue'!$C$14:$BJ14,MATCH(E3,'💰 Revenue'!$C$5:$BJ$5,0)),OFFSET(E16,,-1))</f>
        <v>0.01</v>
      </c>
      <c r="F16" s="61" t="n">
        <f aca="true">IF(_xlfn.IFNA(INDEX('⚙️ Assumptions'!$B$40:$F$40,MATCH(YEAR(F3),'⚙️ Assumptions'!$B$38:$F$38,0)),1)&lt;&gt;1,F15/INDEX('💰 Revenue'!$C$14:$BJ14,MATCH(F3,'💰 Revenue'!$C$5:$BJ$5,0)),OFFSET(F16,,-1))</f>
        <v>0.01</v>
      </c>
      <c r="G16" s="61" t="n">
        <f aca="true">IF(_xlfn.IFNA(INDEX('⚙️ Assumptions'!$B$40:$F$40,MATCH(YEAR(G3),'⚙️ Assumptions'!$B$38:$F$38,0)),1)&lt;&gt;1,G15/INDEX('💰 Revenue'!$C$14:$BJ14,MATCH(G3,'💰 Revenue'!$C$5:$BJ$5,0)),OFFSET(G16,,-1))</f>
        <v>0.01</v>
      </c>
      <c r="H16" s="61" t="n">
        <f aca="true">IF(_xlfn.IFNA(INDEX('⚙️ Assumptions'!$B$40:$F$40,MATCH(YEAR(H3),'⚙️ Assumptions'!$B$38:$F$38,0)),1)&lt;&gt;1,H15/INDEX('💰 Revenue'!$C$14:$BJ14,MATCH(H3,'💰 Revenue'!$C$5:$BJ$5,0)),OFFSET(H16,,-1))</f>
        <v>0.01</v>
      </c>
      <c r="I16" s="61" t="n">
        <f aca="true">IF(_xlfn.IFNA(INDEX('⚙️ Assumptions'!$B$40:$F$40,MATCH(YEAR(I3),'⚙️ Assumptions'!$B$38:$F$38,0)),1)&lt;&gt;1,I15/INDEX('💰 Revenue'!$C$14:$BJ14,MATCH(I3,'💰 Revenue'!$C$5:$BJ$5,0)),OFFSET(I16,,-1))</f>
        <v>0.01</v>
      </c>
      <c r="J16" s="61" t="n">
        <f aca="true">IF(_xlfn.IFNA(INDEX('⚙️ Assumptions'!$B$40:$F$40,MATCH(YEAR(J3),'⚙️ Assumptions'!$B$38:$F$38,0)),1)&lt;&gt;1,J15/INDEX('💰 Revenue'!$C$14:$BJ14,MATCH(J3,'💰 Revenue'!$C$5:$BJ$5,0)),OFFSET(J16,,-1))</f>
        <v>0.01</v>
      </c>
      <c r="K16" s="61" t="n">
        <f aca="true">IF(_xlfn.IFNA(INDEX('⚙️ Assumptions'!$B$40:$F$40,MATCH(YEAR(K3),'⚙️ Assumptions'!$B$38:$F$38,0)),1)&lt;&gt;1,K15/INDEX('💰 Revenue'!$C$14:$BJ14,MATCH(K3,'💰 Revenue'!$C$5:$BJ$5,0)),OFFSET(K16,,-1))</f>
        <v>0.01</v>
      </c>
      <c r="L16" s="61" t="n">
        <f aca="true">IF(_xlfn.IFNA(INDEX('⚙️ Assumptions'!$B$40:$F$40,MATCH(YEAR(L3),'⚙️ Assumptions'!$B$38:$F$38,0)),1)&lt;&gt;1,L15/INDEX('💰 Revenue'!$C$14:$BJ14,MATCH(L3,'💰 Revenue'!$C$5:$BJ$5,0)),OFFSET(L16,,-1))</f>
        <v>0.01</v>
      </c>
      <c r="M16" s="61" t="n">
        <f aca="true">IF(_xlfn.IFNA(INDEX('⚙️ Assumptions'!$B$40:$F$40,MATCH(YEAR(M3),'⚙️ Assumptions'!$B$38:$F$38,0)),1)&lt;&gt;1,M15/INDEX('💰 Revenue'!$C$14:$BJ14,MATCH(M3,'💰 Revenue'!$C$5:$BJ$5,0)),OFFSET(M16,,-1))</f>
        <v>0.01</v>
      </c>
      <c r="N16" s="61" t="n">
        <f aca="true">IF(_xlfn.IFNA(INDEX('⚙️ Assumptions'!$B$40:$F$40,MATCH(YEAR(N3),'⚙️ Assumptions'!$B$38:$F$38,0)),1)&lt;&gt;1,N15/INDEX('💰 Revenue'!$C$14:$BJ14,MATCH(N3,'💰 Revenue'!$C$5:$BJ$5,0)),OFFSET(N16,,-1))</f>
        <v>0.01</v>
      </c>
      <c r="O16" s="61" t="n">
        <f aca="true">IF(_xlfn.IFNA(INDEX('⚙️ Assumptions'!$B$40:$F$40,MATCH(YEAR(O3),'⚙️ Assumptions'!$B$38:$F$38,0)),1)&lt;&gt;1,O15/INDEX('💰 Revenue'!$C$14:$BJ14,MATCH(O3,'💰 Revenue'!$C$5:$BJ$5,0)),OFFSET(O16,,-1))</f>
        <v>0.01</v>
      </c>
      <c r="P16" s="61" t="n">
        <f aca="true">IF(_xlfn.IFNA(INDEX('⚙️ Assumptions'!$B$40:$F$40,MATCH(YEAR(P3),'⚙️ Assumptions'!$B$38:$F$38,0)),1)&lt;&gt;1,P15/INDEX('💰 Revenue'!$C$14:$BJ14,MATCH(P3,'💰 Revenue'!$C$5:$BJ$5,0)),OFFSET(P16,,-1))</f>
        <v>0.01</v>
      </c>
      <c r="Q16" s="61" t="n">
        <f aca="true">IF(_xlfn.IFNA(INDEX('⚙️ Assumptions'!$B$40:$F$40,MATCH(YEAR(Q3),'⚙️ Assumptions'!$B$38:$F$38,0)),1)&lt;&gt;1,Q15/INDEX('💰 Revenue'!$C$14:$BJ14,MATCH(Q3,'💰 Revenue'!$C$5:$BJ$5,0)),OFFSET(Q16,,-1))</f>
        <v>0.01</v>
      </c>
      <c r="R16" s="61" t="n">
        <f aca="true">IF(_xlfn.IFNA(INDEX('⚙️ Assumptions'!$B$40:$F$40,MATCH(YEAR(R3),'⚙️ Assumptions'!$B$38:$F$38,0)),1)&lt;&gt;1,R15/INDEX('💰 Revenue'!$C$14:$BJ14,MATCH(R3,'💰 Revenue'!$C$5:$BJ$5,0)),OFFSET(R16,,-1))</f>
        <v>0.03</v>
      </c>
      <c r="S16" s="61" t="n">
        <f aca="true">IF(_xlfn.IFNA(INDEX('⚙️ Assumptions'!$B$40:$F$40,MATCH(YEAR(S3),'⚙️ Assumptions'!$B$38:$F$38,0)),1)&lt;&gt;1,S15/INDEX('💰 Revenue'!$C$14:$BJ14,MATCH(S3,'💰 Revenue'!$C$5:$BJ$5,0)),OFFSET(S16,,-1))</f>
        <v>0.03</v>
      </c>
      <c r="T16" s="61" t="n">
        <f aca="true">IF(_xlfn.IFNA(INDEX('⚙️ Assumptions'!$B$40:$F$40,MATCH(YEAR(T3),'⚙️ Assumptions'!$B$38:$F$38,0)),1)&lt;&gt;1,T15/INDEX('💰 Revenue'!$C$14:$BJ14,MATCH(T3,'💰 Revenue'!$C$5:$BJ$5,0)),OFFSET(T16,,-1))</f>
        <v>0.03</v>
      </c>
      <c r="U16" s="61" t="n">
        <f aca="true">IF(_xlfn.IFNA(INDEX('⚙️ Assumptions'!$B$40:$F$40,MATCH(YEAR(U3),'⚙️ Assumptions'!$B$38:$F$38,0)),1)&lt;&gt;1,U15/INDEX('💰 Revenue'!$C$14:$BJ14,MATCH(U3,'💰 Revenue'!$C$5:$BJ$5,0)),OFFSET(U16,,-1))</f>
        <v>0.03</v>
      </c>
      <c r="V16" s="61" t="n">
        <f aca="true">IF(_xlfn.IFNA(INDEX('⚙️ Assumptions'!$B$40:$F$40,MATCH(YEAR(V3),'⚙️ Assumptions'!$B$38:$F$38,0)),1)&lt;&gt;1,V15/INDEX('💰 Revenue'!$C$14:$BJ14,MATCH(V3,'💰 Revenue'!$C$5:$BJ$5,0)),OFFSET(V16,,-1))</f>
        <v>0.03</v>
      </c>
      <c r="W16" s="61" t="n">
        <f aca="true">IF(_xlfn.IFNA(INDEX('⚙️ Assumptions'!$B$40:$F$40,MATCH(YEAR(W3),'⚙️ Assumptions'!$B$38:$F$38,0)),1)&lt;&gt;1,W15/INDEX('💰 Revenue'!$C$14:$BJ14,MATCH(W3,'💰 Revenue'!$C$5:$BJ$5,0)),OFFSET(W16,,-1))</f>
        <v>0.03</v>
      </c>
      <c r="X16" s="61" t="n">
        <f aca="true">IF(_xlfn.IFNA(INDEX('⚙️ Assumptions'!$B$40:$F$40,MATCH(YEAR(X3),'⚙️ Assumptions'!$B$38:$F$38,0)),1)&lt;&gt;1,X15/INDEX('💰 Revenue'!$C$14:$BJ14,MATCH(X3,'💰 Revenue'!$C$5:$BJ$5,0)),OFFSET(X16,,-1))</f>
        <v>0.03</v>
      </c>
      <c r="Y16" s="61" t="n">
        <f aca="true">IF(_xlfn.IFNA(INDEX('⚙️ Assumptions'!$B$40:$F$40,MATCH(YEAR(Y3),'⚙️ Assumptions'!$B$38:$F$38,0)),1)&lt;&gt;1,Y15/INDEX('💰 Revenue'!$C$14:$BJ14,MATCH(Y3,'💰 Revenue'!$C$5:$BJ$5,0)),OFFSET(Y16,,-1))</f>
        <v>0.03</v>
      </c>
      <c r="Z16" s="61" t="n">
        <f aca="true">IF(_xlfn.IFNA(INDEX('⚙️ Assumptions'!$B$40:$F$40,MATCH(YEAR(Z3),'⚙️ Assumptions'!$B$38:$F$38,0)),1)&lt;&gt;1,Z15/INDEX('💰 Revenue'!$C$14:$BJ14,MATCH(Z3,'💰 Revenue'!$C$5:$BJ$5,0)),OFFSET(Z16,,-1))</f>
        <v>0.03</v>
      </c>
      <c r="AA16" s="61" t="n">
        <f aca="true">IF(_xlfn.IFNA(INDEX('⚙️ Assumptions'!$B$40:$F$40,MATCH(YEAR(AA3),'⚙️ Assumptions'!$B$38:$F$38,0)),1)&lt;&gt;1,AA15/INDEX('💰 Revenue'!$C$14:$BJ14,MATCH(AA3,'💰 Revenue'!$C$5:$BJ$5,0)),OFFSET(AA16,,-1))</f>
        <v>0.03</v>
      </c>
      <c r="AB16" s="61" t="n">
        <f aca="true">IF(_xlfn.IFNA(INDEX('⚙️ Assumptions'!$B$40:$F$40,MATCH(YEAR(AB3),'⚙️ Assumptions'!$B$38:$F$38,0)),1)&lt;&gt;1,AB15/INDEX('💰 Revenue'!$C$14:$BJ14,MATCH(AB3,'💰 Revenue'!$C$5:$BJ$5,0)),OFFSET(AB16,,-1))</f>
        <v>0.03</v>
      </c>
      <c r="AC16" s="61" t="n">
        <f aca="true">IF(_xlfn.IFNA(INDEX('⚙️ Assumptions'!$B$40:$F$40,MATCH(YEAR(AC3),'⚙️ Assumptions'!$B$38:$F$38,0)),1)&lt;&gt;1,AC15/INDEX('💰 Revenue'!$C$14:$BJ14,MATCH(AC3,'💰 Revenue'!$C$5:$BJ$5,0)),OFFSET(AC16,,-1))</f>
        <v>0.03</v>
      </c>
      <c r="AD16" s="61" t="n">
        <f aca="true">IF(_xlfn.IFNA(INDEX('⚙️ Assumptions'!$B$40:$F$40,MATCH(YEAR(AD3),'⚙️ Assumptions'!$B$38:$F$38,0)),1)&lt;&gt;1,AD15/INDEX('💰 Revenue'!$C$14:$BJ14,MATCH(AD3,'💰 Revenue'!$C$5:$BJ$5,0)),OFFSET(AD16,,-1))</f>
        <v>0.03</v>
      </c>
      <c r="AE16" s="61" t="n">
        <f aca="true">IF(_xlfn.IFNA(INDEX('⚙️ Assumptions'!$B$40:$F$40,MATCH(YEAR(AE3),'⚙️ Assumptions'!$B$38:$F$38,0)),1)&lt;&gt;1,AE15/INDEX('💰 Revenue'!$C$14:$BJ14,MATCH(AE3,'💰 Revenue'!$C$5:$BJ$5,0)),OFFSET(AE16,,-1))</f>
        <v>0.03</v>
      </c>
      <c r="AF16" s="61" t="n">
        <f aca="true">IF(_xlfn.IFNA(INDEX('⚙️ Assumptions'!$B$40:$F$40,MATCH(YEAR(AF3),'⚙️ Assumptions'!$B$38:$F$38,0)),1)&lt;&gt;1,AF15/INDEX('💰 Revenue'!$C$14:$BJ14,MATCH(AF3,'💰 Revenue'!$C$5:$BJ$5,0)),OFFSET(AF16,,-1))</f>
        <v>0.03</v>
      </c>
      <c r="AG16" s="61" t="n">
        <f aca="true">IF(_xlfn.IFNA(INDEX('⚙️ Assumptions'!$B$40:$F$40,MATCH(YEAR(AG3),'⚙️ Assumptions'!$B$38:$F$38,0)),1)&lt;&gt;1,AG15/INDEX('💰 Revenue'!$C$14:$BJ14,MATCH(AG3,'💰 Revenue'!$C$5:$BJ$5,0)),OFFSET(AG16,,-1))</f>
        <v>0.03</v>
      </c>
      <c r="AH16" s="61" t="n">
        <f aca="true">IF(_xlfn.IFNA(INDEX('⚙️ Assumptions'!$B$40:$F$40,MATCH(YEAR(AH3),'⚙️ Assumptions'!$B$38:$F$38,0)),1)&lt;&gt;1,AH15/INDEX('💰 Revenue'!$C$14:$BJ14,MATCH(AH3,'💰 Revenue'!$C$5:$BJ$5,0)),OFFSET(AH16,,-1))</f>
        <v>0.03</v>
      </c>
      <c r="AI16" s="61" t="n">
        <f aca="true">IF(_xlfn.IFNA(INDEX('⚙️ Assumptions'!$B$40:$F$40,MATCH(YEAR(AI3),'⚙️ Assumptions'!$B$38:$F$38,0)),1)&lt;&gt;1,AI15/INDEX('💰 Revenue'!$C$14:$BJ14,MATCH(AI3,'💰 Revenue'!$C$5:$BJ$5,0)),OFFSET(AI16,,-1))</f>
        <v>0.03</v>
      </c>
      <c r="AJ16" s="61" t="n">
        <f aca="true">IF(_xlfn.IFNA(INDEX('⚙️ Assumptions'!$B$40:$F$40,MATCH(YEAR(AJ3),'⚙️ Assumptions'!$B$38:$F$38,0)),1)&lt;&gt;1,AJ15/INDEX('💰 Revenue'!$C$14:$BJ14,MATCH(AJ3,'💰 Revenue'!$C$5:$BJ$5,0)),OFFSET(AJ16,,-1))</f>
        <v>0.03</v>
      </c>
      <c r="AK16" s="61" t="n">
        <f aca="true">IF(_xlfn.IFNA(INDEX('⚙️ Assumptions'!$B$40:$F$40,MATCH(YEAR(AK3),'⚙️ Assumptions'!$B$38:$F$38,0)),1)&lt;&gt;1,AK15/INDEX('💰 Revenue'!$C$14:$BJ14,MATCH(AK3,'💰 Revenue'!$C$5:$BJ$5,0)),OFFSET(AK16,,-1))</f>
        <v>0.03</v>
      </c>
      <c r="AL16" s="61" t="n">
        <f aca="true">IF(_xlfn.IFNA(INDEX('⚙️ Assumptions'!$B$40:$F$40,MATCH(YEAR(AL3),'⚙️ Assumptions'!$B$38:$F$38,0)),1)&lt;&gt;1,AL15/INDEX('💰 Revenue'!$C$14:$BJ14,MATCH(AL3,'💰 Revenue'!$C$5:$BJ$5,0)),OFFSET(AL16,,-1))</f>
        <v>0.03</v>
      </c>
      <c r="AM16" s="61" t="n">
        <f aca="true">IF(_xlfn.IFNA(INDEX('⚙️ Assumptions'!$B$40:$F$40,MATCH(YEAR(AM3),'⚙️ Assumptions'!$B$38:$F$38,0)),1)&lt;&gt;1,AM15/INDEX('💰 Revenue'!$C$14:$BJ14,MATCH(AM3,'💰 Revenue'!$C$5:$BJ$5,0)),OFFSET(AM16,,-1))</f>
        <v>0.03</v>
      </c>
      <c r="AN16" s="61" t="n">
        <f aca="true">IF(_xlfn.IFNA(INDEX('⚙️ Assumptions'!$B$40:$F$40,MATCH(YEAR(AN3),'⚙️ Assumptions'!$B$38:$F$38,0)),1)&lt;&gt;1,AN15/INDEX('💰 Revenue'!$C$14:$BJ14,MATCH(AN3,'💰 Revenue'!$C$5:$BJ$5,0)),OFFSET(AN16,,-1))</f>
        <v>0.03</v>
      </c>
      <c r="AO16" s="61" t="n">
        <f aca="true">IF(_xlfn.IFNA(INDEX('⚙️ Assumptions'!$B$40:$F$40,MATCH(YEAR(AO3),'⚙️ Assumptions'!$B$38:$F$38,0)),1)&lt;&gt;1,AO15/INDEX('💰 Revenue'!$C$14:$BJ14,MATCH(AO3,'💰 Revenue'!$C$5:$BJ$5,0)),OFFSET(AO16,,-1))</f>
        <v>0.03</v>
      </c>
      <c r="AP16" s="61" t="n">
        <f aca="true">IF(_xlfn.IFNA(INDEX('⚙️ Assumptions'!$B$40:$F$40,MATCH(YEAR(AP3),'⚙️ Assumptions'!$B$38:$F$38,0)),1)&lt;&gt;1,AP15/INDEX('💰 Revenue'!$C$14:$BJ14,MATCH(AP3,'💰 Revenue'!$C$5:$BJ$5,0)),OFFSET(AP16,,-1))</f>
        <v>0.04</v>
      </c>
      <c r="AQ16" s="61" t="n">
        <f aca="true">IF(_xlfn.IFNA(INDEX('⚙️ Assumptions'!$B$40:$F$40,MATCH(YEAR(AQ3),'⚙️ Assumptions'!$B$38:$F$38,0)),1)&lt;&gt;1,AQ15/INDEX('💰 Revenue'!$C$14:$BJ14,MATCH(AQ3,'💰 Revenue'!$C$5:$BJ$5,0)),OFFSET(AQ16,,-1))</f>
        <v>0.04</v>
      </c>
      <c r="AR16" s="61" t="n">
        <f aca="true">IF(_xlfn.IFNA(INDEX('⚙️ Assumptions'!$B$40:$F$40,MATCH(YEAR(AR3),'⚙️ Assumptions'!$B$38:$F$38,0)),1)&lt;&gt;1,AR15/INDEX('💰 Revenue'!$C$14:$BJ14,MATCH(AR3,'💰 Revenue'!$C$5:$BJ$5,0)),OFFSET(AR16,,-1))</f>
        <v>0.04</v>
      </c>
      <c r="AS16" s="61" t="n">
        <f aca="true">IF(_xlfn.IFNA(INDEX('⚙️ Assumptions'!$B$40:$F$40,MATCH(YEAR(AS3),'⚙️ Assumptions'!$B$38:$F$38,0)),1)&lt;&gt;1,AS15/INDEX('💰 Revenue'!$C$14:$BJ14,MATCH(AS3,'💰 Revenue'!$C$5:$BJ$5,0)),OFFSET(AS16,,-1))</f>
        <v>0.04</v>
      </c>
      <c r="AT16" s="61" t="n">
        <f aca="true">IF(_xlfn.IFNA(INDEX('⚙️ Assumptions'!$B$40:$F$40,MATCH(YEAR(AT3),'⚙️ Assumptions'!$B$38:$F$38,0)),1)&lt;&gt;1,AT15/INDEX('💰 Revenue'!$C$14:$BJ14,MATCH(AT3,'💰 Revenue'!$C$5:$BJ$5,0)),OFFSET(AT16,,-1))</f>
        <v>0.04</v>
      </c>
      <c r="AU16" s="61" t="n">
        <f aca="true">IF(_xlfn.IFNA(INDEX('⚙️ Assumptions'!$B$40:$F$40,MATCH(YEAR(AU3),'⚙️ Assumptions'!$B$38:$F$38,0)),1)&lt;&gt;1,AU15/INDEX('💰 Revenue'!$C$14:$BJ14,MATCH(AU3,'💰 Revenue'!$C$5:$BJ$5,0)),OFFSET(AU16,,-1))</f>
        <v>0.04</v>
      </c>
      <c r="AV16" s="61" t="n">
        <f aca="true">IF(_xlfn.IFNA(INDEX('⚙️ Assumptions'!$B$40:$F$40,MATCH(YEAR(AV3),'⚙️ Assumptions'!$B$38:$F$38,0)),1)&lt;&gt;1,AV15/INDEX('💰 Revenue'!$C$14:$BJ14,MATCH(AV3,'💰 Revenue'!$C$5:$BJ$5,0)),OFFSET(AV16,,-1))</f>
        <v>0.04</v>
      </c>
      <c r="AW16" s="61" t="n">
        <f aca="true">IF(_xlfn.IFNA(INDEX('⚙️ Assumptions'!$B$40:$F$40,MATCH(YEAR(AW3),'⚙️ Assumptions'!$B$38:$F$38,0)),1)&lt;&gt;1,AW15/INDEX('💰 Revenue'!$C$14:$BJ14,MATCH(AW3,'💰 Revenue'!$C$5:$BJ$5,0)),OFFSET(AW16,,-1))</f>
        <v>0.04</v>
      </c>
      <c r="AX16" s="61" t="n">
        <f aca="true">IF(_xlfn.IFNA(INDEX('⚙️ Assumptions'!$B$40:$F$40,MATCH(YEAR(AX3),'⚙️ Assumptions'!$B$38:$F$38,0)),1)&lt;&gt;1,AX15/INDEX('💰 Revenue'!$C$14:$BJ14,MATCH(AX3,'💰 Revenue'!$C$5:$BJ$5,0)),OFFSET(AX16,,-1))</f>
        <v>0.04</v>
      </c>
      <c r="AY16" s="61" t="n">
        <f aca="true">IF(_xlfn.IFNA(INDEX('⚙️ Assumptions'!$B$40:$F$40,MATCH(YEAR(AY3),'⚙️ Assumptions'!$B$38:$F$38,0)),1)&lt;&gt;1,AY15/INDEX('💰 Revenue'!$C$14:$BJ14,MATCH(AY3,'💰 Revenue'!$C$5:$BJ$5,0)),OFFSET(AY16,,-1))</f>
        <v>0.04</v>
      </c>
      <c r="AZ16" s="61" t="n">
        <f aca="true">IF(_xlfn.IFNA(INDEX('⚙️ Assumptions'!$B$40:$F$40,MATCH(YEAR(AZ3),'⚙️ Assumptions'!$B$38:$F$38,0)),1)&lt;&gt;1,AZ15/INDEX('💰 Revenue'!$C$14:$BJ14,MATCH(AZ3,'💰 Revenue'!$C$5:$BJ$5,0)),OFFSET(AZ16,,-1))</f>
        <v>0.04</v>
      </c>
      <c r="BA16" s="61" t="n">
        <f aca="true">IF(_xlfn.IFNA(INDEX('⚙️ Assumptions'!$B$40:$F$40,MATCH(YEAR(BA3),'⚙️ Assumptions'!$B$38:$F$38,0)),1)&lt;&gt;1,BA15/INDEX('💰 Revenue'!$C$14:$BJ14,MATCH(BA3,'💰 Revenue'!$C$5:$BJ$5,0)),OFFSET(BA16,,-1))</f>
        <v>0.04</v>
      </c>
      <c r="BB16" s="61" t="n">
        <f aca="true">IF(_xlfn.IFNA(INDEX('⚙️ Assumptions'!$B$40:$F$40,MATCH(YEAR(BB3),'⚙️ Assumptions'!$B$38:$F$38,0)),1)&lt;&gt;1,BB15/INDEX('💰 Revenue'!$C$14:$BJ14,MATCH(BB3,'💰 Revenue'!$C$5:$BJ$5,0)),OFFSET(BB16,,-1))</f>
        <v>0.04</v>
      </c>
      <c r="BC16" s="61" t="n">
        <f aca="true">IF(_xlfn.IFNA(INDEX('⚙️ Assumptions'!$B$40:$F$40,MATCH(YEAR(BC3),'⚙️ Assumptions'!$B$38:$F$38,0)),1)&lt;&gt;1,BC15/INDEX('💰 Revenue'!$C$14:$BJ14,MATCH(BC3,'💰 Revenue'!$C$5:$BJ$5,0)),OFFSET(BC16,,-1))</f>
        <v>0.04</v>
      </c>
      <c r="BD16" s="61" t="n">
        <f aca="true">IF(_xlfn.IFNA(INDEX('⚙️ Assumptions'!$B$40:$F$40,MATCH(YEAR(BD3),'⚙️ Assumptions'!$B$38:$F$38,0)),1)&lt;&gt;1,BD15/INDEX('💰 Revenue'!$C$14:$BJ14,MATCH(BD3,'💰 Revenue'!$C$5:$BJ$5,0)),OFFSET(BD16,,-1))</f>
        <v>0.04</v>
      </c>
      <c r="BE16" s="61" t="n">
        <f aca="true">IF(_xlfn.IFNA(INDEX('⚙️ Assumptions'!$B$40:$F$40,MATCH(YEAR(BE3),'⚙️ Assumptions'!$B$38:$F$38,0)),1)&lt;&gt;1,BE15/INDEX('💰 Revenue'!$C$14:$BJ14,MATCH(BE3,'💰 Revenue'!$C$5:$BJ$5,0)),OFFSET(BE16,,-1))</f>
        <v>0.04</v>
      </c>
      <c r="BF16" s="61" t="n">
        <f aca="true">IF(_xlfn.IFNA(INDEX('⚙️ Assumptions'!$B$40:$F$40,MATCH(YEAR(BF3),'⚙️ Assumptions'!$B$38:$F$38,0)),1)&lt;&gt;1,BF15/INDEX('💰 Revenue'!$C$14:$BJ14,MATCH(BF3,'💰 Revenue'!$C$5:$BJ$5,0)),OFFSET(BF16,,-1))</f>
        <v>0.04</v>
      </c>
      <c r="BG16" s="61" t="n">
        <f aca="true">IF(_xlfn.IFNA(INDEX('⚙️ Assumptions'!$B$40:$F$40,MATCH(YEAR(BG3),'⚙️ Assumptions'!$B$38:$F$38,0)),1)&lt;&gt;1,BG15/INDEX('💰 Revenue'!$C$14:$BJ14,MATCH(BG3,'💰 Revenue'!$C$5:$BJ$5,0)),OFFSET(BG16,,-1))</f>
        <v>0.04</v>
      </c>
      <c r="BH16" s="61" t="n">
        <f aca="true">IF(_xlfn.IFNA(INDEX('⚙️ Assumptions'!$B$40:$F$40,MATCH(YEAR(BH3),'⚙️ Assumptions'!$B$38:$F$38,0)),1)&lt;&gt;1,BH15/INDEX('💰 Revenue'!$C$14:$BJ14,MATCH(BH3,'💰 Revenue'!$C$5:$BJ$5,0)),OFFSET(BH16,,-1))</f>
        <v>0.04</v>
      </c>
      <c r="BI16" s="61" t="n">
        <f aca="true">IF(_xlfn.IFNA(INDEX('⚙️ Assumptions'!$B$40:$F$40,MATCH(YEAR(BI3),'⚙️ Assumptions'!$B$38:$F$38,0)),1)&lt;&gt;1,BI15/INDEX('💰 Revenue'!$C$14:$BJ14,MATCH(BI3,'💰 Revenue'!$C$5:$BJ$5,0)),OFFSET(BI16,,-1))</f>
        <v>0.04</v>
      </c>
      <c r="BJ16" s="61" t="n">
        <f aca="true">IF(_xlfn.IFNA(INDEX('⚙️ Assumptions'!$B$40:$F$40,MATCH(YEAR(BJ3),'⚙️ Assumptions'!$B$38:$F$38,0)),1)&lt;&gt;1,BJ15/INDEX('💰 Revenue'!$C$14:$BJ14,MATCH(BJ3,'💰 Revenue'!$C$5:$BJ$5,0)),OFFSET(BJ16,,-1))</f>
        <v>0.04</v>
      </c>
    </row>
    <row r="17" s="71" customFormat="true" ht="13.5" hidden="false" customHeight="true" outlineLevel="0" collapsed="false">
      <c r="A17" s="37" t="s">
        <v>268</v>
      </c>
      <c r="B17" s="68" t="n">
        <f aca="false">SUM(C17:AL17)</f>
        <v>1266700000</v>
      </c>
      <c r="C17" s="64" t="n">
        <f aca="false">INDEX('👥 HR Plan'!$B$18:$BI$18,MATCH(C3,'👥 HR Plan'!$B$11:$BI$11,0))</f>
        <v>0</v>
      </c>
      <c r="D17" s="64" t="n">
        <f aca="false">INDEX('👥 HR Plan'!$B$18:$BI$18,MATCH(D3,'👥 HR Plan'!$B$11:$BI$11,0))</f>
        <v>0</v>
      </c>
      <c r="E17" s="64" t="n">
        <f aca="false">INDEX('👥 HR Plan'!$B$18:$BI$18,MATCH(E3,'👥 HR Plan'!$B$11:$BI$11,0))</f>
        <v>28276000</v>
      </c>
      <c r="F17" s="64" t="n">
        <f aca="false">INDEX('👥 HR Plan'!$B$18:$BI$18,MATCH(F3,'👥 HR Plan'!$B$11:$BI$11,0))</f>
        <v>28276000</v>
      </c>
      <c r="G17" s="64" t="n">
        <f aca="false">INDEX('👥 HR Plan'!$B$18:$BI$18,MATCH(G3,'👥 HR Plan'!$B$11:$BI$11,0))</f>
        <v>33226000</v>
      </c>
      <c r="H17" s="64" t="n">
        <f aca="false">INDEX('👥 HR Plan'!$B$18:$BI$18,MATCH(H3,'👥 HR Plan'!$B$11:$BI$11,0))</f>
        <v>34414000</v>
      </c>
      <c r="I17" s="64" t="n">
        <f aca="false">INDEX('👥 HR Plan'!$B$18:$BI$18,MATCH(I3,'👥 HR Plan'!$B$11:$BI$11,0))</f>
        <v>33820000</v>
      </c>
      <c r="J17" s="64" t="n">
        <f aca="false">INDEX('👥 HR Plan'!$B$18:$BI$18,MATCH(J3,'👥 HR Plan'!$B$11:$BI$11,0))</f>
        <v>34414000</v>
      </c>
      <c r="K17" s="64" t="n">
        <f aca="false">INDEX('👥 HR Plan'!$B$18:$BI$18,MATCH(K3,'👥 HR Plan'!$B$11:$BI$11,0))</f>
        <v>33820000</v>
      </c>
      <c r="L17" s="64" t="n">
        <f aca="false">INDEX('👥 HR Plan'!$B$18:$BI$18,MATCH(L3,'👥 HR Plan'!$B$11:$BI$11,0))</f>
        <v>34414000</v>
      </c>
      <c r="M17" s="64" t="n">
        <f aca="false">INDEX('👥 HR Plan'!$B$18:$BI$18,MATCH(M3,'👥 HR Plan'!$B$11:$BI$11,0))</f>
        <v>34414000</v>
      </c>
      <c r="N17" s="64" t="n">
        <f aca="false">INDEX('👥 HR Plan'!$B$18:$BI$18,MATCH(N3,'👥 HR Plan'!$B$11:$BI$11,0))</f>
        <v>33820000</v>
      </c>
      <c r="O17" s="64" t="n">
        <f aca="false">INDEX('👥 HR Plan'!$B$18:$BI$18,MATCH(O3,'👥 HR Plan'!$B$11:$BI$11,0))</f>
        <v>34414000</v>
      </c>
      <c r="P17" s="64" t="n">
        <f aca="false">INDEX('👥 HR Plan'!$B$18:$BI$18,MATCH(P3,'👥 HR Plan'!$B$11:$BI$11,0))</f>
        <v>33820000</v>
      </c>
      <c r="Q17" s="64" t="n">
        <f aca="false">INDEX('👥 HR Plan'!$B$18:$BI$18,MATCH(Q3,'👥 HR Plan'!$B$11:$BI$11,0))</f>
        <v>34414000</v>
      </c>
      <c r="R17" s="64" t="n">
        <f aca="false">INDEX('👥 HR Plan'!$B$18:$BI$18,MATCH(R3,'👥 HR Plan'!$B$11:$BI$11,0))</f>
        <v>34414000</v>
      </c>
      <c r="S17" s="64" t="n">
        <f aca="false">INDEX('👥 HR Plan'!$B$18:$BI$18,MATCH(S3,'👥 HR Plan'!$B$11:$BI$11,0))</f>
        <v>38176000</v>
      </c>
      <c r="T17" s="64" t="n">
        <f aca="false">INDEX('👥 HR Plan'!$B$18:$BI$18,MATCH(T3,'👥 HR Plan'!$B$11:$BI$11,0))</f>
        <v>40552000</v>
      </c>
      <c r="U17" s="64" t="n">
        <f aca="false">INDEX('👥 HR Plan'!$B$18:$BI$18,MATCH(U3,'👥 HR Plan'!$B$11:$BI$11,0))</f>
        <v>39760000</v>
      </c>
      <c r="V17" s="64" t="n">
        <f aca="false">INDEX('👥 HR Plan'!$B$18:$BI$18,MATCH(V3,'👥 HR Plan'!$B$11:$BI$11,0))</f>
        <v>40552000</v>
      </c>
      <c r="W17" s="64" t="n">
        <f aca="false">INDEX('👥 HR Plan'!$B$18:$BI$18,MATCH(W3,'👥 HR Plan'!$B$11:$BI$11,0))</f>
        <v>39760000</v>
      </c>
      <c r="X17" s="64" t="n">
        <f aca="false">INDEX('👥 HR Plan'!$B$18:$BI$18,MATCH(X3,'👥 HR Plan'!$B$11:$BI$11,0))</f>
        <v>40552000</v>
      </c>
      <c r="Y17" s="64" t="n">
        <f aca="false">INDEX('👥 HR Plan'!$B$18:$BI$18,MATCH(Y3,'👥 HR Plan'!$B$11:$BI$11,0))</f>
        <v>40552000</v>
      </c>
      <c r="Z17" s="64" t="n">
        <f aca="false">INDEX('👥 HR Plan'!$B$18:$BI$18,MATCH(Z3,'👥 HR Plan'!$B$11:$BI$11,0))</f>
        <v>39760000</v>
      </c>
      <c r="AA17" s="64" t="n">
        <f aca="false">INDEX('👥 HR Plan'!$B$18:$BI$18,MATCH(AA3,'👥 HR Plan'!$B$11:$BI$11,0))</f>
        <v>40552000</v>
      </c>
      <c r="AB17" s="64" t="n">
        <f aca="false">INDEX('👥 HR Plan'!$B$18:$BI$18,MATCH(AB3,'👥 HR Plan'!$B$11:$BI$11,0))</f>
        <v>39760000</v>
      </c>
      <c r="AC17" s="64" t="n">
        <f aca="false">INDEX('👥 HR Plan'!$B$18:$BI$18,MATCH(AC3,'👥 HR Plan'!$B$11:$BI$11,0))</f>
        <v>40552000</v>
      </c>
      <c r="AD17" s="64" t="n">
        <f aca="false">INDEX('👥 HR Plan'!$B$18:$BI$18,MATCH(AD3,'👥 HR Plan'!$B$11:$BI$11,0))</f>
        <v>40552000</v>
      </c>
      <c r="AE17" s="64" t="n">
        <f aca="false">INDEX('👥 HR Plan'!$B$18:$BI$18,MATCH(AE3,'👥 HR Plan'!$B$11:$BI$11,0))</f>
        <v>38176000</v>
      </c>
      <c r="AF17" s="64" t="n">
        <f aca="false">INDEX('👥 HR Plan'!$B$18:$BI$18,MATCH(AF3,'👥 HR Plan'!$B$11:$BI$11,0))</f>
        <v>40552000</v>
      </c>
      <c r="AG17" s="64" t="n">
        <f aca="false">INDEX('👥 HR Plan'!$B$18:$BI$18,MATCH(AG3,'👥 HR Plan'!$B$11:$BI$11,0))</f>
        <v>39760000</v>
      </c>
      <c r="AH17" s="64" t="n">
        <f aca="false">INDEX('👥 HR Plan'!$B$18:$BI$18,MATCH(AH3,'👥 HR Plan'!$B$11:$BI$11,0))</f>
        <v>40552000</v>
      </c>
      <c r="AI17" s="64" t="n">
        <f aca="false">INDEX('👥 HR Plan'!$B$18:$BI$18,MATCH(AI3,'👥 HR Plan'!$B$11:$BI$11,0))</f>
        <v>39760000</v>
      </c>
      <c r="AJ17" s="64" t="n">
        <f aca="false">INDEX('👥 HR Plan'!$B$18:$BI$18,MATCH(AJ3,'👥 HR Plan'!$B$11:$BI$11,0))</f>
        <v>40552000</v>
      </c>
      <c r="AK17" s="64" t="n">
        <f aca="false">INDEX('👥 HR Plan'!$B$18:$BI$18,MATCH(AK3,'👥 HR Plan'!$B$11:$BI$11,0))</f>
        <v>40552000</v>
      </c>
      <c r="AL17" s="64" t="n">
        <f aca="false">INDEX('👥 HR Plan'!$B$18:$BI$18,MATCH(AL3,'👥 HR Plan'!$B$11:$BI$11,0))</f>
        <v>39760000</v>
      </c>
      <c r="AM17" s="64" t="n">
        <f aca="false">INDEX('👥 HR Plan'!$B$18:$BI$18,MATCH(AM3,'👥 HR Plan'!$B$11:$BI$11,0))</f>
        <v>40552000</v>
      </c>
      <c r="AN17" s="64" t="n">
        <f aca="false">INDEX('👥 HR Plan'!$B$18:$BI$18,MATCH(AN3,'👥 HR Plan'!$B$11:$BI$11,0))</f>
        <v>39760000</v>
      </c>
      <c r="AO17" s="64" t="n">
        <f aca="false">INDEX('👥 HR Plan'!$B$18:$BI$18,MATCH(AO3,'👥 HR Plan'!$B$11:$BI$11,0))</f>
        <v>40552000</v>
      </c>
      <c r="AP17" s="64" t="n">
        <f aca="false">INDEX('👥 HR Plan'!$B$18:$BI$18,MATCH(AP3,'👥 HR Plan'!$B$11:$BI$11,0))</f>
        <v>40552000</v>
      </c>
      <c r="AQ17" s="64" t="n">
        <f aca="false">INDEX('👥 HR Plan'!$B$18:$BI$18,MATCH(AQ3,'👥 HR Plan'!$B$11:$BI$11,0))</f>
        <v>38176000</v>
      </c>
      <c r="AR17" s="64" t="n">
        <f aca="false">INDEX('👥 HR Plan'!$B$18:$BI$18,MATCH(AR3,'👥 HR Plan'!$B$11:$BI$11,0))</f>
        <v>40552000</v>
      </c>
      <c r="AS17" s="64" t="n">
        <f aca="false">INDEX('👥 HR Plan'!$B$18:$BI$18,MATCH(AS3,'👥 HR Plan'!$B$11:$BI$11,0))</f>
        <v>39760000</v>
      </c>
      <c r="AT17" s="64" t="n">
        <f aca="false">INDEX('👥 HR Plan'!$B$18:$BI$18,MATCH(AT3,'👥 HR Plan'!$B$11:$BI$11,0))</f>
        <v>40552000</v>
      </c>
      <c r="AU17" s="64" t="n">
        <f aca="false">INDEX('👥 HR Plan'!$B$18:$BI$18,MATCH(AU3,'👥 HR Plan'!$B$11:$BI$11,0))</f>
        <v>39760000</v>
      </c>
      <c r="AV17" s="64" t="n">
        <f aca="false">INDEX('👥 HR Plan'!$B$18:$BI$18,MATCH(AV3,'👥 HR Plan'!$B$11:$BI$11,0))</f>
        <v>40552000</v>
      </c>
      <c r="AW17" s="64" t="n">
        <f aca="false">INDEX('👥 HR Plan'!$B$18:$BI$18,MATCH(AW3,'👥 HR Plan'!$B$11:$BI$11,0))</f>
        <v>40552000</v>
      </c>
      <c r="AX17" s="64" t="n">
        <f aca="false">INDEX('👥 HR Plan'!$B$18:$BI$18,MATCH(AX3,'👥 HR Plan'!$B$11:$BI$11,0))</f>
        <v>39760000</v>
      </c>
      <c r="AY17" s="64" t="n">
        <f aca="false">INDEX('👥 HR Plan'!$B$18:$BI$18,MATCH(AY3,'👥 HR Plan'!$B$11:$BI$11,0))</f>
        <v>40552000</v>
      </c>
      <c r="AZ17" s="64" t="n">
        <f aca="false">INDEX('👥 HR Plan'!$B$18:$BI$18,MATCH(AZ3,'👥 HR Plan'!$B$11:$BI$11,0))</f>
        <v>39760000</v>
      </c>
      <c r="BA17" s="64" t="n">
        <f aca="false">INDEX('👥 HR Plan'!$B$18:$BI$18,MATCH(BA3,'👥 HR Plan'!$B$11:$BI$11,0))</f>
        <v>40552000</v>
      </c>
      <c r="BB17" s="64" t="n">
        <f aca="false">INDEX('👥 HR Plan'!$B$18:$BI$18,MATCH(BB3,'👥 HR Plan'!$B$11:$BI$11,0))</f>
        <v>40552000</v>
      </c>
      <c r="BC17" s="64" t="n">
        <f aca="false">INDEX('👥 HR Plan'!$B$18:$BI$18,MATCH(BC3,'👥 HR Plan'!$B$11:$BI$11,0))</f>
        <v>38968000</v>
      </c>
      <c r="BD17" s="64" t="n">
        <f aca="false">INDEX('👥 HR Plan'!$B$18:$BI$18,MATCH(BD3,'👥 HR Plan'!$B$11:$BI$11,0))</f>
        <v>40552000</v>
      </c>
      <c r="BE17" s="64" t="n">
        <f aca="false">INDEX('👥 HR Plan'!$B$18:$BI$18,MATCH(BE3,'👥 HR Plan'!$B$11:$BI$11,0))</f>
        <v>39760000</v>
      </c>
      <c r="BF17" s="64" t="n">
        <f aca="false">INDEX('👥 HR Plan'!$B$18:$BI$18,MATCH(BF3,'👥 HR Plan'!$B$11:$BI$11,0))</f>
        <v>40552000</v>
      </c>
      <c r="BG17" s="64" t="n">
        <f aca="false">INDEX('👥 HR Plan'!$B$18:$BI$18,MATCH(BG3,'👥 HR Plan'!$B$11:$BI$11,0))</f>
        <v>39760000</v>
      </c>
      <c r="BH17" s="64" t="n">
        <f aca="false">INDEX('👥 HR Plan'!$B$18:$BI$18,MATCH(BH3,'👥 HR Plan'!$B$11:$BI$11,0))</f>
        <v>40552000</v>
      </c>
      <c r="BI17" s="64" t="n">
        <f aca="false">INDEX('👥 HR Plan'!$B$18:$BI$18,MATCH(BI3,'👥 HR Plan'!$B$11:$BI$11,0))</f>
        <v>40552000</v>
      </c>
      <c r="BJ17" s="64" t="n">
        <f aca="false">INDEX('👥 HR Plan'!$B$18:$BI$18,MATCH(BJ3,'👥 HR Plan'!$B$11:$BI$11,0))</f>
        <v>39760000</v>
      </c>
    </row>
    <row r="18" customFormat="false" ht="13.5" hidden="false" customHeight="true" outlineLevel="0" collapsed="false">
      <c r="A18" s="38" t="s">
        <v>269</v>
      </c>
      <c r="B18" s="60" t="n">
        <f aca="false">SUM(C18:AL18)</f>
        <v>564561000</v>
      </c>
      <c r="C18" s="64" t="n">
        <f aca="false">IFERROR(INDEX('⚙️ Other Assumptions'!$C$20:$AJ$20,MATCH('💰 Revenue'!C4,'⚙️ Other Assumptions'!$B$14:$AI$14,0)),'⚙️ Other Assumptions'!$B$23) *  INDEX('💰 Revenue'!$C$14:$BJ$14,MATCH(C3,'💰 Revenue'!$C$5:$BJ$5,0))</f>
        <v>0</v>
      </c>
      <c r="D18" s="64" t="n">
        <f aca="false">IFERROR(INDEX('⚙️ Other Assumptions'!$C$20:$AJ$20,MATCH('💰 Revenue'!D4,'⚙️ Other Assumptions'!$B$14:$AI$14,0)),'⚙️ Other Assumptions'!$B$23) *  INDEX('💰 Revenue'!$C$14:$BJ$14,MATCH(D3,'💰 Revenue'!$C$5:$BJ$5,0))</f>
        <v>0</v>
      </c>
      <c r="E18" s="61" t="n">
        <f aca="false">IFERROR(INDEX('⚙️ Other Assumptions'!$C$20:$AJ$20,MATCH('💰 Revenue'!E4,'⚙️ Other Assumptions'!$B$14:$AI$14,0)),'⚙️ Other Assumptions'!$B$23) *  INDEX('💰 Revenue'!$C$14:$BJ$14,MATCH(E3,'💰 Revenue'!$C$5:$BJ$5,0))</f>
        <v>37665000</v>
      </c>
      <c r="F18" s="61" t="n">
        <f aca="false">IFERROR(INDEX('⚙️ Other Assumptions'!$C$20:$AJ$20,MATCH('💰 Revenue'!F4,'⚙️ Other Assumptions'!$B$14:$AI$14,0)),'⚙️ Other Assumptions'!$B$23) *  INDEX('💰 Revenue'!$C$14:$BJ$14,MATCH(F3,'💰 Revenue'!$C$5:$BJ$5,0))</f>
        <v>50220000</v>
      </c>
      <c r="G18" s="61" t="n">
        <f aca="false">IFERROR(INDEX('⚙️ Other Assumptions'!$C$20:$AJ$20,MATCH('💰 Revenue'!G4,'⚙️ Other Assumptions'!$B$14:$AI$14,0)),'⚙️ Other Assumptions'!$B$23) *  INDEX('💰 Revenue'!$C$14:$BJ$14,MATCH(G3,'💰 Revenue'!$C$5:$BJ$5,0))</f>
        <v>15529500</v>
      </c>
      <c r="H18" s="61" t="n">
        <f aca="false">IFERROR(INDEX('⚙️ Other Assumptions'!$C$20:$AJ$20,MATCH('💰 Revenue'!H4,'⚙️ Other Assumptions'!$B$14:$AI$14,0)),'⚙️ Other Assumptions'!$B$23) *  INDEX('💰 Revenue'!$C$14:$BJ$14,MATCH(H3,'💰 Revenue'!$C$5:$BJ$5,0))</f>
        <v>21204000</v>
      </c>
      <c r="I18" s="61" t="n">
        <f aca="false">IFERROR(INDEX('⚙️ Other Assumptions'!$C$20:$AJ$20,MATCH('💰 Revenue'!I4,'⚙️ Other Assumptions'!$B$14:$AI$14,0)),'⚙️ Other Assumptions'!$B$23) *  INDEX('💰 Revenue'!$C$14:$BJ$14,MATCH(I3,'💰 Revenue'!$C$5:$BJ$5,0))</f>
        <v>27945000</v>
      </c>
      <c r="J18" s="61" t="n">
        <f aca="false">IFERROR(INDEX('⚙️ Other Assumptions'!$C$20:$AJ$20,MATCH('💰 Revenue'!J4,'⚙️ Other Assumptions'!$B$14:$AI$14,0)),'⚙️ Other Assumptions'!$B$23) *  INDEX('💰 Revenue'!$C$14:$BJ$14,MATCH(J3,'💰 Revenue'!$C$5:$BJ$5,0))</f>
        <v>29295000</v>
      </c>
      <c r="K18" s="61" t="n">
        <f aca="false">IFERROR(INDEX('⚙️ Other Assumptions'!$C$20:$AJ$20,MATCH('💰 Revenue'!K4,'⚙️ Other Assumptions'!$B$14:$AI$14,0)),'⚙️ Other Assumptions'!$B$23) *  INDEX('💰 Revenue'!$C$14:$BJ$14,MATCH(K3,'💰 Revenue'!$C$5:$BJ$5,0))</f>
        <v>32400000</v>
      </c>
      <c r="L18" s="61" t="n">
        <f aca="false">IFERROR(INDEX('⚙️ Other Assumptions'!$C$20:$AJ$20,MATCH('💰 Revenue'!L4,'⚙️ Other Assumptions'!$B$14:$AI$14,0)),'⚙️ Other Assumptions'!$B$23) *  INDEX('💰 Revenue'!$C$14:$BJ$14,MATCH(L3,'💰 Revenue'!$C$5:$BJ$5,0))</f>
        <v>16042500</v>
      </c>
      <c r="M18" s="61" t="n">
        <f aca="false">IFERROR(INDEX('⚙️ Other Assumptions'!$C$20:$AJ$20,MATCH('💰 Revenue'!M4,'⚙️ Other Assumptions'!$B$14:$AI$14,0)),'⚙️ Other Assumptions'!$B$23) *  INDEX('💰 Revenue'!$C$14:$BJ$14,MATCH(M3,'💰 Revenue'!$C$5:$BJ$5,0))</f>
        <v>13950000</v>
      </c>
      <c r="N18" s="61" t="n">
        <f aca="false">IFERROR(INDEX('⚙️ Other Assumptions'!$C$20:$AJ$20,MATCH('💰 Revenue'!N4,'⚙️ Other Assumptions'!$B$14:$AI$14,0)),'⚙️ Other Assumptions'!$B$23) *  INDEX('💰 Revenue'!$C$14:$BJ$14,MATCH(N3,'💰 Revenue'!$C$5:$BJ$5,0))</f>
        <v>12825000</v>
      </c>
      <c r="O18" s="61" t="n">
        <f aca="false">IFERROR(INDEX('⚙️ Other Assumptions'!$C$20:$AJ$20,MATCH('💰 Revenue'!O4,'⚙️ Other Assumptions'!$B$14:$AI$14,0)),'⚙️ Other Assumptions'!$B$23) *  INDEX('💰 Revenue'!$C$14:$BJ$14,MATCH(O3,'💰 Revenue'!$C$5:$BJ$5,0))</f>
        <v>13252500</v>
      </c>
      <c r="P18" s="61" t="n">
        <f aca="false">IFERROR(INDEX('⚙️ Other Assumptions'!$C$20:$AJ$20,MATCH('💰 Revenue'!P4,'⚙️ Other Assumptions'!$B$14:$AI$14,0)),'⚙️ Other Assumptions'!$B$23) *  INDEX('💰 Revenue'!$C$14:$BJ$14,MATCH(P3,'💰 Revenue'!$C$5:$BJ$5,0))</f>
        <v>10631250</v>
      </c>
      <c r="Q18" s="61" t="n">
        <f aca="false">IFERROR(INDEX('⚙️ Other Assumptions'!$C$20:$AJ$20,MATCH('💰 Revenue'!Q4,'⚙️ Other Assumptions'!$B$14:$AI$14,0)),'⚙️ Other Assumptions'!$B$23) *  INDEX('💰 Revenue'!$C$14:$BJ$14,MATCH(Q3,'💰 Revenue'!$C$5:$BJ$5,0))</f>
        <v>12555000</v>
      </c>
      <c r="R18" s="61" t="n">
        <f aca="false">IFERROR(INDEX('⚙️ Other Assumptions'!$C$20:$AJ$20,MATCH('💰 Revenue'!R4,'⚙️ Other Assumptions'!$B$14:$AI$14,0)),'⚙️ Other Assumptions'!$B$23) *  INDEX('💰 Revenue'!$C$14:$BJ$14,MATCH(R3,'💰 Revenue'!$C$5:$BJ$5,0))</f>
        <v>12555000</v>
      </c>
      <c r="S18" s="61" t="n">
        <f aca="false">IFERROR(INDEX('⚙️ Other Assumptions'!$C$20:$AJ$20,MATCH('💰 Revenue'!S4,'⚙️ Other Assumptions'!$B$14:$AI$14,0)),'⚙️ Other Assumptions'!$B$23) *  INDEX('💰 Revenue'!$C$14:$BJ$14,MATCH(S3,'💰 Revenue'!$C$5:$BJ$5,0))</f>
        <v>9639000</v>
      </c>
      <c r="T18" s="61" t="n">
        <f aca="false">IFERROR(INDEX('⚙️ Other Assumptions'!$C$20:$AJ$20,MATCH('💰 Revenue'!T4,'⚙️ Other Assumptions'!$B$14:$AI$14,0)),'⚙️ Other Assumptions'!$B$23) *  INDEX('💰 Revenue'!$C$14:$BJ$14,MATCH(T3,'💰 Revenue'!$C$5:$BJ$5,0))</f>
        <v>11927250</v>
      </c>
      <c r="U18" s="61" t="n">
        <f aca="false">IFERROR(INDEX('⚙️ Other Assumptions'!$C$20:$AJ$20,MATCH('💰 Revenue'!U4,'⚙️ Other Assumptions'!$B$14:$AI$14,0)),'⚙️ Other Assumptions'!$B$23) *  INDEX('💰 Revenue'!$C$14:$BJ$14,MATCH(U3,'💰 Revenue'!$C$5:$BJ$5,0))</f>
        <v>13972500</v>
      </c>
      <c r="V18" s="61" t="n">
        <f aca="false">IFERROR(INDEX('⚙️ Other Assumptions'!$C$20:$AJ$20,MATCH('💰 Revenue'!V4,'⚙️ Other Assumptions'!$B$14:$AI$14,0)),'⚙️ Other Assumptions'!$B$23) *  INDEX('💰 Revenue'!$C$14:$BJ$14,MATCH(V3,'💰 Revenue'!$C$5:$BJ$5,0))</f>
        <v>13182750</v>
      </c>
      <c r="W18" s="61" t="n">
        <f aca="false">IFERROR(INDEX('⚙️ Other Assumptions'!$C$20:$AJ$20,MATCH('💰 Revenue'!W4,'⚙️ Other Assumptions'!$B$14:$AI$14,0)),'⚙️ Other Assumptions'!$B$23) *  INDEX('💰 Revenue'!$C$14:$BJ$14,MATCH(W3,'💰 Revenue'!$C$5:$BJ$5,0))</f>
        <v>14580000</v>
      </c>
      <c r="X18" s="61" t="n">
        <f aca="false">IFERROR(INDEX('⚙️ Other Assumptions'!$C$20:$AJ$20,MATCH('💰 Revenue'!X4,'⚙️ Other Assumptions'!$B$14:$AI$14,0)),'⚙️ Other Assumptions'!$B$23) *  INDEX('💰 Revenue'!$C$14:$BJ$14,MATCH(X3,'💰 Revenue'!$C$5:$BJ$5,0))</f>
        <v>14438250</v>
      </c>
      <c r="Y18" s="61" t="n">
        <f aca="false">IFERROR(INDEX('⚙️ Other Assumptions'!$C$20:$AJ$20,MATCH('💰 Revenue'!Y4,'⚙️ Other Assumptions'!$B$14:$AI$14,0)),'⚙️ Other Assumptions'!$B$23) *  INDEX('💰 Revenue'!$C$14:$BJ$14,MATCH(Y3,'💰 Revenue'!$C$5:$BJ$5,0))</f>
        <v>12555000</v>
      </c>
      <c r="Z18" s="61" t="n">
        <f aca="false">IFERROR(INDEX('⚙️ Other Assumptions'!$C$20:$AJ$20,MATCH('💰 Revenue'!Z4,'⚙️ Other Assumptions'!$B$14:$AI$14,0)),'⚙️ Other Assumptions'!$B$23) *  INDEX('💰 Revenue'!$C$14:$BJ$14,MATCH(Z3,'💰 Revenue'!$C$5:$BJ$5,0))</f>
        <v>11542500</v>
      </c>
      <c r="AA18" s="61" t="n">
        <f aca="false">IFERROR(INDEX('⚙️ Other Assumptions'!$C$20:$AJ$20,MATCH('💰 Revenue'!AA4,'⚙️ Other Assumptions'!$B$14:$AI$14,0)),'⚙️ Other Assumptions'!$B$23) *  INDEX('💰 Revenue'!$C$14:$BJ$14,MATCH(AA3,'💰 Revenue'!$C$5:$BJ$5,0))</f>
        <v>11927250</v>
      </c>
      <c r="AB18" s="61" t="n">
        <f aca="false">IFERROR(INDEX('⚙️ Other Assumptions'!$C$20:$AJ$20,MATCH('💰 Revenue'!AB4,'⚙️ Other Assumptions'!$B$14:$AI$14,0)),'⚙️ Other Assumptions'!$B$23) *  INDEX('💰 Revenue'!$C$14:$BJ$14,MATCH(AB3,'💰 Revenue'!$C$5:$BJ$5,0))</f>
        <v>12757500</v>
      </c>
      <c r="AC18" s="61" t="n">
        <f aca="false">IFERROR(INDEX('⚙️ Other Assumptions'!$C$20:$AJ$20,MATCH('💰 Revenue'!AC4,'⚙️ Other Assumptions'!$B$14:$AI$14,0)),'⚙️ Other Assumptions'!$B$23) *  INDEX('💰 Revenue'!$C$14:$BJ$14,MATCH(AC3,'💰 Revenue'!$C$5:$BJ$5,0))</f>
        <v>15066000</v>
      </c>
      <c r="AD18" s="61" t="n">
        <f aca="false">IFERROR(INDEX('⚙️ Other Assumptions'!$C$20:$AJ$20,MATCH('💰 Revenue'!AD4,'⚙️ Other Assumptions'!$B$14:$AI$14,0)),'⚙️ Other Assumptions'!$B$23) *  INDEX('💰 Revenue'!$C$14:$BJ$14,MATCH(AD3,'💰 Revenue'!$C$5:$BJ$5,0))</f>
        <v>15066000</v>
      </c>
      <c r="AE18" s="61" t="n">
        <f aca="false">IFERROR(INDEX('⚙️ Other Assumptions'!$C$20:$AJ$20,MATCH('💰 Revenue'!AE4,'⚙️ Other Assumptions'!$B$14:$AI$14,0)),'⚙️ Other Assumptions'!$B$23) *  INDEX('💰 Revenue'!$C$14:$BJ$14,MATCH(AE3,'💰 Revenue'!$C$5:$BJ$5,0))</f>
        <v>9639000</v>
      </c>
      <c r="AF18" s="61" t="n">
        <f aca="false">IFERROR(INDEX('⚙️ Other Assumptions'!$C$20:$AJ$20,MATCH('💰 Revenue'!AF4,'⚙️ Other Assumptions'!$B$14:$AI$14,0)),'⚙️ Other Assumptions'!$B$23) *  INDEX('💰 Revenue'!$C$14:$BJ$14,MATCH(AF3,'💰 Revenue'!$C$5:$BJ$5,0))</f>
        <v>11927250</v>
      </c>
      <c r="AG18" s="61" t="n">
        <f aca="false">IFERROR(INDEX('⚙️ Other Assumptions'!$C$20:$AJ$20,MATCH('💰 Revenue'!AG4,'⚙️ Other Assumptions'!$B$14:$AI$14,0)),'⚙️ Other Assumptions'!$B$23) *  INDEX('💰 Revenue'!$C$14:$BJ$14,MATCH(AG3,'💰 Revenue'!$C$5:$BJ$5,0))</f>
        <v>13972500</v>
      </c>
      <c r="AH18" s="61" t="n">
        <f aca="false">IFERROR(INDEX('⚙️ Other Assumptions'!$C$20:$AJ$20,MATCH('💰 Revenue'!AH4,'⚙️ Other Assumptions'!$B$14:$AI$14,0)),'⚙️ Other Assumptions'!$B$23) *  INDEX('💰 Revenue'!$C$14:$BJ$14,MATCH(AH3,'💰 Revenue'!$C$5:$BJ$5,0))</f>
        <v>13182750</v>
      </c>
      <c r="AI18" s="61" t="n">
        <f aca="false">IFERROR(INDEX('⚙️ Other Assumptions'!$C$20:$AJ$20,MATCH('💰 Revenue'!AI4,'⚙️ Other Assumptions'!$B$14:$AI$14,0)),'⚙️ Other Assumptions'!$B$23) *  INDEX('💰 Revenue'!$C$14:$BJ$14,MATCH(AI3,'💰 Revenue'!$C$5:$BJ$5,0))</f>
        <v>14580000</v>
      </c>
      <c r="AJ18" s="61" t="n">
        <f aca="false">IFERROR(INDEX('⚙️ Other Assumptions'!$C$20:$AJ$20,MATCH('💰 Revenue'!AJ4,'⚙️ Other Assumptions'!$B$14:$AI$14,0)),'⚙️ Other Assumptions'!$B$23) *  INDEX('💰 Revenue'!$C$14:$BJ$14,MATCH(AJ3,'💰 Revenue'!$C$5:$BJ$5,0))</f>
        <v>14438250</v>
      </c>
      <c r="AK18" s="61" t="n">
        <f aca="false">IFERROR(INDEX('⚙️ Other Assumptions'!$C$20:$AJ$20,MATCH('💰 Revenue'!AK4,'⚙️ Other Assumptions'!$B$14:$AI$14,0)),'⚙️ Other Assumptions'!$B$23) *  INDEX('💰 Revenue'!$C$14:$BJ$14,MATCH(AK3,'💰 Revenue'!$C$5:$BJ$5,0))</f>
        <v>12555000</v>
      </c>
      <c r="AL18" s="61" t="n">
        <f aca="false">IFERROR(INDEX('⚙️ Other Assumptions'!$C$20:$AJ$20,MATCH('💰 Revenue'!AL4,'⚙️ Other Assumptions'!$B$14:$AI$14,0)),'⚙️ Other Assumptions'!$B$23) *  INDEX('💰 Revenue'!$C$14:$BJ$14,MATCH(AL3,'💰 Revenue'!$C$5:$BJ$5,0))</f>
        <v>11542500</v>
      </c>
      <c r="AM18" s="61" t="n">
        <f aca="false">IFERROR(INDEX('⚙️ Other Assumptions'!$C$20:$AJ$20,MATCH('💰 Revenue'!AM4,'⚙️ Other Assumptions'!$B$14:$AI$14,0)),'⚙️ Other Assumptions'!$B$23) *  INDEX('💰 Revenue'!$C$14:$BJ$14,MATCH(AM3,'💰 Revenue'!$C$5:$BJ$5,0))</f>
        <v>11927250</v>
      </c>
      <c r="AN18" s="61" t="n">
        <f aca="false">IFERROR(INDEX('⚙️ Other Assumptions'!$C$20:$AJ$20,MATCH('💰 Revenue'!AN4,'⚙️ Other Assumptions'!$B$14:$AI$14,0)),'⚙️ Other Assumptions'!$B$23) *  INDEX('💰 Revenue'!$C$14:$BJ$14,MATCH(AN3,'💰 Revenue'!$C$5:$BJ$5,0))</f>
        <v>12757500</v>
      </c>
      <c r="AO18" s="61" t="n">
        <f aca="false">IFERROR(INDEX('⚙️ Other Assumptions'!$C$20:$AJ$20,MATCH('💰 Revenue'!AO4,'⚙️ Other Assumptions'!$B$14:$AI$14,0)),'⚙️ Other Assumptions'!$B$23) *  INDEX('💰 Revenue'!$C$14:$BJ$14,MATCH(AO3,'💰 Revenue'!$C$5:$BJ$5,0))</f>
        <v>15066000</v>
      </c>
      <c r="AP18" s="61" t="n">
        <f aca="false">IFERROR(INDEX('⚙️ Other Assumptions'!$C$20:$AJ$20,MATCH('💰 Revenue'!AP4,'⚙️ Other Assumptions'!$B$14:$AI$14,0)),'⚙️ Other Assumptions'!$B$23) *  INDEX('💰 Revenue'!$C$14:$BJ$14,MATCH(AP3,'💰 Revenue'!$C$5:$BJ$5,0))</f>
        <v>15066000</v>
      </c>
      <c r="AQ18" s="61" t="n">
        <f aca="false">IFERROR(INDEX('⚙️ Other Assumptions'!$C$20:$AJ$20,MATCH('💰 Revenue'!AQ4,'⚙️ Other Assumptions'!$B$14:$AI$14,0)),'⚙️ Other Assumptions'!$B$23) *  INDEX('💰 Revenue'!$C$14:$BJ$14,MATCH(AQ3,'💰 Revenue'!$C$5:$BJ$5,0))</f>
        <v>9639000</v>
      </c>
      <c r="AR18" s="61" t="n">
        <f aca="false">IFERROR(INDEX('⚙️ Other Assumptions'!$C$20:$AJ$20,MATCH('💰 Revenue'!AR4,'⚙️ Other Assumptions'!$B$14:$AI$14,0)),'⚙️ Other Assumptions'!$B$23) *  INDEX('💰 Revenue'!$C$14:$BJ$14,MATCH(AR3,'💰 Revenue'!$C$5:$BJ$5,0))</f>
        <v>11927250</v>
      </c>
      <c r="AS18" s="61" t="n">
        <f aca="false">IFERROR(INDEX('⚙️ Other Assumptions'!$C$20:$AJ$20,MATCH('💰 Revenue'!AS4,'⚙️ Other Assumptions'!$B$14:$AI$14,0)),'⚙️ Other Assumptions'!$B$23) *  INDEX('💰 Revenue'!$C$14:$BJ$14,MATCH(AS3,'💰 Revenue'!$C$5:$BJ$5,0))</f>
        <v>13972500</v>
      </c>
      <c r="AT18" s="61" t="n">
        <f aca="false">IFERROR(INDEX('⚙️ Other Assumptions'!$C$20:$AJ$20,MATCH('💰 Revenue'!AT4,'⚙️ Other Assumptions'!$B$14:$AI$14,0)),'⚙️ Other Assumptions'!$B$23) *  INDEX('💰 Revenue'!$C$14:$BJ$14,MATCH(AT3,'💰 Revenue'!$C$5:$BJ$5,0))</f>
        <v>13182750</v>
      </c>
      <c r="AU18" s="61" t="n">
        <f aca="false">IFERROR(INDEX('⚙️ Other Assumptions'!$C$20:$AJ$20,MATCH('💰 Revenue'!AU4,'⚙️ Other Assumptions'!$B$14:$AI$14,0)),'⚙️ Other Assumptions'!$B$23) *  INDEX('💰 Revenue'!$C$14:$BJ$14,MATCH(AU3,'💰 Revenue'!$C$5:$BJ$5,0))</f>
        <v>14580000</v>
      </c>
      <c r="AV18" s="61" t="n">
        <f aca="false">IFERROR(INDEX('⚙️ Other Assumptions'!$C$20:$AJ$20,MATCH('💰 Revenue'!AV4,'⚙️ Other Assumptions'!$B$14:$AI$14,0)),'⚙️ Other Assumptions'!$B$23) *  INDEX('💰 Revenue'!$C$14:$BJ$14,MATCH(AV3,'💰 Revenue'!$C$5:$BJ$5,0))</f>
        <v>14438250</v>
      </c>
      <c r="AW18" s="61" t="n">
        <f aca="false">IFERROR(INDEX('⚙️ Other Assumptions'!$C$20:$AJ$20,MATCH('💰 Revenue'!AW4,'⚙️ Other Assumptions'!$B$14:$AI$14,0)),'⚙️ Other Assumptions'!$B$23) *  INDEX('💰 Revenue'!$C$14:$BJ$14,MATCH(AW3,'💰 Revenue'!$C$5:$BJ$5,0))</f>
        <v>12555000</v>
      </c>
      <c r="AX18" s="61" t="n">
        <f aca="false">IFERROR(INDEX('⚙️ Other Assumptions'!$C$20:$AJ$20,MATCH('💰 Revenue'!AX4,'⚙️ Other Assumptions'!$B$14:$AI$14,0)),'⚙️ Other Assumptions'!$B$23) *  INDEX('💰 Revenue'!$C$14:$BJ$14,MATCH(AX3,'💰 Revenue'!$C$5:$BJ$5,0))</f>
        <v>11542500</v>
      </c>
      <c r="AY18" s="61" t="n">
        <f aca="false">IFERROR(INDEX('⚙️ Other Assumptions'!$C$20:$AJ$20,MATCH('💰 Revenue'!AY4,'⚙️ Other Assumptions'!$B$14:$AI$14,0)),'⚙️ Other Assumptions'!$B$23) *  INDEX('💰 Revenue'!$C$14:$BJ$14,MATCH(AY3,'💰 Revenue'!$C$5:$BJ$5,0))</f>
        <v>11927250</v>
      </c>
      <c r="AZ18" s="61" t="n">
        <f aca="false">IFERROR(INDEX('⚙️ Other Assumptions'!$C$20:$AJ$20,MATCH('💰 Revenue'!AZ4,'⚙️ Other Assumptions'!$B$14:$AI$14,0)),'⚙️ Other Assumptions'!$B$23) *  INDEX('💰 Revenue'!$C$14:$BJ$14,MATCH(AZ3,'💰 Revenue'!$C$5:$BJ$5,0))</f>
        <v>12757500</v>
      </c>
      <c r="BA18" s="61" t="n">
        <f aca="false">IFERROR(INDEX('⚙️ Other Assumptions'!$C$20:$AJ$20,MATCH('💰 Revenue'!BA4,'⚙️ Other Assumptions'!$B$14:$AI$14,0)),'⚙️ Other Assumptions'!$B$23) *  INDEX('💰 Revenue'!$C$14:$BJ$14,MATCH(BA3,'💰 Revenue'!$C$5:$BJ$5,0))</f>
        <v>15066000</v>
      </c>
      <c r="BB18" s="61" t="n">
        <f aca="false">IFERROR(INDEX('⚙️ Other Assumptions'!$C$20:$AJ$20,MATCH('💰 Revenue'!BB4,'⚙️ Other Assumptions'!$B$14:$AI$14,0)),'⚙️ Other Assumptions'!$B$23) *  INDEX('💰 Revenue'!$C$14:$BJ$14,MATCH(BB3,'💰 Revenue'!$C$5:$BJ$5,0))</f>
        <v>15066000</v>
      </c>
      <c r="BC18" s="61" t="n">
        <f aca="false">IFERROR(INDEX('⚙️ Other Assumptions'!$C$20:$AJ$20,MATCH('💰 Revenue'!BC4,'⚙️ Other Assumptions'!$B$14:$AI$14,0)),'⚙️ Other Assumptions'!$B$23) *  INDEX('💰 Revenue'!$C$14:$BJ$14,MATCH(BC3,'💰 Revenue'!$C$5:$BJ$5,0))</f>
        <v>9983250</v>
      </c>
      <c r="BD18" s="61" t="n">
        <f aca="false">IFERROR(INDEX('⚙️ Other Assumptions'!$C$20:$AJ$20,MATCH('💰 Revenue'!BD4,'⚙️ Other Assumptions'!$B$14:$AI$14,0)),'⚙️ Other Assumptions'!$B$23) *  INDEX('💰 Revenue'!$C$14:$BJ$14,MATCH(BD3,'💰 Revenue'!$C$5:$BJ$5,0))</f>
        <v>11927250</v>
      </c>
      <c r="BE18" s="61" t="n">
        <f aca="false">IFERROR(INDEX('⚙️ Other Assumptions'!$C$20:$AJ$20,MATCH('💰 Revenue'!BE4,'⚙️ Other Assumptions'!$B$14:$AI$14,0)),'⚙️ Other Assumptions'!$B$23) *  INDEX('💰 Revenue'!$C$14:$BJ$14,MATCH(BE3,'💰 Revenue'!$C$5:$BJ$5,0))</f>
        <v>13972500</v>
      </c>
      <c r="BF18" s="61" t="n">
        <f aca="false">IFERROR(INDEX('⚙️ Other Assumptions'!$C$20:$AJ$20,MATCH('💰 Revenue'!BF4,'⚙️ Other Assumptions'!$B$14:$AI$14,0)),'⚙️ Other Assumptions'!$B$23) *  INDEX('💰 Revenue'!$C$14:$BJ$14,MATCH(BF3,'💰 Revenue'!$C$5:$BJ$5,0))</f>
        <v>13182750</v>
      </c>
      <c r="BG18" s="61" t="n">
        <f aca="false">IFERROR(INDEX('⚙️ Other Assumptions'!$C$20:$AJ$20,MATCH('💰 Revenue'!BG4,'⚙️ Other Assumptions'!$B$14:$AI$14,0)),'⚙️ Other Assumptions'!$B$23) *  INDEX('💰 Revenue'!$C$14:$BJ$14,MATCH(BG3,'💰 Revenue'!$C$5:$BJ$5,0))</f>
        <v>14580000</v>
      </c>
      <c r="BH18" s="61" t="n">
        <f aca="false">IFERROR(INDEX('⚙️ Other Assumptions'!$C$20:$AJ$20,MATCH('💰 Revenue'!BH4,'⚙️ Other Assumptions'!$B$14:$AI$14,0)),'⚙️ Other Assumptions'!$B$23) *  INDEX('💰 Revenue'!$C$14:$BJ$14,MATCH(BH3,'💰 Revenue'!$C$5:$BJ$5,0))</f>
        <v>14438250</v>
      </c>
      <c r="BI18" s="61" t="n">
        <f aca="false">IFERROR(INDEX('⚙️ Other Assumptions'!$C$20:$AJ$20,MATCH('💰 Revenue'!BI4,'⚙️ Other Assumptions'!$B$14:$AI$14,0)),'⚙️ Other Assumptions'!$B$23) *  INDEX('💰 Revenue'!$C$14:$BJ$14,MATCH(BI3,'💰 Revenue'!$C$5:$BJ$5,0))</f>
        <v>12555000</v>
      </c>
      <c r="BJ18" s="61" t="n">
        <f aca="false">IFERROR(INDEX('⚙️ Other Assumptions'!$C$20:$AJ$20,MATCH('💰 Revenue'!BJ4,'⚙️ Other Assumptions'!$B$14:$AI$14,0)),'⚙️ Other Assumptions'!$B$23) *  INDEX('💰 Revenue'!$C$14:$BJ$14,MATCH(BJ3,'💰 Revenue'!$C$5:$BJ$5,0))</f>
        <v>11542500</v>
      </c>
    </row>
    <row r="19" customFormat="false" ht="13.5" hidden="false" customHeight="true" outlineLevel="0" collapsed="false">
      <c r="A19" s="37" t="s">
        <v>270</v>
      </c>
      <c r="B19" s="68" t="n">
        <f aca="false">SUM(C19:AL19)</f>
        <v>0</v>
      </c>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64"/>
      <c r="AH19" s="64"/>
      <c r="AI19" s="64"/>
      <c r="AJ19" s="64"/>
      <c r="AK19" s="64"/>
      <c r="AL19" s="64"/>
      <c r="AM19" s="64"/>
      <c r="AN19" s="64"/>
      <c r="AO19" s="64"/>
      <c r="AP19" s="64"/>
      <c r="AQ19" s="64"/>
      <c r="AR19" s="64"/>
      <c r="AS19" s="64"/>
      <c r="AT19" s="64"/>
      <c r="AU19" s="64"/>
      <c r="AV19" s="64"/>
      <c r="AW19" s="64"/>
      <c r="AX19" s="64"/>
      <c r="AY19" s="64"/>
      <c r="AZ19" s="64"/>
      <c r="BA19" s="64"/>
      <c r="BB19" s="64"/>
      <c r="BC19" s="64"/>
      <c r="BD19" s="64"/>
      <c r="BE19" s="64"/>
      <c r="BF19" s="64"/>
      <c r="BG19" s="64"/>
      <c r="BH19" s="64"/>
      <c r="BI19" s="64"/>
      <c r="BJ19" s="64"/>
    </row>
    <row r="20" customFormat="false" ht="13.5" hidden="false" customHeight="true" outlineLevel="0" collapsed="false">
      <c r="A20" s="69" t="s">
        <v>271</v>
      </c>
      <c r="B20" s="70" t="n">
        <f aca="false">SUM(C20:AL20)</f>
        <v>5044482793.75</v>
      </c>
      <c r="C20" s="70" t="n">
        <f aca="false">C9+C10+C15+C17+C18+C19</f>
        <v>57500000</v>
      </c>
      <c r="D20" s="70" t="n">
        <f aca="false">D9+D10+D15+D17+D18+D19</f>
        <v>57500000</v>
      </c>
      <c r="E20" s="70" t="n">
        <f aca="false">E9+E10+E15+E17+E18+E19</f>
        <v>134928825</v>
      </c>
      <c r="F20" s="70" t="n">
        <f aca="false">F9+F10+F15+F17+F18+F19</f>
        <v>151313100</v>
      </c>
      <c r="G20" s="70" t="n">
        <f aca="false">G9+G10+G15+G17+G18+G19</f>
        <v>118873218.75</v>
      </c>
      <c r="H20" s="70" t="n">
        <f aca="false">H9+H10+H15+H17+H18+H19</f>
        <v>130346250</v>
      </c>
      <c r="I20" s="70" t="n">
        <f aca="false">I9+I10+I15+I17+I18+I19</f>
        <v>141970312.5</v>
      </c>
      <c r="J20" s="70" t="n">
        <f aca="false">J9+J10+J15+J17+J18+J19</f>
        <v>145011187.5</v>
      </c>
      <c r="K20" s="70" t="n">
        <f aca="false">K9+K10+K15+K17+K18+K19</f>
        <v>158145000</v>
      </c>
      <c r="L20" s="70" t="n">
        <f aca="false">L9+L10+L15+L17+L18+L19</f>
        <v>142046812.5</v>
      </c>
      <c r="M20" s="70" t="n">
        <f aca="false">M9+M10+M15+M17+M18+M19</f>
        <v>135507750</v>
      </c>
      <c r="N20" s="70" t="n">
        <f aca="false">N9+N10+N15+N17+N18+N19</f>
        <v>131398125</v>
      </c>
      <c r="O20" s="70" t="n">
        <f aca="false">O9+O10+O15+O17+O18+O19</f>
        <v>133328062.5</v>
      </c>
      <c r="P20" s="70" t="n">
        <f aca="false">P9+P10+P15+P17+P18+P19</f>
        <v>123568125</v>
      </c>
      <c r="Q20" s="70" t="n">
        <f aca="false">Q9+Q10+Q15+Q17+Q18+Q19</f>
        <v>129997500</v>
      </c>
      <c r="R20" s="70" t="n">
        <f aca="false">R9+R10+R15+R17+R18+R19</f>
        <v>138367500</v>
      </c>
      <c r="S20" s="70" t="n">
        <f aca="false">S9+S10+S15+S17+S18+S19</f>
        <v>132625500</v>
      </c>
      <c r="T20" s="70" t="n">
        <f aca="false">T9+T10+T15+T17+T18+T19</f>
        <v>143773125</v>
      </c>
      <c r="U20" s="70" t="n">
        <f aca="false">U9+U10+U15+U17+U18+U19</f>
        <v>150821250</v>
      </c>
      <c r="V20" s="70" t="n">
        <f aca="false">V9+V10+V15+V17+V18+V19</f>
        <v>148585875</v>
      </c>
      <c r="W20" s="70" t="n">
        <f aca="false">W9+W10+W15+W17+W18+W19</f>
        <v>162870000</v>
      </c>
      <c r="X20" s="70" t="n">
        <f aca="false">X9+X10+X15+X17+X18+X19</f>
        <v>163024125</v>
      </c>
      <c r="Y20" s="70" t="n">
        <f aca="false">Y9+Y10+Y15+Y17+Y18+Y19</f>
        <v>154549500</v>
      </c>
      <c r="Z20" s="70" t="n">
        <f aca="false">Z9+Z10+Z15+Z17+Z18+Z19</f>
        <v>149201250</v>
      </c>
      <c r="AA20" s="70" t="n">
        <f aca="false">AA9+AA10+AA15+AA17+AA18+AA19</f>
        <v>151724625</v>
      </c>
      <c r="AB20" s="70" t="n">
        <f aca="false">AB9+AB10+AB15+AB17+AB18+AB19</f>
        <v>144462750</v>
      </c>
      <c r="AC20" s="70" t="n">
        <f aca="false">AC9+AC10+AC15+AC17+AC18+AC19</f>
        <v>153796200</v>
      </c>
      <c r="AD20" s="70" t="n">
        <f aca="false">AD9+AD10+AD15+AD17+AD18+AD19</f>
        <v>153796200</v>
      </c>
      <c r="AE20" s="70" t="n">
        <f aca="false">AE9+AE10+AE15+AE17+AE18+AE19</f>
        <v>132625500</v>
      </c>
      <c r="AF20" s="70" t="n">
        <f aca="false">AF9+AF10+AF15+AF17+AF18+AF19</f>
        <v>143773125</v>
      </c>
      <c r="AG20" s="70" t="n">
        <f aca="false">AG9+AG10+AG15+AG17+AG18+AG19</f>
        <v>150821250</v>
      </c>
      <c r="AH20" s="70" t="n">
        <f aca="false">AH9+AH10+AH15+AH17+AH18+AH19</f>
        <v>148585875</v>
      </c>
      <c r="AI20" s="70" t="n">
        <f aca="false">AI9+AI10+AI15+AI17+AI18+AI19</f>
        <v>162870000</v>
      </c>
      <c r="AJ20" s="70" t="n">
        <f aca="false">AJ9+AJ10+AJ15+AJ17+AJ18+AJ19</f>
        <v>163024125</v>
      </c>
      <c r="AK20" s="70" t="n">
        <f aca="false">AK9+AK10+AK15+AK17+AK18+AK19</f>
        <v>154549500</v>
      </c>
      <c r="AL20" s="70" t="n">
        <f aca="false">AL9+AL10+AL15+AL17+AL18+AL19</f>
        <v>149201250</v>
      </c>
      <c r="AM20" s="70" t="n">
        <f aca="false">AM9+AM10+AM15+AM17+AM18+AM19</f>
        <v>151724625</v>
      </c>
      <c r="AN20" s="70" t="n">
        <f aca="false">AN9+AN10+AN15+AN17+AN18+AN19</f>
        <v>144462750</v>
      </c>
      <c r="AO20" s="70" t="n">
        <f aca="false">AO9+AO10+AO15+AO17+AO18+AO19</f>
        <v>153796200</v>
      </c>
      <c r="AP20" s="70" t="n">
        <f aca="false">AP9+AP10+AP15+AP17+AP18+AP19</f>
        <v>158818200</v>
      </c>
      <c r="AQ20" s="70" t="n">
        <f aca="false">AQ9+AQ10+AQ15+AQ17+AQ18+AQ19</f>
        <v>135838500</v>
      </c>
      <c r="AR20" s="70" t="n">
        <f aca="false">AR9+AR10+AR15+AR17+AR18+AR19</f>
        <v>147748875</v>
      </c>
      <c r="AS20" s="70" t="n">
        <f aca="false">AS9+AS10+AS15+AS17+AS18+AS19</f>
        <v>155478750</v>
      </c>
      <c r="AT20" s="70" t="n">
        <f aca="false">AT9+AT10+AT15+AT17+AT18+AT19</f>
        <v>152980125</v>
      </c>
      <c r="AU20" s="70" t="n">
        <f aca="false">AU9+AU10+AU15+AU17+AU18+AU19</f>
        <v>167730000</v>
      </c>
      <c r="AV20" s="70" t="n">
        <f aca="false">AV9+AV10+AV15+AV17+AV18+AV19</f>
        <v>167836875</v>
      </c>
      <c r="AW20" s="70" t="n">
        <f aca="false">AW9+AW10+AW15+AW17+AW18+AW19</f>
        <v>158734500</v>
      </c>
      <c r="AX20" s="70" t="n">
        <f aca="false">AX9+AX10+AX15+AX17+AX18+AX19</f>
        <v>153048750</v>
      </c>
      <c r="AY20" s="70" t="n">
        <f aca="false">AY9+AY10+AY15+AY17+AY18+AY19</f>
        <v>155700375</v>
      </c>
      <c r="AZ20" s="70" t="n">
        <f aca="false">AZ9+AZ10+AZ15+AZ17+AZ18+AZ19</f>
        <v>148715250</v>
      </c>
      <c r="BA20" s="70" t="n">
        <f aca="false">BA9+BA10+BA15+BA17+BA18+BA19</f>
        <v>158818200</v>
      </c>
      <c r="BB20" s="70" t="n">
        <f aca="false">BB9+BB10+BB15+BB17+BB18+BB19</f>
        <v>157010280</v>
      </c>
      <c r="BC20" s="70" t="n">
        <f aca="false">BC9+BC10+BC15+BC17+BC18+BC19</f>
        <v>136733775</v>
      </c>
      <c r="BD20" s="70" t="n">
        <f aca="false">BD9+BD10+BD15+BD17+BD18+BD19</f>
        <v>146158575</v>
      </c>
      <c r="BE20" s="70" t="n">
        <f aca="false">BE9+BE10+BE15+BE17+BE18+BE19</f>
        <v>153615750</v>
      </c>
      <c r="BF20" s="70" t="n">
        <f aca="false">BF9+BF10+BF15+BF17+BF18+BF19</f>
        <v>151222425</v>
      </c>
      <c r="BG20" s="70" t="n">
        <f aca="false">BG9+BG10+BG15+BG17+BG18+BG19</f>
        <v>164814000</v>
      </c>
      <c r="BH20" s="70" t="n">
        <f aca="false">BH9+BH10+BH15+BH17+BH18+BH19</f>
        <v>164949225</v>
      </c>
      <c r="BI20" s="70" t="n">
        <f aca="false">BI9+BI10+BI15+BI17+BI18+BI19</f>
        <v>156223500</v>
      </c>
      <c r="BJ20" s="70" t="n">
        <f aca="false">BJ9+BJ10+BJ15+BJ17+BJ18+BJ19</f>
        <v>150740250</v>
      </c>
    </row>
    <row r="21" customFormat="false" ht="13.5" hidden="false" customHeight="true" outlineLevel="0" collapsed="false">
      <c r="A21" s="59" t="s">
        <v>272</v>
      </c>
      <c r="B21" s="59"/>
      <c r="C21" s="59"/>
      <c r="D21" s="59"/>
      <c r="E21" s="59"/>
      <c r="F21" s="59"/>
      <c r="G21" s="59"/>
      <c r="H21" s="59"/>
      <c r="I21" s="59"/>
      <c r="J21" s="59"/>
      <c r="K21" s="59"/>
      <c r="L21" s="59"/>
      <c r="M21" s="59"/>
      <c r="N21" s="59"/>
      <c r="O21" s="59"/>
      <c r="P21" s="59"/>
      <c r="Q21" s="59"/>
      <c r="R21" s="59"/>
      <c r="S21" s="59"/>
      <c r="T21" s="59"/>
      <c r="U21" s="59"/>
      <c r="V21" s="59"/>
      <c r="W21" s="59"/>
      <c r="X21" s="59"/>
      <c r="Y21" s="59"/>
      <c r="Z21" s="59"/>
      <c r="AA21" s="59"/>
      <c r="AB21" s="59"/>
      <c r="AC21" s="59"/>
      <c r="AD21" s="59"/>
      <c r="AE21" s="59"/>
      <c r="AF21" s="59"/>
      <c r="AG21" s="59"/>
      <c r="AH21" s="59"/>
      <c r="AI21" s="59"/>
      <c r="AJ21" s="59"/>
      <c r="AK21" s="59"/>
      <c r="AL21" s="59"/>
      <c r="AM21" s="59"/>
      <c r="AN21" s="71"/>
      <c r="AO21" s="71"/>
      <c r="AP21" s="71"/>
      <c r="AQ21" s="71"/>
      <c r="AR21" s="71"/>
      <c r="AS21" s="71"/>
      <c r="AT21" s="71"/>
      <c r="AU21" s="71"/>
      <c r="AV21" s="71"/>
      <c r="AW21" s="71"/>
      <c r="AX21" s="71"/>
      <c r="AY21" s="71"/>
      <c r="AZ21" s="71"/>
      <c r="BA21" s="71"/>
      <c r="BB21" s="71"/>
      <c r="BC21" s="71"/>
      <c r="BD21" s="71"/>
      <c r="BE21" s="71"/>
      <c r="BF21" s="71"/>
      <c r="BG21" s="71"/>
      <c r="BH21" s="71"/>
      <c r="BI21" s="71"/>
      <c r="BJ21" s="71"/>
    </row>
    <row r="22" customFormat="false" ht="13.5" hidden="false" customHeight="true" outlineLevel="0" collapsed="false">
      <c r="A22" s="38" t="s">
        <v>273</v>
      </c>
      <c r="B22" s="60" t="n">
        <f aca="false">SUM(C22:AL22)</f>
        <v>0</v>
      </c>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c r="AG22" s="64"/>
      <c r="AH22" s="64"/>
      <c r="AI22" s="64"/>
      <c r="AJ22" s="64"/>
      <c r="AK22" s="64"/>
      <c r="AL22" s="64"/>
      <c r="AM22" s="64"/>
      <c r="AN22" s="64"/>
      <c r="AO22" s="64"/>
      <c r="AP22" s="64"/>
      <c r="AQ22" s="64"/>
      <c r="AR22" s="64"/>
      <c r="AS22" s="64"/>
      <c r="AT22" s="64"/>
      <c r="AU22" s="64"/>
      <c r="AV22" s="64"/>
      <c r="AW22" s="64"/>
      <c r="AX22" s="64"/>
      <c r="AY22" s="64"/>
      <c r="AZ22" s="64"/>
      <c r="BA22" s="64"/>
      <c r="BB22" s="64"/>
      <c r="BC22" s="64"/>
      <c r="BD22" s="64"/>
      <c r="BE22" s="64"/>
      <c r="BF22" s="64"/>
      <c r="BG22" s="64"/>
      <c r="BH22" s="64"/>
      <c r="BI22" s="64"/>
      <c r="BJ22" s="64"/>
    </row>
    <row r="23" customFormat="false" ht="13.5" hidden="false" customHeight="true" outlineLevel="0" collapsed="false">
      <c r="A23" s="37" t="s">
        <v>274</v>
      </c>
      <c r="B23" s="68" t="n">
        <f aca="false">SUM(C23:AL23)</f>
        <v>0</v>
      </c>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c r="AC23" s="64"/>
      <c r="AD23" s="64"/>
      <c r="AE23" s="64"/>
      <c r="AF23" s="64"/>
      <c r="AG23" s="64"/>
      <c r="AH23" s="64"/>
      <c r="AI23" s="64"/>
      <c r="AJ23" s="64"/>
      <c r="AK23" s="64"/>
      <c r="AL23" s="64"/>
      <c r="AM23" s="64"/>
      <c r="AN23" s="64"/>
      <c r="AO23" s="64"/>
      <c r="AP23" s="64"/>
      <c r="AQ23" s="64"/>
      <c r="AR23" s="64"/>
      <c r="AS23" s="64"/>
      <c r="AT23" s="64"/>
      <c r="AU23" s="64"/>
      <c r="AV23" s="64"/>
      <c r="AW23" s="64"/>
      <c r="AX23" s="64"/>
      <c r="AY23" s="64"/>
      <c r="AZ23" s="64"/>
      <c r="BA23" s="64"/>
      <c r="BB23" s="64"/>
      <c r="BC23" s="64"/>
      <c r="BD23" s="64"/>
      <c r="BE23" s="64"/>
      <c r="BF23" s="64"/>
      <c r="BG23" s="64"/>
      <c r="BH23" s="64"/>
      <c r="BI23" s="64"/>
      <c r="BJ23" s="64"/>
    </row>
    <row r="24" s="71" customFormat="true" ht="13.5" hidden="false" customHeight="true" outlineLevel="0" collapsed="false">
      <c r="A24" s="38" t="s">
        <v>275</v>
      </c>
      <c r="B24" s="60" t="n">
        <f aca="false">SUM(C24:AL24)</f>
        <v>5044482793.75</v>
      </c>
      <c r="C24" s="60" t="n">
        <f aca="false">C20+C22+C23</f>
        <v>57500000</v>
      </c>
      <c r="D24" s="60" t="n">
        <f aca="false">D20+D22+D23</f>
        <v>57500000</v>
      </c>
      <c r="E24" s="60" t="n">
        <f aca="false">E20+E22+E23</f>
        <v>134928825</v>
      </c>
      <c r="F24" s="60" t="n">
        <f aca="false">F20+F22+F23</f>
        <v>151313100</v>
      </c>
      <c r="G24" s="60" t="n">
        <f aca="false">G20+G22+G23</f>
        <v>118873218.75</v>
      </c>
      <c r="H24" s="60" t="n">
        <f aca="false">H20+H22+H23</f>
        <v>130346250</v>
      </c>
      <c r="I24" s="60" t="n">
        <f aca="false">I20+I22+I23</f>
        <v>141970312.5</v>
      </c>
      <c r="J24" s="60" t="n">
        <f aca="false">J20+J22+J23</f>
        <v>145011187.5</v>
      </c>
      <c r="K24" s="60" t="n">
        <f aca="false">K20+K22+K23</f>
        <v>158145000</v>
      </c>
      <c r="L24" s="60" t="n">
        <f aca="false">L20+L22+L23</f>
        <v>142046812.5</v>
      </c>
      <c r="M24" s="60" t="n">
        <f aca="false">M20+M22+M23</f>
        <v>135507750</v>
      </c>
      <c r="N24" s="60" t="n">
        <f aca="false">N20+N22+N23</f>
        <v>131398125</v>
      </c>
      <c r="O24" s="60" t="n">
        <f aca="false">O20+O22+O23</f>
        <v>133328062.5</v>
      </c>
      <c r="P24" s="60" t="n">
        <f aca="false">P20+P22+P23</f>
        <v>123568125</v>
      </c>
      <c r="Q24" s="60" t="n">
        <f aca="false">Q20+Q22+Q23</f>
        <v>129997500</v>
      </c>
      <c r="R24" s="60" t="n">
        <f aca="false">R20+R22+R23</f>
        <v>138367500</v>
      </c>
      <c r="S24" s="60" t="n">
        <f aca="false">S20+S22+S23</f>
        <v>132625500</v>
      </c>
      <c r="T24" s="60" t="n">
        <f aca="false">T20+T22+T23</f>
        <v>143773125</v>
      </c>
      <c r="U24" s="60" t="n">
        <f aca="false">U20+U22+U23</f>
        <v>150821250</v>
      </c>
      <c r="V24" s="60" t="n">
        <f aca="false">V20+V22+V23</f>
        <v>148585875</v>
      </c>
      <c r="W24" s="60" t="n">
        <f aca="false">W20+W22+W23</f>
        <v>162870000</v>
      </c>
      <c r="X24" s="60" t="n">
        <f aca="false">X20+X22+X23</f>
        <v>163024125</v>
      </c>
      <c r="Y24" s="60" t="n">
        <f aca="false">Y20+Y22+Y23</f>
        <v>154549500</v>
      </c>
      <c r="Z24" s="60" t="n">
        <f aca="false">Z20+Z22+Z23</f>
        <v>149201250</v>
      </c>
      <c r="AA24" s="60" t="n">
        <f aca="false">AA20+AA22+AA23</f>
        <v>151724625</v>
      </c>
      <c r="AB24" s="60" t="n">
        <f aca="false">AB20+AB22+AB23</f>
        <v>144462750</v>
      </c>
      <c r="AC24" s="60" t="n">
        <f aca="false">AC20+AC22+AC23</f>
        <v>153796200</v>
      </c>
      <c r="AD24" s="60" t="n">
        <f aca="false">AD20+AD22+AD23</f>
        <v>153796200</v>
      </c>
      <c r="AE24" s="60" t="n">
        <f aca="false">AE20+AE22+AE23</f>
        <v>132625500</v>
      </c>
      <c r="AF24" s="60" t="n">
        <f aca="false">AF20+AF22+AF23</f>
        <v>143773125</v>
      </c>
      <c r="AG24" s="60" t="n">
        <f aca="false">AG20+AG22+AG23</f>
        <v>150821250</v>
      </c>
      <c r="AH24" s="60" t="n">
        <f aca="false">AH20+AH22+AH23</f>
        <v>148585875</v>
      </c>
      <c r="AI24" s="60" t="n">
        <f aca="false">AI20+AI22+AI23</f>
        <v>162870000</v>
      </c>
      <c r="AJ24" s="60" t="n">
        <f aca="false">AJ20+AJ22+AJ23</f>
        <v>163024125</v>
      </c>
      <c r="AK24" s="60" t="n">
        <f aca="false">AK20+AK22+AK23</f>
        <v>154549500</v>
      </c>
      <c r="AL24" s="60" t="n">
        <f aca="false">AL20+AL22+AL23</f>
        <v>149201250</v>
      </c>
      <c r="AM24" s="60" t="n">
        <f aca="false">AM20+AM22+AM23</f>
        <v>151724625</v>
      </c>
      <c r="AN24" s="60" t="n">
        <f aca="false">AN20+AN22+AN23</f>
        <v>144462750</v>
      </c>
      <c r="AO24" s="60" t="n">
        <f aca="false">AO20+AO22+AO23</f>
        <v>153796200</v>
      </c>
      <c r="AP24" s="60" t="n">
        <f aca="false">AP20+AP22+AP23</f>
        <v>158818200</v>
      </c>
      <c r="AQ24" s="60" t="n">
        <f aca="false">AQ20+AQ22+AQ23</f>
        <v>135838500</v>
      </c>
      <c r="AR24" s="60" t="n">
        <f aca="false">AR20+AR22+AR23</f>
        <v>147748875</v>
      </c>
      <c r="AS24" s="60" t="n">
        <f aca="false">AS20+AS22+AS23</f>
        <v>155478750</v>
      </c>
      <c r="AT24" s="60" t="n">
        <f aca="false">AT20+AT22+AT23</f>
        <v>152980125</v>
      </c>
      <c r="AU24" s="60" t="n">
        <f aca="false">AU20+AU22+AU23</f>
        <v>167730000</v>
      </c>
      <c r="AV24" s="60" t="n">
        <f aca="false">AV20+AV22+AV23</f>
        <v>167836875</v>
      </c>
      <c r="AW24" s="60" t="n">
        <f aca="false">AW20+AW22+AW23</f>
        <v>158734500</v>
      </c>
      <c r="AX24" s="60" t="n">
        <f aca="false">AX20+AX22+AX23</f>
        <v>153048750</v>
      </c>
      <c r="AY24" s="60" t="n">
        <f aca="false">AY20+AY22+AY23</f>
        <v>155700375</v>
      </c>
      <c r="AZ24" s="60" t="n">
        <f aca="false">AZ20+AZ22+AZ23</f>
        <v>148715250</v>
      </c>
      <c r="BA24" s="60" t="n">
        <f aca="false">BA20+BA22+BA23</f>
        <v>158818200</v>
      </c>
      <c r="BB24" s="60" t="n">
        <f aca="false">BB20+BB22+BB23</f>
        <v>157010280</v>
      </c>
      <c r="BC24" s="60" t="n">
        <f aca="false">BC20+BC22+BC23</f>
        <v>136733775</v>
      </c>
      <c r="BD24" s="60" t="n">
        <f aca="false">BD20+BD22+BD23</f>
        <v>146158575</v>
      </c>
      <c r="BE24" s="60" t="n">
        <f aca="false">BE20+BE22+BE23</f>
        <v>153615750</v>
      </c>
      <c r="BF24" s="60" t="n">
        <f aca="false">BF20+BF22+BF23</f>
        <v>151222425</v>
      </c>
      <c r="BG24" s="60" t="n">
        <f aca="false">BG20+BG22+BG23</f>
        <v>164814000</v>
      </c>
      <c r="BH24" s="60" t="n">
        <f aca="false">BH20+BH22+BH23</f>
        <v>164949225</v>
      </c>
      <c r="BI24" s="60" t="n">
        <f aca="false">BI20+BI22+BI23</f>
        <v>156223500</v>
      </c>
      <c r="BJ24" s="60" t="n">
        <f aca="false">BJ20+BJ22+BJ23</f>
        <v>150740250</v>
      </c>
    </row>
    <row r="25" customFormat="false" ht="13.5" hidden="false" customHeight="true" outlineLevel="0" collapsed="false">
      <c r="A25" s="37" t="s">
        <v>276</v>
      </c>
      <c r="B25" s="68" t="n">
        <f aca="false">SUM(C25:AL25)</f>
        <v>100889655.875</v>
      </c>
      <c r="C25" s="68" t="n">
        <f aca="false">C24*0.02</f>
        <v>1150000</v>
      </c>
      <c r="D25" s="68" t="n">
        <f aca="false">D24*0.02</f>
        <v>1150000</v>
      </c>
      <c r="E25" s="68" t="n">
        <f aca="false">E24*0.02</f>
        <v>2698576.5</v>
      </c>
      <c r="F25" s="68" t="n">
        <f aca="false">F24*0.02</f>
        <v>3026262</v>
      </c>
      <c r="G25" s="68" t="n">
        <f aca="false">G24*0.02</f>
        <v>2377464.375</v>
      </c>
      <c r="H25" s="68" t="n">
        <f aca="false">H24*0.02</f>
        <v>2606925</v>
      </c>
      <c r="I25" s="68" t="n">
        <f aca="false">I24*0.02</f>
        <v>2839406.25</v>
      </c>
      <c r="J25" s="68" t="n">
        <f aca="false">J24*0.02</f>
        <v>2900223.75</v>
      </c>
      <c r="K25" s="68" t="n">
        <f aca="false">K24*0.02</f>
        <v>3162900</v>
      </c>
      <c r="L25" s="68" t="n">
        <f aca="false">L24*0.02</f>
        <v>2840936.25</v>
      </c>
      <c r="M25" s="68" t="n">
        <f aca="false">M24*0.02</f>
        <v>2710155</v>
      </c>
      <c r="N25" s="68" t="n">
        <f aca="false">N24*0.02</f>
        <v>2627962.5</v>
      </c>
      <c r="O25" s="68" t="n">
        <f aca="false">O24*0.02</f>
        <v>2666561.25</v>
      </c>
      <c r="P25" s="68" t="n">
        <f aca="false">P24*0.02</f>
        <v>2471362.5</v>
      </c>
      <c r="Q25" s="68" t="n">
        <f aca="false">Q24*0.02</f>
        <v>2599950</v>
      </c>
      <c r="R25" s="68" t="n">
        <f aca="false">R24*0.02</f>
        <v>2767350</v>
      </c>
      <c r="S25" s="68" t="n">
        <f aca="false">S24*0.02</f>
        <v>2652510</v>
      </c>
      <c r="T25" s="68" t="n">
        <f aca="false">T24*0.02</f>
        <v>2875462.5</v>
      </c>
      <c r="U25" s="68" t="n">
        <f aca="false">U24*0.02</f>
        <v>3016425</v>
      </c>
      <c r="V25" s="68" t="n">
        <f aca="false">V24*0.02</f>
        <v>2971717.5</v>
      </c>
      <c r="W25" s="68" t="n">
        <f aca="false">W24*0.02</f>
        <v>3257400</v>
      </c>
      <c r="X25" s="68" t="n">
        <f aca="false">X24*0.02</f>
        <v>3260482.5</v>
      </c>
      <c r="Y25" s="68" t="n">
        <f aca="false">Y24*0.02</f>
        <v>3090990</v>
      </c>
      <c r="Z25" s="68" t="n">
        <f aca="false">Z24*0.02</f>
        <v>2984025</v>
      </c>
      <c r="AA25" s="68" t="n">
        <f aca="false">AA24*0.02</f>
        <v>3034492.5</v>
      </c>
      <c r="AB25" s="68" t="n">
        <f aca="false">AB24*0.02</f>
        <v>2889255</v>
      </c>
      <c r="AC25" s="68" t="n">
        <f aca="false">AC24*0.02</f>
        <v>3075924</v>
      </c>
      <c r="AD25" s="68" t="n">
        <f aca="false">AD24*0.02</f>
        <v>3075924</v>
      </c>
      <c r="AE25" s="68" t="n">
        <f aca="false">AE24*0.02</f>
        <v>2652510</v>
      </c>
      <c r="AF25" s="68" t="n">
        <f aca="false">AF24*0.02</f>
        <v>2875462.5</v>
      </c>
      <c r="AG25" s="68" t="n">
        <f aca="false">AG24*0.02</f>
        <v>3016425</v>
      </c>
      <c r="AH25" s="68" t="n">
        <f aca="false">AH24*0.02</f>
        <v>2971717.5</v>
      </c>
      <c r="AI25" s="68" t="n">
        <f aca="false">AI24*0.02</f>
        <v>3257400</v>
      </c>
      <c r="AJ25" s="68" t="n">
        <f aca="false">AJ24*0.02</f>
        <v>3260482.5</v>
      </c>
      <c r="AK25" s="68" t="n">
        <f aca="false">AK24*0.02</f>
        <v>3090990</v>
      </c>
      <c r="AL25" s="68" t="n">
        <f aca="false">AL24*0.02</f>
        <v>2984025</v>
      </c>
      <c r="AM25" s="68" t="n">
        <f aca="false">AM24*0.02</f>
        <v>3034492.5</v>
      </c>
      <c r="AN25" s="68" t="n">
        <f aca="false">AN24*0.02</f>
        <v>2889255</v>
      </c>
      <c r="AO25" s="68" t="n">
        <f aca="false">AO24*0.02</f>
        <v>3075924</v>
      </c>
      <c r="AP25" s="68" t="n">
        <f aca="false">AP24*0.02</f>
        <v>3176364</v>
      </c>
      <c r="AQ25" s="68" t="n">
        <f aca="false">AQ24*0.02</f>
        <v>2716770</v>
      </c>
      <c r="AR25" s="68" t="n">
        <f aca="false">AR24*0.02</f>
        <v>2954977.5</v>
      </c>
      <c r="AS25" s="68" t="n">
        <f aca="false">AS24*0.02</f>
        <v>3109575</v>
      </c>
      <c r="AT25" s="68" t="n">
        <f aca="false">AT24*0.02</f>
        <v>3059602.5</v>
      </c>
      <c r="AU25" s="68" t="n">
        <f aca="false">AU24*0.02</f>
        <v>3354600</v>
      </c>
      <c r="AV25" s="68" t="n">
        <f aca="false">AV24*0.02</f>
        <v>3356737.5</v>
      </c>
      <c r="AW25" s="68" t="n">
        <f aca="false">AW24*0.02</f>
        <v>3174690</v>
      </c>
      <c r="AX25" s="68" t="n">
        <f aca="false">AX24*0.02</f>
        <v>3060975</v>
      </c>
      <c r="AY25" s="68" t="n">
        <f aca="false">AY24*0.02</f>
        <v>3114007.5</v>
      </c>
      <c r="AZ25" s="68" t="n">
        <f aca="false">AZ24*0.02</f>
        <v>2974305</v>
      </c>
      <c r="BA25" s="68" t="n">
        <f aca="false">BA24*0.02</f>
        <v>3176364</v>
      </c>
      <c r="BB25" s="68" t="n">
        <f aca="false">BB24*0.02</f>
        <v>3140205.6</v>
      </c>
      <c r="BC25" s="68" t="n">
        <f aca="false">BC24*0.02</f>
        <v>2734675.5</v>
      </c>
      <c r="BD25" s="68" t="n">
        <f aca="false">BD24*0.02</f>
        <v>2923171.5</v>
      </c>
      <c r="BE25" s="68" t="n">
        <f aca="false">BE24*0.02</f>
        <v>3072315</v>
      </c>
      <c r="BF25" s="68" t="n">
        <f aca="false">BF24*0.02</f>
        <v>3024448.5</v>
      </c>
      <c r="BG25" s="68" t="n">
        <f aca="false">BG24*0.02</f>
        <v>3296280</v>
      </c>
      <c r="BH25" s="68" t="n">
        <f aca="false">BH24*0.02</f>
        <v>3298984.5</v>
      </c>
      <c r="BI25" s="68" t="n">
        <f aca="false">BI24*0.02</f>
        <v>3124470</v>
      </c>
      <c r="BJ25" s="68" t="n">
        <f aca="false">BJ24*0.02</f>
        <v>3014805</v>
      </c>
    </row>
    <row r="26" customFormat="false" ht="13.5" hidden="false" customHeight="true" outlineLevel="0" collapsed="false">
      <c r="A26" s="38" t="s">
        <v>277</v>
      </c>
      <c r="B26" s="60" t="n">
        <f aca="false">SUM(C26:AL26)</f>
        <v>151334483.8125</v>
      </c>
      <c r="C26" s="60" t="n">
        <f aca="false">C24*0.03</f>
        <v>1725000</v>
      </c>
      <c r="D26" s="60" t="n">
        <f aca="false">D24*0.03</f>
        <v>1725000</v>
      </c>
      <c r="E26" s="60" t="n">
        <f aca="false">E24*0.03</f>
        <v>4047864.75</v>
      </c>
      <c r="F26" s="60" t="n">
        <f aca="false">F24*0.03</f>
        <v>4539393</v>
      </c>
      <c r="G26" s="60" t="n">
        <f aca="false">G24*0.03</f>
        <v>3566196.5625</v>
      </c>
      <c r="H26" s="60" t="n">
        <f aca="false">H24*0.03</f>
        <v>3910387.5</v>
      </c>
      <c r="I26" s="60" t="n">
        <f aca="false">I24*0.03</f>
        <v>4259109.375</v>
      </c>
      <c r="J26" s="60" t="n">
        <f aca="false">J24*0.03</f>
        <v>4350335.625</v>
      </c>
      <c r="K26" s="60" t="n">
        <f aca="false">K24*0.03</f>
        <v>4744350</v>
      </c>
      <c r="L26" s="60" t="n">
        <f aca="false">L24*0.03</f>
        <v>4261404.375</v>
      </c>
      <c r="M26" s="60" t="n">
        <f aca="false">M24*0.03</f>
        <v>4065232.5</v>
      </c>
      <c r="N26" s="60" t="n">
        <f aca="false">N24*0.03</f>
        <v>3941943.75</v>
      </c>
      <c r="O26" s="60" t="n">
        <f aca="false">O24*0.03</f>
        <v>3999841.875</v>
      </c>
      <c r="P26" s="60" t="n">
        <f aca="false">P24*0.03</f>
        <v>3707043.75</v>
      </c>
      <c r="Q26" s="60" t="n">
        <f aca="false">Q24*0.03</f>
        <v>3899925</v>
      </c>
      <c r="R26" s="60" t="n">
        <f aca="false">R24*0.03</f>
        <v>4151025</v>
      </c>
      <c r="S26" s="60" t="n">
        <f aca="false">S24*0.03</f>
        <v>3978765</v>
      </c>
      <c r="T26" s="60" t="n">
        <f aca="false">T24*0.03</f>
        <v>4313193.75</v>
      </c>
      <c r="U26" s="60" t="n">
        <f aca="false">U24*0.03</f>
        <v>4524637.5</v>
      </c>
      <c r="V26" s="60" t="n">
        <f aca="false">V24*0.03</f>
        <v>4457576.25</v>
      </c>
      <c r="W26" s="60" t="n">
        <f aca="false">W24*0.03</f>
        <v>4886100</v>
      </c>
      <c r="X26" s="60" t="n">
        <f aca="false">X24*0.03</f>
        <v>4890723.75</v>
      </c>
      <c r="Y26" s="60" t="n">
        <f aca="false">Y24*0.03</f>
        <v>4636485</v>
      </c>
      <c r="Z26" s="60" t="n">
        <f aca="false">Z24*0.03</f>
        <v>4476037.5</v>
      </c>
      <c r="AA26" s="60" t="n">
        <f aca="false">AA24*0.03</f>
        <v>4551738.75</v>
      </c>
      <c r="AB26" s="60" t="n">
        <f aca="false">AB24*0.03</f>
        <v>4333882.5</v>
      </c>
      <c r="AC26" s="60" t="n">
        <f aca="false">AC24*0.03</f>
        <v>4613886</v>
      </c>
      <c r="AD26" s="60" t="n">
        <f aca="false">AD24*0.03</f>
        <v>4613886</v>
      </c>
      <c r="AE26" s="60" t="n">
        <f aca="false">AE24*0.03</f>
        <v>3978765</v>
      </c>
      <c r="AF26" s="60" t="n">
        <f aca="false">AF24*0.03</f>
        <v>4313193.75</v>
      </c>
      <c r="AG26" s="60" t="n">
        <f aca="false">AG24*0.03</f>
        <v>4524637.5</v>
      </c>
      <c r="AH26" s="60" t="n">
        <f aca="false">AH24*0.03</f>
        <v>4457576.25</v>
      </c>
      <c r="AI26" s="60" t="n">
        <f aca="false">AI24*0.03</f>
        <v>4886100</v>
      </c>
      <c r="AJ26" s="60" t="n">
        <f aca="false">AJ24*0.03</f>
        <v>4890723.75</v>
      </c>
      <c r="AK26" s="60" t="n">
        <f aca="false">AK24*0.03</f>
        <v>4636485</v>
      </c>
      <c r="AL26" s="60" t="n">
        <f aca="false">AL24*0.03</f>
        <v>4476037.5</v>
      </c>
      <c r="AM26" s="60" t="n">
        <f aca="false">AM24*0.03</f>
        <v>4551738.75</v>
      </c>
      <c r="AN26" s="60" t="n">
        <f aca="false">AN24*0.03</f>
        <v>4333882.5</v>
      </c>
      <c r="AO26" s="60" t="n">
        <f aca="false">AO24*0.03</f>
        <v>4613886</v>
      </c>
      <c r="AP26" s="60" t="n">
        <f aca="false">AP24*0.03</f>
        <v>4764546</v>
      </c>
      <c r="AQ26" s="60" t="n">
        <f aca="false">AQ24*0.03</f>
        <v>4075155</v>
      </c>
      <c r="AR26" s="60" t="n">
        <f aca="false">AR24*0.03</f>
        <v>4432466.25</v>
      </c>
      <c r="AS26" s="60" t="n">
        <f aca="false">AS24*0.03</f>
        <v>4664362.5</v>
      </c>
      <c r="AT26" s="60" t="n">
        <f aca="false">AT24*0.03</f>
        <v>4589403.75</v>
      </c>
      <c r="AU26" s="60" t="n">
        <f aca="false">AU24*0.03</f>
        <v>5031900</v>
      </c>
      <c r="AV26" s="60" t="n">
        <f aca="false">AV24*0.03</f>
        <v>5035106.25</v>
      </c>
      <c r="AW26" s="60" t="n">
        <f aca="false">AW24*0.03</f>
        <v>4762035</v>
      </c>
      <c r="AX26" s="60" t="n">
        <f aca="false">AX24*0.03</f>
        <v>4591462.5</v>
      </c>
      <c r="AY26" s="60" t="n">
        <f aca="false">AY24*0.03</f>
        <v>4671011.25</v>
      </c>
      <c r="AZ26" s="60" t="n">
        <f aca="false">AZ24*0.03</f>
        <v>4461457.5</v>
      </c>
      <c r="BA26" s="60" t="n">
        <f aca="false">BA24*0.03</f>
        <v>4764546</v>
      </c>
      <c r="BB26" s="60" t="n">
        <f aca="false">BB24*0.03</f>
        <v>4710308.4</v>
      </c>
      <c r="BC26" s="60" t="n">
        <f aca="false">BC24*0.03</f>
        <v>4102013.25</v>
      </c>
      <c r="BD26" s="60" t="n">
        <f aca="false">BD24*0.03</f>
        <v>4384757.25</v>
      </c>
      <c r="BE26" s="60" t="n">
        <f aca="false">BE24*0.03</f>
        <v>4608472.5</v>
      </c>
      <c r="BF26" s="60" t="n">
        <f aca="false">BF24*0.03</f>
        <v>4536672.75</v>
      </c>
      <c r="BG26" s="60" t="n">
        <f aca="false">BG24*0.03</f>
        <v>4944420</v>
      </c>
      <c r="BH26" s="60" t="n">
        <f aca="false">BH24*0.03</f>
        <v>4948476.75</v>
      </c>
      <c r="BI26" s="60" t="n">
        <f aca="false">BI24*0.03</f>
        <v>4686705</v>
      </c>
      <c r="BJ26" s="60" t="n">
        <f aca="false">BJ24*0.03</f>
        <v>4522207.5</v>
      </c>
    </row>
    <row r="27" customFormat="false" ht="13.5" hidden="false" customHeight="true" outlineLevel="0" collapsed="false">
      <c r="A27" s="66" t="s">
        <v>278</v>
      </c>
      <c r="B27" s="67" t="n">
        <f aca="false">SUM(C27:AL27)</f>
        <v>252224139.6875</v>
      </c>
      <c r="C27" s="67" t="n">
        <f aca="false">C22+C23+C25+C26</f>
        <v>2875000</v>
      </c>
      <c r="D27" s="67" t="n">
        <f aca="false">D22+D23+D25+D26</f>
        <v>2875000</v>
      </c>
      <c r="E27" s="67" t="n">
        <f aca="false">E22+E23+E25+E26</f>
        <v>6746441.25</v>
      </c>
      <c r="F27" s="67" t="n">
        <f aca="false">F22+F23+F25+F26</f>
        <v>7565655</v>
      </c>
      <c r="G27" s="67" t="n">
        <f aca="false">G22+G23+G25+G26</f>
        <v>5943660.9375</v>
      </c>
      <c r="H27" s="67" t="n">
        <f aca="false">H22+H23+H25+H26</f>
        <v>6517312.5</v>
      </c>
      <c r="I27" s="67" t="n">
        <f aca="false">I22+I23+I25+I26</f>
        <v>7098515.625</v>
      </c>
      <c r="J27" s="67" t="n">
        <f aca="false">J22+J23+J25+J26</f>
        <v>7250559.375</v>
      </c>
      <c r="K27" s="67" t="n">
        <f aca="false">K22+K23+K25+K26</f>
        <v>7907250</v>
      </c>
      <c r="L27" s="67" t="n">
        <f aca="false">L22+L23+L25+L26</f>
        <v>7102340.625</v>
      </c>
      <c r="M27" s="67" t="n">
        <f aca="false">M22+M23+M25+M26</f>
        <v>6775387.5</v>
      </c>
      <c r="N27" s="67" t="n">
        <f aca="false">N22+N23+N25+N26</f>
        <v>6569906.25</v>
      </c>
      <c r="O27" s="67" t="n">
        <f aca="false">O22+O23+O25+O26</f>
        <v>6666403.125</v>
      </c>
      <c r="P27" s="67" t="n">
        <f aca="false">P22+P23+P25+P26</f>
        <v>6178406.25</v>
      </c>
      <c r="Q27" s="67" t="n">
        <f aca="false">Q22+Q23+Q25+Q26</f>
        <v>6499875</v>
      </c>
      <c r="R27" s="67" t="n">
        <f aca="false">R22+R23+R25+R26</f>
        <v>6918375</v>
      </c>
      <c r="S27" s="67" t="n">
        <f aca="false">S22+S23+S25+S26</f>
        <v>6631275</v>
      </c>
      <c r="T27" s="67" t="n">
        <f aca="false">T22+T23+T25+T26</f>
        <v>7188656.25</v>
      </c>
      <c r="U27" s="67" t="n">
        <f aca="false">U22+U23+U25+U26</f>
        <v>7541062.5</v>
      </c>
      <c r="V27" s="67" t="n">
        <f aca="false">V22+V23+V25+V26</f>
        <v>7429293.75</v>
      </c>
      <c r="W27" s="67" t="n">
        <f aca="false">W22+W23+W25+W26</f>
        <v>8143500</v>
      </c>
      <c r="X27" s="67" t="n">
        <f aca="false">X22+X23+X25+X26</f>
        <v>8151206.25</v>
      </c>
      <c r="Y27" s="67" t="n">
        <f aca="false">Y22+Y23+Y25+Y26</f>
        <v>7727475</v>
      </c>
      <c r="Z27" s="67" t="n">
        <f aca="false">Z22+Z23+Z25+Z26</f>
        <v>7460062.5</v>
      </c>
      <c r="AA27" s="67" t="n">
        <f aca="false">AA22+AA23+AA25+AA26</f>
        <v>7586231.25</v>
      </c>
      <c r="AB27" s="67" t="n">
        <f aca="false">AB22+AB23+AB25+AB26</f>
        <v>7223137.5</v>
      </c>
      <c r="AC27" s="67" t="n">
        <f aca="false">AC22+AC23+AC25+AC26</f>
        <v>7689810</v>
      </c>
      <c r="AD27" s="67" t="n">
        <f aca="false">AD22+AD23+AD25+AD26</f>
        <v>7689810</v>
      </c>
      <c r="AE27" s="67" t="n">
        <f aca="false">AE22+AE23+AE25+AE26</f>
        <v>6631275</v>
      </c>
      <c r="AF27" s="67" t="n">
        <f aca="false">AF22+AF23+AF25+AF26</f>
        <v>7188656.25</v>
      </c>
      <c r="AG27" s="67" t="n">
        <f aca="false">AG22+AG23+AG25+AG26</f>
        <v>7541062.5</v>
      </c>
      <c r="AH27" s="67" t="n">
        <f aca="false">AH22+AH23+AH25+AH26</f>
        <v>7429293.75</v>
      </c>
      <c r="AI27" s="67" t="n">
        <f aca="false">AI22+AI23+AI25+AI26</f>
        <v>8143500</v>
      </c>
      <c r="AJ27" s="67" t="n">
        <f aca="false">AJ22+AJ23+AJ25+AJ26</f>
        <v>8151206.25</v>
      </c>
      <c r="AK27" s="67" t="n">
        <f aca="false">AK22+AK23+AK25+AK26</f>
        <v>7727475</v>
      </c>
      <c r="AL27" s="67" t="n">
        <f aca="false">AL22+AL23+AL25+AL26</f>
        <v>7460062.5</v>
      </c>
      <c r="AM27" s="67" t="n">
        <f aca="false">AM22+AM23+AM25+AM26</f>
        <v>7586231.25</v>
      </c>
      <c r="AN27" s="67" t="n">
        <f aca="false">AN22+AN23+AN25+AN26</f>
        <v>7223137.5</v>
      </c>
      <c r="AO27" s="67" t="n">
        <f aca="false">AO22+AO23+AO25+AO26</f>
        <v>7689810</v>
      </c>
      <c r="AP27" s="67" t="n">
        <f aca="false">AP22+AP23+AP25+AP26</f>
        <v>7940910</v>
      </c>
      <c r="AQ27" s="67" t="n">
        <f aca="false">AQ22+AQ23+AQ25+AQ26</f>
        <v>6791925</v>
      </c>
      <c r="AR27" s="67" t="n">
        <f aca="false">AR22+AR23+AR25+AR26</f>
        <v>7387443.75</v>
      </c>
      <c r="AS27" s="67" t="n">
        <f aca="false">AS22+AS23+AS25+AS26</f>
        <v>7773937.5</v>
      </c>
      <c r="AT27" s="67" t="n">
        <f aca="false">AT22+AT23+AT25+AT26</f>
        <v>7649006.25</v>
      </c>
      <c r="AU27" s="67" t="n">
        <f aca="false">AU22+AU23+AU25+AU26</f>
        <v>8386500</v>
      </c>
      <c r="AV27" s="67" t="n">
        <f aca="false">AV22+AV23+AV25+AV26</f>
        <v>8391843.75</v>
      </c>
      <c r="AW27" s="67" t="n">
        <f aca="false">AW22+AW23+AW25+AW26</f>
        <v>7936725</v>
      </c>
      <c r="AX27" s="67" t="n">
        <f aca="false">AX22+AX23+AX25+AX26</f>
        <v>7652437.5</v>
      </c>
      <c r="AY27" s="67" t="n">
        <f aca="false">AY22+AY23+AY25+AY26</f>
        <v>7785018.75</v>
      </c>
      <c r="AZ27" s="67" t="n">
        <f aca="false">AZ22+AZ23+AZ25+AZ26</f>
        <v>7435762.5</v>
      </c>
      <c r="BA27" s="67" t="n">
        <f aca="false">BA22+BA23+BA25+BA26</f>
        <v>7940910</v>
      </c>
      <c r="BB27" s="67" t="n">
        <f aca="false">BB22+BB23+BB25+BB26</f>
        <v>7850514</v>
      </c>
      <c r="BC27" s="67" t="n">
        <f aca="false">BC22+BC23+BC25+BC26</f>
        <v>6836688.75</v>
      </c>
      <c r="BD27" s="67" t="n">
        <f aca="false">BD22+BD23+BD25+BD26</f>
        <v>7307928.75</v>
      </c>
      <c r="BE27" s="67" t="n">
        <f aca="false">BE22+BE23+BE25+BE26</f>
        <v>7680787.5</v>
      </c>
      <c r="BF27" s="67" t="n">
        <f aca="false">BF22+BF23+BF25+BF26</f>
        <v>7561121.25</v>
      </c>
      <c r="BG27" s="67" t="n">
        <f aca="false">BG22+BG23+BG25+BG26</f>
        <v>8240700</v>
      </c>
      <c r="BH27" s="67" t="n">
        <f aca="false">BH22+BH23+BH25+BH26</f>
        <v>8247461.25</v>
      </c>
      <c r="BI27" s="67" t="n">
        <f aca="false">BI22+BI23+BI25+BI26</f>
        <v>7811175</v>
      </c>
      <c r="BJ27" s="67" t="n">
        <f aca="false">BJ22+BJ23+BJ25+BJ26</f>
        <v>7537012.5</v>
      </c>
    </row>
    <row r="28" customFormat="false" ht="13.5" hidden="false" customHeight="true" outlineLevel="0" collapsed="false">
      <c r="A28" s="59" t="s">
        <v>279</v>
      </c>
      <c r="B28" s="59"/>
      <c r="C28" s="59"/>
      <c r="D28" s="59"/>
      <c r="E28" s="59"/>
      <c r="F28" s="59"/>
      <c r="G28" s="59"/>
      <c r="H28" s="59"/>
      <c r="I28" s="59"/>
      <c r="J28" s="59"/>
      <c r="K28" s="59"/>
      <c r="L28" s="59"/>
      <c r="M28" s="59"/>
      <c r="N28" s="59"/>
      <c r="O28" s="59"/>
      <c r="P28" s="59"/>
      <c r="Q28" s="59"/>
      <c r="R28" s="59"/>
      <c r="S28" s="59"/>
      <c r="T28" s="59"/>
      <c r="U28" s="59"/>
      <c r="V28" s="59"/>
      <c r="W28" s="59"/>
      <c r="X28" s="59"/>
      <c r="Y28" s="59"/>
      <c r="Z28" s="59"/>
      <c r="AA28" s="59"/>
      <c r="AB28" s="59"/>
      <c r="AC28" s="59"/>
      <c r="AD28" s="59"/>
      <c r="AE28" s="59"/>
      <c r="AF28" s="59"/>
      <c r="AG28" s="59"/>
      <c r="AH28" s="59"/>
      <c r="AI28" s="59"/>
      <c r="AJ28" s="59"/>
      <c r="AK28" s="59"/>
      <c r="AL28" s="59"/>
      <c r="AM28" s="59"/>
      <c r="AN28" s="71"/>
      <c r="AO28" s="71"/>
      <c r="AP28" s="71"/>
      <c r="AQ28" s="71"/>
      <c r="AR28" s="71"/>
      <c r="AS28" s="71"/>
      <c r="AT28" s="71"/>
      <c r="AU28" s="71"/>
      <c r="AV28" s="71"/>
      <c r="AW28" s="71"/>
      <c r="AX28" s="71"/>
      <c r="AY28" s="71"/>
      <c r="AZ28" s="71"/>
      <c r="BA28" s="71"/>
      <c r="BB28" s="71"/>
      <c r="BC28" s="71"/>
      <c r="BD28" s="71"/>
      <c r="BE28" s="71"/>
      <c r="BF28" s="71"/>
      <c r="BG28" s="71"/>
      <c r="BH28" s="71"/>
      <c r="BI28" s="71"/>
      <c r="BJ28" s="71"/>
    </row>
    <row r="29" customFormat="false" ht="13.5" hidden="false" customHeight="true" outlineLevel="0" collapsed="false">
      <c r="A29" s="37" t="s">
        <v>280</v>
      </c>
      <c r="B29" s="68" t="n">
        <f aca="false">SUM(C29:AL29)</f>
        <v>300000000</v>
      </c>
      <c r="C29" s="64" t="n">
        <f aca="false">'⚙️ Assumptions'!$B$16</f>
        <v>300000000</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c r="AG29" s="64"/>
      <c r="AH29" s="64"/>
      <c r="AI29" s="64"/>
      <c r="AJ29" s="64"/>
      <c r="AK29" s="64"/>
      <c r="AL29" s="64"/>
    </row>
    <row r="30" customFormat="false" ht="13.5" hidden="false" customHeight="true" outlineLevel="0" collapsed="false">
      <c r="A30" s="38" t="s">
        <v>281</v>
      </c>
      <c r="B30" s="60" t="n">
        <f aca="false">SUM(C30:AL30)</f>
        <v>180000000</v>
      </c>
      <c r="C30" s="64" t="n">
        <f aca="false">$C$29/12/5</f>
        <v>5000000</v>
      </c>
      <c r="D30" s="64" t="n">
        <f aca="false">$C$29/12/5</f>
        <v>5000000</v>
      </c>
      <c r="E30" s="64" t="n">
        <f aca="false">$C$29/12/5</f>
        <v>5000000</v>
      </c>
      <c r="F30" s="64" t="n">
        <f aca="false">$C$29/12/5</f>
        <v>5000000</v>
      </c>
      <c r="G30" s="64" t="n">
        <f aca="false">$C$29/12/5</f>
        <v>5000000</v>
      </c>
      <c r="H30" s="64" t="n">
        <f aca="false">$C$29/12/5</f>
        <v>5000000</v>
      </c>
      <c r="I30" s="64" t="n">
        <f aca="false">$C$29/12/5</f>
        <v>5000000</v>
      </c>
      <c r="J30" s="64" t="n">
        <f aca="false">$C$29/12/5</f>
        <v>5000000</v>
      </c>
      <c r="K30" s="64" t="n">
        <f aca="false">$C$29/12/5</f>
        <v>5000000</v>
      </c>
      <c r="L30" s="64" t="n">
        <f aca="false">$C$29/12/5</f>
        <v>5000000</v>
      </c>
      <c r="M30" s="64" t="n">
        <f aca="false">$C$29/12/5</f>
        <v>5000000</v>
      </c>
      <c r="N30" s="64" t="n">
        <f aca="false">$C$29/12/5</f>
        <v>5000000</v>
      </c>
      <c r="O30" s="64" t="n">
        <f aca="false">$C$29/12/5</f>
        <v>5000000</v>
      </c>
      <c r="P30" s="64" t="n">
        <f aca="false">$C$29/12/5</f>
        <v>5000000</v>
      </c>
      <c r="Q30" s="64" t="n">
        <f aca="false">$C$29/12/5</f>
        <v>5000000</v>
      </c>
      <c r="R30" s="64" t="n">
        <f aca="false">$C$29/12/5</f>
        <v>5000000</v>
      </c>
      <c r="S30" s="64" t="n">
        <f aca="false">$C$29/12/5</f>
        <v>5000000</v>
      </c>
      <c r="T30" s="64" t="n">
        <f aca="false">$C$29/12/5</f>
        <v>5000000</v>
      </c>
      <c r="U30" s="64" t="n">
        <f aca="false">$C$29/12/5</f>
        <v>5000000</v>
      </c>
      <c r="V30" s="64" t="n">
        <f aca="false">$C$29/12/5</f>
        <v>5000000</v>
      </c>
      <c r="W30" s="64" t="n">
        <f aca="false">$C$29/12/5</f>
        <v>5000000</v>
      </c>
      <c r="X30" s="64" t="n">
        <f aca="false">$C$29/12/5</f>
        <v>5000000</v>
      </c>
      <c r="Y30" s="64" t="n">
        <f aca="false">$C$29/12/5</f>
        <v>5000000</v>
      </c>
      <c r="Z30" s="64" t="n">
        <f aca="false">$C$29/12/5</f>
        <v>5000000</v>
      </c>
      <c r="AA30" s="64" t="n">
        <f aca="false">$C$29/12/5</f>
        <v>5000000</v>
      </c>
      <c r="AB30" s="64" t="n">
        <f aca="false">$C$29/12/5</f>
        <v>5000000</v>
      </c>
      <c r="AC30" s="64" t="n">
        <f aca="false">$C$29/12/5</f>
        <v>5000000</v>
      </c>
      <c r="AD30" s="64" t="n">
        <f aca="false">$C$29/12/5</f>
        <v>5000000</v>
      </c>
      <c r="AE30" s="64" t="n">
        <f aca="false">$C$29/12/5</f>
        <v>5000000</v>
      </c>
      <c r="AF30" s="64" t="n">
        <f aca="false">$C$29/12/5</f>
        <v>5000000</v>
      </c>
      <c r="AG30" s="64" t="n">
        <f aca="false">$C$29/12/5</f>
        <v>5000000</v>
      </c>
      <c r="AH30" s="64" t="n">
        <f aca="false">$C$29/12/5</f>
        <v>5000000</v>
      </c>
      <c r="AI30" s="64" t="n">
        <f aca="false">$C$29/12/5</f>
        <v>5000000</v>
      </c>
      <c r="AJ30" s="64" t="n">
        <f aca="false">$C$29/12/5</f>
        <v>5000000</v>
      </c>
      <c r="AK30" s="64" t="n">
        <f aca="false">$C$29/12/5</f>
        <v>5000000</v>
      </c>
      <c r="AL30" s="64" t="n">
        <f aca="false">$C$29/12/5</f>
        <v>5000000</v>
      </c>
      <c r="AM30" s="64" t="n">
        <f aca="false">$C$29/12/5</f>
        <v>5000000</v>
      </c>
      <c r="AN30" s="64" t="n">
        <f aca="false">$C$29/12/5</f>
        <v>5000000</v>
      </c>
      <c r="AO30" s="64" t="n">
        <f aca="false">$C$29/12/5</f>
        <v>5000000</v>
      </c>
      <c r="AP30" s="64" t="n">
        <f aca="false">$C$29/12/5</f>
        <v>5000000</v>
      </c>
      <c r="AQ30" s="64" t="n">
        <f aca="false">$C$29/12/5</f>
        <v>5000000</v>
      </c>
      <c r="AR30" s="64" t="n">
        <f aca="false">$C$29/12/5</f>
        <v>5000000</v>
      </c>
      <c r="AS30" s="64" t="n">
        <f aca="false">$C$29/12/5</f>
        <v>5000000</v>
      </c>
      <c r="AT30" s="64" t="n">
        <f aca="false">$C$29/12/5</f>
        <v>5000000</v>
      </c>
      <c r="AU30" s="64" t="n">
        <f aca="false">$C$29/12/5</f>
        <v>5000000</v>
      </c>
      <c r="AV30" s="64" t="n">
        <f aca="false">$C$29/12/5</f>
        <v>5000000</v>
      </c>
      <c r="AW30" s="64" t="n">
        <f aca="false">$C$29/12/5</f>
        <v>5000000</v>
      </c>
      <c r="AX30" s="64" t="n">
        <f aca="false">$C$29/12/5</f>
        <v>5000000</v>
      </c>
      <c r="AY30" s="64" t="n">
        <f aca="false">$C$29/12/5</f>
        <v>5000000</v>
      </c>
      <c r="AZ30" s="64" t="n">
        <f aca="false">$C$29/12/5</f>
        <v>5000000</v>
      </c>
      <c r="BA30" s="64" t="n">
        <f aca="false">$C$29/12/5</f>
        <v>5000000</v>
      </c>
      <c r="BB30" s="64" t="n">
        <f aca="false">$C$29/12/5</f>
        <v>5000000</v>
      </c>
      <c r="BC30" s="64" t="n">
        <f aca="false">$C$29/12/5</f>
        <v>5000000</v>
      </c>
      <c r="BD30" s="64" t="n">
        <f aca="false">$C$29/12/5</f>
        <v>5000000</v>
      </c>
      <c r="BE30" s="64" t="n">
        <f aca="false">$C$29/12/5</f>
        <v>5000000</v>
      </c>
      <c r="BF30" s="64" t="n">
        <f aca="false">$C$29/12/5</f>
        <v>5000000</v>
      </c>
      <c r="BG30" s="64" t="n">
        <f aca="false">$C$29/12/5</f>
        <v>5000000</v>
      </c>
      <c r="BH30" s="64" t="n">
        <f aca="false">$C$29/12/5</f>
        <v>5000000</v>
      </c>
      <c r="BI30" s="64" t="n">
        <f aca="false">$C$29/12/5</f>
        <v>5000000</v>
      </c>
      <c r="BJ30" s="64" t="n">
        <f aca="false">$C$29/12/5</f>
        <v>5000000</v>
      </c>
    </row>
    <row r="31" customFormat="false" ht="13.5" hidden="false" customHeight="true" outlineLevel="0" collapsed="false">
      <c r="A31" s="59" t="s">
        <v>282</v>
      </c>
      <c r="B31" s="59"/>
      <c r="C31" s="59"/>
      <c r="D31" s="59"/>
      <c r="E31" s="59"/>
      <c r="F31" s="59"/>
      <c r="G31" s="59"/>
      <c r="H31" s="59"/>
      <c r="I31" s="59"/>
      <c r="J31" s="59"/>
      <c r="K31" s="59"/>
      <c r="L31" s="59"/>
      <c r="M31" s="59"/>
      <c r="N31" s="59"/>
      <c r="O31" s="59"/>
      <c r="P31" s="59"/>
      <c r="Q31" s="59"/>
      <c r="R31" s="59"/>
      <c r="S31" s="59"/>
      <c r="T31" s="59"/>
      <c r="U31" s="59"/>
      <c r="V31" s="59"/>
      <c r="W31" s="59"/>
      <c r="X31" s="59"/>
      <c r="Y31" s="59"/>
      <c r="Z31" s="59"/>
      <c r="AA31" s="59"/>
      <c r="AB31" s="59"/>
      <c r="AC31" s="59"/>
      <c r="AD31" s="59"/>
      <c r="AE31" s="59"/>
      <c r="AF31" s="59"/>
      <c r="AG31" s="59"/>
      <c r="AH31" s="59"/>
      <c r="AI31" s="59"/>
      <c r="AJ31" s="59"/>
      <c r="AK31" s="59"/>
      <c r="AL31" s="59"/>
      <c r="AM31" s="59"/>
      <c r="AN31" s="71"/>
      <c r="AO31" s="71"/>
      <c r="AP31" s="71"/>
      <c r="AQ31" s="71"/>
      <c r="AR31" s="71"/>
      <c r="AS31" s="71"/>
      <c r="AT31" s="71"/>
      <c r="AU31" s="71"/>
      <c r="AV31" s="71"/>
      <c r="AW31" s="71"/>
      <c r="AX31" s="71"/>
      <c r="AY31" s="71"/>
      <c r="AZ31" s="71"/>
      <c r="BA31" s="71"/>
      <c r="BB31" s="71"/>
      <c r="BC31" s="71"/>
      <c r="BD31" s="71"/>
      <c r="BE31" s="71"/>
      <c r="BF31" s="71"/>
      <c r="BG31" s="71"/>
      <c r="BH31" s="71"/>
      <c r="BI31" s="71"/>
      <c r="BJ31" s="71"/>
    </row>
    <row r="32" customFormat="false" ht="13.5" hidden="false" customHeight="true" outlineLevel="0" collapsed="false">
      <c r="A32" s="69" t="s">
        <v>283</v>
      </c>
      <c r="B32" s="70" t="n">
        <f aca="false">SUM(C32:AL32)</f>
        <v>8544057683.4375</v>
      </c>
      <c r="C32" s="70" t="n">
        <f aca="false">C7+C20+C27</f>
        <v>60375000</v>
      </c>
      <c r="D32" s="70" t="n">
        <f aca="false">D7+D20+D27</f>
        <v>60375000</v>
      </c>
      <c r="E32" s="70" t="n">
        <f aca="false">E7+E20+E27</f>
        <v>194406266.25</v>
      </c>
      <c r="F32" s="70" t="n">
        <f aca="false">F7+F20+F27</f>
        <v>225169155</v>
      </c>
      <c r="G32" s="70" t="n">
        <f aca="false">G7+G20+G27</f>
        <v>176064229.6875</v>
      </c>
      <c r="H32" s="70" t="n">
        <f aca="false">H7+H20+H27</f>
        <v>206836762.5</v>
      </c>
      <c r="I32" s="70" t="n">
        <f aca="false">I7+I20+I27</f>
        <v>241287328.125</v>
      </c>
      <c r="J32" s="70" t="n">
        <f aca="false">J7+J20+J27</f>
        <v>248935246.875</v>
      </c>
      <c r="K32" s="70" t="n">
        <f aca="false">K7+K20+K27</f>
        <v>272972250</v>
      </c>
      <c r="L32" s="70" t="n">
        <f aca="false">L7+L20+L27</f>
        <v>255029653.125</v>
      </c>
      <c r="M32" s="70" t="n">
        <f aca="false">M7+M20+M27</f>
        <v>234353137.5</v>
      </c>
      <c r="N32" s="70" t="n">
        <f aca="false">N7+N20+N27</f>
        <v>222613031.25</v>
      </c>
      <c r="O32" s="70" t="n">
        <f aca="false">O7+O20+O27</f>
        <v>227460965.625</v>
      </c>
      <c r="P32" s="70" t="n">
        <f aca="false">P7+P20+P27</f>
        <v>223301531.25</v>
      </c>
      <c r="Q32" s="70" t="n">
        <f aca="false">Q7+Q20+Q27</f>
        <v>246981375</v>
      </c>
      <c r="R32" s="70" t="n">
        <f aca="false">R7+R20+R27</f>
        <v>245725875</v>
      </c>
      <c r="S32" s="70" t="n">
        <f aca="false">S7+S20+S27</f>
        <v>216368775</v>
      </c>
      <c r="T32" s="70" t="n">
        <f aca="false">T7+T20+T27</f>
        <v>246379781.25</v>
      </c>
      <c r="U32" s="70" t="n">
        <f aca="false">U7+U20+U27</f>
        <v>270142312.5</v>
      </c>
      <c r="V32" s="70" t="n">
        <f aca="false">V7+V20+V27</f>
        <v>261477168.75</v>
      </c>
      <c r="W32" s="70" t="n">
        <f aca="false">W7+W20+W27</f>
        <v>287653500</v>
      </c>
      <c r="X32" s="70" t="n">
        <f aca="false">X7+X20+X27</f>
        <v>286681331.25</v>
      </c>
      <c r="Y32" s="70" t="n">
        <f aca="false">Y7+Y20+Y27</f>
        <v>262716975</v>
      </c>
      <c r="Z32" s="70" t="n">
        <f aca="false">Z7+Z20+Z27</f>
        <v>249001312.5</v>
      </c>
      <c r="AA32" s="70" t="n">
        <f aca="false">AA7+AA20+AA27</f>
        <v>254728856.25</v>
      </c>
      <c r="AB32" s="70" t="n">
        <f aca="false">AB7+AB20+AB27</f>
        <v>253745887.5</v>
      </c>
      <c r="AC32" s="70" t="n">
        <f aca="false">AC7+AC20+AC27</f>
        <v>282014010</v>
      </c>
      <c r="AD32" s="70" t="n">
        <f aca="false">AD7+AD20+AD27</f>
        <v>277996410</v>
      </c>
      <c r="AE32" s="70" t="n">
        <f aca="false">AE7+AE20+AE27</f>
        <v>213798375</v>
      </c>
      <c r="AF32" s="70" t="n">
        <f aca="false">AF7+AF20+AF27</f>
        <v>243199181.25</v>
      </c>
      <c r="AG32" s="70" t="n">
        <f aca="false">AG7+AG20+AG27</f>
        <v>266416312.5</v>
      </c>
      <c r="AH32" s="70" t="n">
        <f aca="false">AH7+AH20+AH27</f>
        <v>257961768.75</v>
      </c>
      <c r="AI32" s="70" t="n">
        <f aca="false">AI7+AI20+AI27</f>
        <v>283765500</v>
      </c>
      <c r="AJ32" s="70" t="n">
        <f aca="false">AJ7+AJ20+AJ27</f>
        <v>282831131.25</v>
      </c>
      <c r="AK32" s="70" t="n">
        <f aca="false">AK7+AK20+AK27</f>
        <v>259368975</v>
      </c>
      <c r="AL32" s="70" t="n">
        <f aca="false">AL7+AL20+AL27</f>
        <v>245923312.5</v>
      </c>
      <c r="AM32" s="70" t="n">
        <f aca="false">AM7+AM20+AM27</f>
        <v>251548256.25</v>
      </c>
      <c r="AN32" s="70" t="n">
        <f aca="false">AN7+AN20+AN27</f>
        <v>250343887.5</v>
      </c>
      <c r="AO32" s="70" t="n">
        <f aca="false">AO7+AO20+AO27</f>
        <v>277996410</v>
      </c>
      <c r="AP32" s="70" t="n">
        <f aca="false">AP7+AP20+AP27</f>
        <v>283269510</v>
      </c>
      <c r="AQ32" s="70" t="n">
        <f aca="false">AQ7+AQ20+AQ27</f>
        <v>217172025</v>
      </c>
      <c r="AR32" s="70" t="n">
        <f aca="false">AR7+AR20+AR27</f>
        <v>247373718.75</v>
      </c>
      <c r="AS32" s="70" t="n">
        <f aca="false">AS7+AS20+AS27</f>
        <v>271306687.5</v>
      </c>
      <c r="AT32" s="70" t="n">
        <f aca="false">AT7+AT20+AT27</f>
        <v>262575731.25</v>
      </c>
      <c r="AU32" s="70" t="n">
        <f aca="false">AU7+AU20+AU27</f>
        <v>288868500</v>
      </c>
      <c r="AV32" s="70" t="n">
        <f aca="false">AV7+AV20+AV27</f>
        <v>287884518.75</v>
      </c>
      <c r="AW32" s="70" t="n">
        <f aca="false">AW7+AW20+AW27</f>
        <v>263763225</v>
      </c>
      <c r="AX32" s="70" t="n">
        <f aca="false">AX7+AX20+AX27</f>
        <v>249963187.5</v>
      </c>
      <c r="AY32" s="70" t="n">
        <f aca="false">AY7+AY20+AY27</f>
        <v>255722793.75</v>
      </c>
      <c r="AZ32" s="70" t="n">
        <f aca="false">AZ7+AZ20+AZ27</f>
        <v>254809012.5</v>
      </c>
      <c r="BA32" s="70" t="n">
        <f aca="false">BA7+BA20+BA27</f>
        <v>283269510</v>
      </c>
      <c r="BB32" s="70" t="n">
        <f aca="false">BB7+BB20+BB27</f>
        <v>281371194</v>
      </c>
      <c r="BC32" s="70" t="n">
        <f aca="false">BC7+BC20+BC27</f>
        <v>220774263.75</v>
      </c>
      <c r="BD32" s="70" t="n">
        <f aca="false">BD7+BD20+BD27</f>
        <v>245703903.75</v>
      </c>
      <c r="BE32" s="70" t="n">
        <f aca="false">BE7+BE20+BE27</f>
        <v>269350537.5</v>
      </c>
      <c r="BF32" s="70" t="n">
        <f aca="false">BF7+BF20+BF27</f>
        <v>260730146.25</v>
      </c>
      <c r="BG32" s="70" t="n">
        <f aca="false">BG7+BG20+BG27</f>
        <v>285806700</v>
      </c>
      <c r="BH32" s="70" t="n">
        <f aca="false">BH7+BH20+BH27</f>
        <v>284852486.25</v>
      </c>
      <c r="BI32" s="70" t="n">
        <f aca="false">BI7+BI20+BI27</f>
        <v>261126675</v>
      </c>
      <c r="BJ32" s="70" t="n">
        <f aca="false">BJ7+BJ20+BJ27</f>
        <v>247539262.5</v>
      </c>
    </row>
    <row r="33" customFormat="false" ht="13.5" hidden="false" customHeight="true" outlineLevel="0" collapsed="false">
      <c r="A33" s="69" t="s">
        <v>284</v>
      </c>
      <c r="B33" s="70" t="n">
        <f aca="false">SUM(C33:AL33)</f>
        <v>8844057683.4375</v>
      </c>
      <c r="C33" s="70" t="n">
        <f aca="false">C32+C29</f>
        <v>360375000</v>
      </c>
      <c r="D33" s="70" t="n">
        <f aca="false">D32+D29</f>
        <v>60375000</v>
      </c>
      <c r="E33" s="70" t="n">
        <f aca="false">E32+E29</f>
        <v>194406266.25</v>
      </c>
      <c r="F33" s="70" t="n">
        <f aca="false">F32+F29</f>
        <v>225169155</v>
      </c>
      <c r="G33" s="70" t="n">
        <f aca="false">G32+G29</f>
        <v>176064229.6875</v>
      </c>
      <c r="H33" s="70" t="n">
        <f aca="false">H32+H29</f>
        <v>206836762.5</v>
      </c>
      <c r="I33" s="70" t="n">
        <f aca="false">I32+I29</f>
        <v>241287328.125</v>
      </c>
      <c r="J33" s="70" t="n">
        <f aca="false">J32+J29</f>
        <v>248935246.875</v>
      </c>
      <c r="K33" s="70" t="n">
        <f aca="false">K32+K29</f>
        <v>272972250</v>
      </c>
      <c r="L33" s="70" t="n">
        <f aca="false">L32+L29</f>
        <v>255029653.125</v>
      </c>
      <c r="M33" s="70" t="n">
        <f aca="false">M32+M29</f>
        <v>234353137.5</v>
      </c>
      <c r="N33" s="70" t="n">
        <f aca="false">N32+N29</f>
        <v>222613031.25</v>
      </c>
      <c r="O33" s="70" t="n">
        <f aca="false">O32+O29</f>
        <v>227460965.625</v>
      </c>
      <c r="P33" s="70" t="n">
        <f aca="false">P32+P29</f>
        <v>223301531.25</v>
      </c>
      <c r="Q33" s="70" t="n">
        <f aca="false">Q32+Q29</f>
        <v>246981375</v>
      </c>
      <c r="R33" s="70" t="n">
        <f aca="false">R32+R29</f>
        <v>245725875</v>
      </c>
      <c r="S33" s="70" t="n">
        <f aca="false">S32+S29</f>
        <v>216368775</v>
      </c>
      <c r="T33" s="70" t="n">
        <f aca="false">T32+T29</f>
        <v>246379781.25</v>
      </c>
      <c r="U33" s="70" t="n">
        <f aca="false">U32+U29</f>
        <v>270142312.5</v>
      </c>
      <c r="V33" s="70" t="n">
        <f aca="false">V32+V29</f>
        <v>261477168.75</v>
      </c>
      <c r="W33" s="70" t="n">
        <f aca="false">W32+W29</f>
        <v>287653500</v>
      </c>
      <c r="X33" s="70" t="n">
        <f aca="false">X32+X29</f>
        <v>286681331.25</v>
      </c>
      <c r="Y33" s="70" t="n">
        <f aca="false">Y32+Y29</f>
        <v>262716975</v>
      </c>
      <c r="Z33" s="70" t="n">
        <f aca="false">Z32+Z29</f>
        <v>249001312.5</v>
      </c>
      <c r="AA33" s="70" t="n">
        <f aca="false">AA32+AA29</f>
        <v>254728856.25</v>
      </c>
      <c r="AB33" s="70" t="n">
        <f aca="false">AB32+AB29</f>
        <v>253745887.5</v>
      </c>
      <c r="AC33" s="70" t="n">
        <f aca="false">AC32+AC29</f>
        <v>282014010</v>
      </c>
      <c r="AD33" s="70" t="n">
        <f aca="false">AD32+AD29</f>
        <v>277996410</v>
      </c>
      <c r="AE33" s="70" t="n">
        <f aca="false">AE32+AE29</f>
        <v>213798375</v>
      </c>
      <c r="AF33" s="70" t="n">
        <f aca="false">AF32+AF29</f>
        <v>243199181.25</v>
      </c>
      <c r="AG33" s="70" t="n">
        <f aca="false">AG32+AG29</f>
        <v>266416312.5</v>
      </c>
      <c r="AH33" s="70" t="n">
        <f aca="false">AH32+AH29</f>
        <v>257961768.75</v>
      </c>
      <c r="AI33" s="70" t="n">
        <f aca="false">AI32+AI29</f>
        <v>283765500</v>
      </c>
      <c r="AJ33" s="70" t="n">
        <f aca="false">AJ32+AJ29</f>
        <v>282831131.25</v>
      </c>
      <c r="AK33" s="70" t="n">
        <f aca="false">AK32+AK29</f>
        <v>259368975</v>
      </c>
      <c r="AL33" s="70" t="n">
        <f aca="false">AL32+AL29</f>
        <v>245923312.5</v>
      </c>
      <c r="AM33" s="70" t="n">
        <f aca="false">AM32+AM29</f>
        <v>251548256.25</v>
      </c>
      <c r="AN33" s="70" t="n">
        <f aca="false">AN32+AN29</f>
        <v>250343887.5</v>
      </c>
      <c r="AO33" s="70" t="n">
        <f aca="false">AO32+AO29</f>
        <v>277996410</v>
      </c>
      <c r="AP33" s="70" t="n">
        <f aca="false">AP32+AP29</f>
        <v>283269510</v>
      </c>
      <c r="AQ33" s="70" t="n">
        <f aca="false">AQ32+AQ29</f>
        <v>217172025</v>
      </c>
      <c r="AR33" s="70" t="n">
        <f aca="false">AR32+AR29</f>
        <v>247373718.75</v>
      </c>
      <c r="AS33" s="70" t="n">
        <f aca="false">AS32+AS29</f>
        <v>271306687.5</v>
      </c>
      <c r="AT33" s="70" t="n">
        <f aca="false">AT32+AT29</f>
        <v>262575731.25</v>
      </c>
      <c r="AU33" s="70" t="n">
        <f aca="false">AU32+AU29</f>
        <v>288868500</v>
      </c>
      <c r="AV33" s="70" t="n">
        <f aca="false">AV32+AV29</f>
        <v>287884518.75</v>
      </c>
      <c r="AW33" s="70" t="n">
        <f aca="false">AW32+AW29</f>
        <v>263763225</v>
      </c>
      <c r="AX33" s="70" t="n">
        <f aca="false">AX32+AX29</f>
        <v>249963187.5</v>
      </c>
      <c r="AY33" s="70" t="n">
        <f aca="false">AY32+AY29</f>
        <v>255722793.75</v>
      </c>
      <c r="AZ33" s="70" t="n">
        <f aca="false">AZ32+AZ29</f>
        <v>254809012.5</v>
      </c>
      <c r="BA33" s="70" t="n">
        <f aca="false">BA32+BA29</f>
        <v>283269510</v>
      </c>
      <c r="BB33" s="70" t="n">
        <f aca="false">BB32+BB29</f>
        <v>281371194</v>
      </c>
      <c r="BC33" s="70" t="n">
        <f aca="false">BC32+BC29</f>
        <v>220774263.75</v>
      </c>
      <c r="BD33" s="70" t="n">
        <f aca="false">BD32+BD29</f>
        <v>245703903.75</v>
      </c>
      <c r="BE33" s="70" t="n">
        <f aca="false">BE32+BE29</f>
        <v>269350537.5</v>
      </c>
      <c r="BF33" s="70" t="n">
        <f aca="false">BF32+BF29</f>
        <v>260730146.25</v>
      </c>
      <c r="BG33" s="70" t="n">
        <f aca="false">BG32+BG29</f>
        <v>285806700</v>
      </c>
      <c r="BH33" s="70" t="n">
        <f aca="false">BH32+BH29</f>
        <v>284852486.25</v>
      </c>
      <c r="BI33" s="70" t="n">
        <f aca="false">BI32+BI29</f>
        <v>261126675</v>
      </c>
      <c r="BJ33" s="70" t="n">
        <f aca="false">BJ32+BJ29</f>
        <v>247539262.5</v>
      </c>
    </row>
    <row r="34" customFormat="false" ht="13.5" hidden="false" customHeight="true" outlineLevel="0" collapsed="false">
      <c r="A34" s="37" t="s">
        <v>285</v>
      </c>
      <c r="B34" s="80" t="str">
        <f aca="false">""</f>
        <v/>
      </c>
      <c r="C34" s="80" t="str">
        <f aca="false">IFERROR(C32/INDEX('💰 Revenue'!$C$19:$BJ$19,MATCH(C3,'💰 Revenue'!$C$5:BJ5,0)),"-")</f>
        <v>-</v>
      </c>
      <c r="D34" s="80" t="str">
        <f aca="false">IFERROR(D32/INDEX('💰 Revenue'!$C$19:$BJ$19,MATCH(D3,'💰 Revenue'!$C$5:BK5,0)),"-")</f>
        <v>-</v>
      </c>
      <c r="E34" s="80" t="n">
        <f aca="false">IFERROR(E32/INDEX('💰 Revenue'!$C$19:$BJ$19,MATCH(E3,'💰 Revenue'!$C$5:BL5,0)),"-")</f>
        <v>1.03229133811231</v>
      </c>
      <c r="F34" s="80" t="n">
        <f aca="false">IFERROR(F32/INDEX('💰 Revenue'!$C$19:$BJ$19,MATCH(F3,'💰 Revenue'!$C$5:BM5,0)),"-")</f>
        <v>0.896731003584229</v>
      </c>
      <c r="G34" s="80" t="n">
        <f aca="false">IFERROR(G32/INDEX('💰 Revenue'!$C$19:$BJ$19,MATCH(G3,'💰 Revenue'!$C$5:BN5,0)),"-")</f>
        <v>0.906992393509128</v>
      </c>
      <c r="H34" s="80" t="n">
        <f aca="false">IFERROR(H32/INDEX('💰 Revenue'!$C$19:$BJ$19,MATCH(H3,'💰 Revenue'!$C$5:BO5,0)),"-")</f>
        <v>0.780368845500849</v>
      </c>
      <c r="I34" s="80" t="n">
        <f aca="false">IFERROR(I32/INDEX('💰 Revenue'!$C$19:$BJ$19,MATCH(I3,'💰 Revenue'!$C$5:BP5,0)),"-")</f>
        <v>0.690749194847021</v>
      </c>
      <c r="J34" s="80" t="n">
        <f aca="false">IFERROR(J32/INDEX('💰 Revenue'!$C$19:$BJ$19,MATCH(J3,'💰 Revenue'!$C$5:BQ5,0)),"-")</f>
        <v>0.679802688172043</v>
      </c>
      <c r="K34" s="80" t="n">
        <f aca="false">IFERROR(K32/INDEX('💰 Revenue'!$C$19:$BJ$19,MATCH(K3,'💰 Revenue'!$C$5:BR5,0)),"-")</f>
        <v>0.674005555555556</v>
      </c>
      <c r="L34" s="80" t="n">
        <f aca="false">IFERROR(L32/INDEX('💰 Revenue'!$C$19:$BJ$19,MATCH(L3,'💰 Revenue'!$C$5:BS5,0)),"-")</f>
        <v>0.635885063113605</v>
      </c>
      <c r="M34" s="80" t="n">
        <f aca="false">IFERROR(M32/INDEX('💰 Revenue'!$C$19:$BJ$19,MATCH(M3,'💰 Revenue'!$C$5:BT5,0)),"-")</f>
        <v>0.671980322580645</v>
      </c>
      <c r="N34" s="80" t="n">
        <f aca="false">IFERROR(N32/INDEX('💰 Revenue'!$C$19:$BJ$19,MATCH(N3,'💰 Revenue'!$C$5:BU5,0)),"-")</f>
        <v>0.694309649122807</v>
      </c>
      <c r="O34" s="80" t="n">
        <f aca="false">IFERROR(O32/INDEX('💰 Revenue'!$C$19:$BJ$19,MATCH(O3,'💰 Revenue'!$C$5:BV5,0)),"-")</f>
        <v>0.686545076400679</v>
      </c>
      <c r="P34" s="80" t="n">
        <f aca="false">IFERROR(P32/INDEX('💰 Revenue'!$C$19:$BJ$19,MATCH(P3,'💰 Revenue'!$C$5:BW5,0)),"-")</f>
        <v>0.630127777777778</v>
      </c>
      <c r="Q34" s="80" t="n">
        <f aca="false">IFERROR(Q32/INDEX('💰 Revenue'!$C$19:$BJ$19,MATCH(Q3,'💰 Revenue'!$C$5:BX5,0)),"-")</f>
        <v>0.590158602150538</v>
      </c>
      <c r="R34" s="80" t="n">
        <f aca="false">IFERROR(R32/INDEX('💰 Revenue'!$C$19:$BJ$19,MATCH(R3,'💰 Revenue'!$C$5:BY5,0)),"-")</f>
        <v>0.587158602150538</v>
      </c>
      <c r="S34" s="80" t="n">
        <f aca="false">IFERROR(S32/INDEX('💰 Revenue'!$C$19:$BJ$19,MATCH(S3,'💰 Revenue'!$C$5:BZ5,0)),"-")</f>
        <v>0.673416666666667</v>
      </c>
      <c r="T34" s="80" t="n">
        <f aca="false">IFERROR(T32/INDEX('💰 Revenue'!$C$19:$BJ$19,MATCH(T3,'💰 Revenue'!$C$5:CA5,0)),"-")</f>
        <v>0.619706423316355</v>
      </c>
      <c r="U34" s="80" t="n">
        <f aca="false">IFERROR(U32/INDEX('💰 Revenue'!$C$19:$BJ$19,MATCH(U3,'💰 Revenue'!$C$5:CB5,0)),"-")</f>
        <v>0.580015700483092</v>
      </c>
      <c r="V34" s="80" t="n">
        <f aca="false">IFERROR(V32/INDEX('💰 Revenue'!$C$19:$BJ$19,MATCH(V3,'💰 Revenue'!$C$5:CC5,0)),"-")</f>
        <v>0.595043906810036</v>
      </c>
      <c r="W34" s="80" t="n">
        <f aca="false">IFERROR(W32/INDEX('💰 Revenue'!$C$19:$BJ$19,MATCH(W3,'💰 Revenue'!$C$5:CD5,0)),"-")</f>
        <v>0.59187962962963</v>
      </c>
      <c r="X34" s="80" t="n">
        <f aca="false">IFERROR(X32/INDEX('💰 Revenue'!$C$19:$BJ$19,MATCH(X3,'💰 Revenue'!$C$5:CE5,0)),"-")</f>
        <v>0.595670523609163</v>
      </c>
      <c r="Y34" s="80" t="n">
        <f aca="false">IFERROR(Y32/INDEX('💰 Revenue'!$C$19:$BJ$19,MATCH(Y3,'💰 Revenue'!$C$5:CF5,0)),"-")</f>
        <v>0.627758602150538</v>
      </c>
      <c r="Z34" s="80" t="n">
        <f aca="false">IFERROR(Z32/INDEX('💰 Revenue'!$C$19:$BJ$19,MATCH(Z3,'💰 Revenue'!$C$5:CG5,0)),"-")</f>
        <v>0.647176900584795</v>
      </c>
      <c r="AA34" s="80" t="n">
        <f aca="false">IFERROR(AA32/INDEX('💰 Revenue'!$C$19:$BJ$19,MATCH(AA3,'💰 Revenue'!$C$5:CH5,0)),"-")</f>
        <v>0.640706423316355</v>
      </c>
      <c r="AB34" s="80" t="n">
        <f aca="false">IFERROR(AB32/INDEX('💰 Revenue'!$C$19:$BJ$19,MATCH(AB3,'💰 Revenue'!$C$5:CI5,0)),"-")</f>
        <v>0.596698148148148</v>
      </c>
      <c r="AC34" s="80" t="n">
        <f aca="false">IFERROR(AC32/INDEX('💰 Revenue'!$C$19:$BJ$19,MATCH(AC3,'💰 Revenue'!$C$5:CJ5,0)),"-")</f>
        <v>0.561557168458781</v>
      </c>
      <c r="AD34" s="80" t="n">
        <f aca="false">IFERROR(AD32/INDEX('💰 Revenue'!$C$19:$BJ$19,MATCH(AD3,'💰 Revenue'!$C$5:CK5,0)),"-")</f>
        <v>0.553557168458781</v>
      </c>
      <c r="AE34" s="80" t="n">
        <f aca="false">IFERROR(AE32/INDEX('💰 Revenue'!$C$19:$BJ$19,MATCH(AE3,'💰 Revenue'!$C$5:CL5,0)),"-")</f>
        <v>0.665416666666667</v>
      </c>
      <c r="AF34" s="80" t="n">
        <f aca="false">IFERROR(AF32/INDEX('💰 Revenue'!$C$19:$BJ$19,MATCH(AF3,'💰 Revenue'!$C$5:CM5,0)),"-")</f>
        <v>0.611706423316355</v>
      </c>
      <c r="AG34" s="80" t="n">
        <f aca="false">IFERROR(AG32/INDEX('💰 Revenue'!$C$19:$BJ$19,MATCH(AG3,'💰 Revenue'!$C$5:CN5,0)),"-")</f>
        <v>0.572015700483092</v>
      </c>
      <c r="AH34" s="80" t="n">
        <f aca="false">IFERROR(AH32/INDEX('💰 Revenue'!$C$19:$BJ$19,MATCH(AH3,'💰 Revenue'!$C$5:CO5,0)),"-")</f>
        <v>0.587043906810036</v>
      </c>
      <c r="AI34" s="80" t="n">
        <f aca="false">IFERROR(AI32/INDEX('💰 Revenue'!$C$19:$BJ$19,MATCH(AI3,'💰 Revenue'!$C$5:CP5,0)),"-")</f>
        <v>0.58387962962963</v>
      </c>
      <c r="AJ34" s="80" t="n">
        <f aca="false">IFERROR(AJ32/INDEX('💰 Revenue'!$C$19:$BJ$19,MATCH(AJ3,'💰 Revenue'!$C$5:CQ5,0)),"-")</f>
        <v>0.587670523609163</v>
      </c>
      <c r="AK34" s="80" t="n">
        <f aca="false">IFERROR(AK32/INDEX('💰 Revenue'!$C$19:$BJ$19,MATCH(AK3,'💰 Revenue'!$C$5:CR5,0)),"-")</f>
        <v>0.619758602150538</v>
      </c>
      <c r="AL34" s="80" t="n">
        <f aca="false">IFERROR(AL32/INDEX('💰 Revenue'!$C$19:$BJ$19,MATCH(AL3,'💰 Revenue'!$C$5:CS5,0)),"-")</f>
        <v>0.639176900584795</v>
      </c>
      <c r="AM34" s="80" t="n">
        <f aca="false">IFERROR(AM32/INDEX('💰 Revenue'!$C$19:$BJ$19,MATCH(AM3,'💰 Revenue'!$C$5:CT5,0)),"-")</f>
        <v>0.632706423316355</v>
      </c>
      <c r="AN34" s="80" t="n">
        <f aca="false">IFERROR(AN32/INDEX('💰 Revenue'!$C$19:$BJ$19,MATCH(AN3,'💰 Revenue'!$C$5:CU5,0)),"-")</f>
        <v>0.588698148148148</v>
      </c>
      <c r="AO34" s="80" t="n">
        <f aca="false">IFERROR(AO32/INDEX('💰 Revenue'!$C$19:$BJ$19,MATCH(AO3,'💰 Revenue'!$C$5:CV5,0)),"-")</f>
        <v>0.553557168458781</v>
      </c>
      <c r="AP34" s="80" t="n">
        <f aca="false">IFERROR(AP32/INDEX('💰 Revenue'!$C$19:$BJ$19,MATCH(AP3,'💰 Revenue'!$C$5:CW5,0)),"-")</f>
        <v>0.564057168458781</v>
      </c>
      <c r="AQ34" s="80" t="n">
        <f aca="false">IFERROR(AQ32/INDEX('💰 Revenue'!$C$19:$BJ$19,MATCH(AQ3,'💰 Revenue'!$C$5:CX5,0)),"-")</f>
        <v>0.675916666666667</v>
      </c>
      <c r="AR34" s="80" t="n">
        <f aca="false">IFERROR(AR32/INDEX('💰 Revenue'!$C$19:$BJ$19,MATCH(AR3,'💰 Revenue'!$C$5:CY5,0)),"-")</f>
        <v>0.622206423316356</v>
      </c>
      <c r="AS34" s="80" t="n">
        <f aca="false">IFERROR(AS32/INDEX('💰 Revenue'!$C$19:$BJ$19,MATCH(AS3,'💰 Revenue'!$C$5:CZ5,0)),"-")</f>
        <v>0.582515700483092</v>
      </c>
      <c r="AT34" s="80" t="n">
        <f aca="false">IFERROR(AT32/INDEX('💰 Revenue'!$C$19:$BJ$19,MATCH(AT3,'💰 Revenue'!$C$5:DA5,0)),"-")</f>
        <v>0.597543906810036</v>
      </c>
      <c r="AU34" s="80" t="n">
        <f aca="false">IFERROR(AU32/INDEX('💰 Revenue'!$C$19:$BJ$19,MATCH(AU3,'💰 Revenue'!$C$5:DB5,0)),"-")</f>
        <v>0.59437962962963</v>
      </c>
      <c r="AV34" s="80" t="n">
        <f aca="false">IFERROR(AV32/INDEX('💰 Revenue'!$C$19:$BJ$19,MATCH(AV3,'💰 Revenue'!$C$5:DC5,0)),"-")</f>
        <v>0.598170523609163</v>
      </c>
      <c r="AW34" s="80" t="n">
        <f aca="false">IFERROR(AW32/INDEX('💰 Revenue'!$C$19:$BJ$19,MATCH(AW3,'💰 Revenue'!$C$5:DD5,0)),"-")</f>
        <v>0.630258602150538</v>
      </c>
      <c r="AX34" s="80" t="n">
        <f aca="false">IFERROR(AX32/INDEX('💰 Revenue'!$C$19:$BJ$19,MATCH(AX3,'💰 Revenue'!$C$5:DE5,0)),"-")</f>
        <v>0.649676900584795</v>
      </c>
      <c r="AY34" s="80" t="n">
        <f aca="false">IFERROR(AY32/INDEX('💰 Revenue'!$C$19:$BJ$19,MATCH(AY3,'💰 Revenue'!$C$5:DF5,0)),"-")</f>
        <v>0.643206423316355</v>
      </c>
      <c r="AZ34" s="80" t="n">
        <f aca="false">IFERROR(AZ32/INDEX('💰 Revenue'!$C$19:$BJ$19,MATCH(AZ3,'💰 Revenue'!$C$5:DG5,0)),"-")</f>
        <v>0.599198148148148</v>
      </c>
      <c r="BA34" s="80" t="n">
        <f aca="false">IFERROR(BA32/INDEX('💰 Revenue'!$C$19:$BJ$19,MATCH(BA3,'💰 Revenue'!$C$5:DH5,0)),"-")</f>
        <v>0.564057168458781</v>
      </c>
      <c r="BB34" s="80" t="n">
        <f aca="false">IFERROR(BB32/INDEX('💰 Revenue'!$C$19:$BJ$19,MATCH(BB3,'💰 Revenue'!$C$5:DI5,0)),"-")</f>
        <v>0.560277168458781</v>
      </c>
      <c r="BC34" s="80" t="n">
        <f aca="false">IFERROR(BC32/INDEX('💰 Revenue'!$C$19:$BJ$19,MATCH(BC3,'💰 Revenue'!$C$5:DJ5,0)),"-")</f>
        <v>0.663434043272482</v>
      </c>
      <c r="BD34" s="80" t="n">
        <f aca="false">IFERROR(BD32/INDEX('💰 Revenue'!$C$19:$BJ$19,MATCH(BD3,'💰 Revenue'!$C$5:DK5,0)),"-")</f>
        <v>0.618006423316355</v>
      </c>
      <c r="BE34" s="80" t="n">
        <f aca="false">IFERROR(BE32/INDEX('💰 Revenue'!$C$19:$BJ$19,MATCH(BE3,'💰 Revenue'!$C$5:DL5,0)),"-")</f>
        <v>0.578315700483092</v>
      </c>
      <c r="BF34" s="80" t="n">
        <f aca="false">IFERROR(BF32/INDEX('💰 Revenue'!$C$19:$BJ$19,MATCH(BF3,'💰 Revenue'!$C$5:DM5,0)),"-")</f>
        <v>0.593343906810036</v>
      </c>
      <c r="BG34" s="80" t="n">
        <f aca="false">IFERROR(BG32/INDEX('💰 Revenue'!$C$19:$BJ$19,MATCH(BG3,'💰 Revenue'!$C$5:DN5,0)),"-")</f>
        <v>0.58807962962963</v>
      </c>
      <c r="BH34" s="80" t="n">
        <f aca="false">IFERROR(BH32/INDEX('💰 Revenue'!$C$19:$BJ$19,MATCH(BH3,'💰 Revenue'!$C$5:DO5,0)),"-")</f>
        <v>0.591870523609163</v>
      </c>
      <c r="BI34" s="80" t="n">
        <f aca="false">IFERROR(BI32/INDEX('💰 Revenue'!$C$19:$BJ$19,MATCH(BI3,'💰 Revenue'!$C$5:DP5,0)),"-")</f>
        <v>0.623958602150538</v>
      </c>
      <c r="BJ34" s="80" t="n">
        <f aca="false">IFERROR(BJ32/INDEX('💰 Revenue'!$C$19:$BJ$19,MATCH(BJ3,'💰 Revenue'!$C$5:DQ5,0)),"-")</f>
        <v>0.643376900584795</v>
      </c>
    </row>
  </sheetData>
  <mergeCells count="9">
    <mergeCell ref="A1:AM1"/>
    <mergeCell ref="C2:N2"/>
    <mergeCell ref="O2:Z2"/>
    <mergeCell ref="AA2:AL2"/>
    <mergeCell ref="A4:AM4"/>
    <mergeCell ref="A8:AM8"/>
    <mergeCell ref="A21:AM21"/>
    <mergeCell ref="A28:AM28"/>
    <mergeCell ref="A31:AM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47A1"/>
    <pageSetUpPr fitToPage="false"/>
  </sheetPr>
  <dimension ref="A1:BI1048576"/>
  <sheetViews>
    <sheetView showFormulas="false" showGridLines="false" showRowColHeaders="true" showZeros="true" rightToLeft="false" tabSelected="false" showOutlineSymbols="true" defaultGridColor="true" view="normal" topLeftCell="A1" colorId="64" zoomScale="120" zoomScaleNormal="120" zoomScalePageLayoutView="100" workbookViewId="0">
      <selection pane="topLeft" activeCell="D22" activeCellId="0" sqref="D22"/>
    </sheetView>
  </sheetViews>
  <sheetFormatPr defaultColWidth="8.71484375" defaultRowHeight="13.8" customHeight="false" zeroHeight="false" outlineLevelRow="0" outlineLevelCol="0"/>
  <cols>
    <col collapsed="false" customWidth="true" hidden="false" outlineLevel="0" max="1" min="1" style="81" width="30"/>
    <col collapsed="false" customWidth="true" hidden="false" outlineLevel="0" max="37" min="2" style="81" width="15.13"/>
    <col collapsed="false" customWidth="true" hidden="false" outlineLevel="0" max="61" min="38" style="81" width="14.82"/>
    <col collapsed="false" customWidth="true" hidden="false" outlineLevel="0" max="64" min="62" style="81" width="11.53"/>
    <col collapsed="false" customWidth="false" hidden="false" outlineLevel="0" max="16384" min="65" style="81" width="8.71"/>
  </cols>
  <sheetData>
    <row r="1" customFormat="false" ht="30" hidden="false" customHeight="true" outlineLevel="0" collapsed="false">
      <c r="A1" s="82" t="s">
        <v>286</v>
      </c>
      <c r="B1" s="82"/>
      <c r="C1" s="82"/>
      <c r="D1" s="82"/>
      <c r="E1" s="82"/>
      <c r="F1" s="82"/>
      <c r="G1" s="82"/>
    </row>
    <row r="2" customFormat="false" ht="47.75" hidden="false" customHeight="true" outlineLevel="0" collapsed="false">
      <c r="A2" s="83" t="s">
        <v>287</v>
      </c>
      <c r="B2" s="83" t="s">
        <v>288</v>
      </c>
      <c r="C2" s="84" t="s">
        <v>289</v>
      </c>
      <c r="D2" s="83" t="s">
        <v>290</v>
      </c>
      <c r="E2" s="83"/>
      <c r="F2" s="83" t="s">
        <v>291</v>
      </c>
      <c r="G2" s="83" t="s">
        <v>93</v>
      </c>
    </row>
    <row r="3" customFormat="false" ht="15" hidden="false" customHeight="true" outlineLevel="0" collapsed="false">
      <c r="A3" s="85" t="s">
        <v>292</v>
      </c>
      <c r="B3" s="86" t="n">
        <v>1</v>
      </c>
      <c r="C3" s="87" t="n">
        <f aca="false">12*10^6</f>
        <v>12000000</v>
      </c>
      <c r="D3" s="87"/>
      <c r="E3" s="86"/>
      <c r="F3" s="86"/>
      <c r="G3" s="88"/>
    </row>
    <row r="4" customFormat="false" ht="15" hidden="false" customHeight="true" outlineLevel="0" collapsed="false">
      <c r="A4" s="85" t="s">
        <v>293</v>
      </c>
      <c r="B4" s="86"/>
      <c r="C4" s="87"/>
      <c r="D4" s="87" t="n">
        <v>33000</v>
      </c>
      <c r="E4" s="86"/>
      <c r="F4" s="86" t="s">
        <v>294</v>
      </c>
      <c r="G4" s="88"/>
      <c r="I4" s="89"/>
    </row>
    <row r="5" customFormat="false" ht="15" hidden="false" customHeight="true" outlineLevel="0" collapsed="false">
      <c r="A5" s="85" t="s">
        <v>295</v>
      </c>
      <c r="B5" s="86" t="n">
        <v>0</v>
      </c>
      <c r="C5" s="87" t="n">
        <v>8500000</v>
      </c>
      <c r="D5" s="87"/>
      <c r="E5" s="86"/>
      <c r="F5" s="86"/>
      <c r="G5" s="88"/>
    </row>
    <row r="6" customFormat="false" ht="15" hidden="false" customHeight="true" outlineLevel="0" collapsed="false">
      <c r="A6" s="85" t="s">
        <v>296</v>
      </c>
      <c r="B6" s="86"/>
      <c r="C6" s="87" t="n">
        <f aca="false">4*10^6</f>
        <v>4000000</v>
      </c>
      <c r="D6" s="87"/>
      <c r="E6" s="86"/>
      <c r="F6" s="86"/>
      <c r="G6" s="88"/>
    </row>
    <row r="7" customFormat="false" ht="13.8" hidden="false" customHeight="false" outlineLevel="0" collapsed="false">
      <c r="C7" s="86"/>
      <c r="D7" s="86"/>
    </row>
    <row r="8" customFormat="false" ht="15.75" hidden="false" customHeight="true" outlineLevel="0" collapsed="false">
      <c r="A8" s="90" t="s">
        <v>297</v>
      </c>
      <c r="B8" s="91" t="n">
        <f aca="false">SUMPRODUCT((LEN(A3:A6)&gt;0)*(B3:B6))</f>
        <v>1</v>
      </c>
      <c r="C8" s="91" t="n">
        <f aca="false">SUMPRODUCT((LEN(A3:A6)&gt;0)*(C3:C6))</f>
        <v>24500000</v>
      </c>
      <c r="D8" s="91" t="n">
        <f aca="false">SUMPRODUCT((LEN(A3:A6)&gt;0)*(D3:D6))</f>
        <v>33000</v>
      </c>
    </row>
    <row r="10" customFormat="false" ht="13.8" hidden="false" customHeight="false" outlineLevel="0" collapsed="false">
      <c r="B10" s="81" t="n">
        <v>1</v>
      </c>
      <c r="C10" s="81" t="n">
        <v>2</v>
      </c>
      <c r="D10" s="81" t="n">
        <v>3</v>
      </c>
      <c r="E10" s="81" t="n">
        <v>4</v>
      </c>
      <c r="F10" s="81" t="n">
        <v>5</v>
      </c>
      <c r="G10" s="81" t="n">
        <v>6</v>
      </c>
      <c r="H10" s="81" t="n">
        <v>7</v>
      </c>
      <c r="I10" s="81" t="n">
        <v>8</v>
      </c>
      <c r="J10" s="81" t="n">
        <v>9</v>
      </c>
      <c r="K10" s="81" t="n">
        <v>10</v>
      </c>
      <c r="L10" s="81" t="n">
        <v>11</v>
      </c>
      <c r="M10" s="81" t="n">
        <v>12</v>
      </c>
      <c r="N10" s="81" t="n">
        <v>13</v>
      </c>
      <c r="O10" s="81" t="n">
        <v>14</v>
      </c>
      <c r="P10" s="81" t="n">
        <v>15</v>
      </c>
      <c r="Q10" s="81" t="n">
        <v>16</v>
      </c>
      <c r="R10" s="81" t="n">
        <v>17</v>
      </c>
      <c r="S10" s="81" t="n">
        <v>18</v>
      </c>
      <c r="T10" s="81" t="n">
        <v>19</v>
      </c>
      <c r="U10" s="81" t="n">
        <v>20</v>
      </c>
      <c r="V10" s="81" t="n">
        <v>21</v>
      </c>
      <c r="W10" s="81" t="n">
        <v>22</v>
      </c>
      <c r="X10" s="81" t="n">
        <v>23</v>
      </c>
      <c r="Y10" s="81" t="n">
        <v>24</v>
      </c>
      <c r="Z10" s="81" t="n">
        <v>25</v>
      </c>
      <c r="AA10" s="81" t="n">
        <v>26</v>
      </c>
      <c r="AB10" s="81" t="n">
        <v>27</v>
      </c>
      <c r="AC10" s="81" t="n">
        <v>28</v>
      </c>
      <c r="AD10" s="81" t="n">
        <v>29</v>
      </c>
      <c r="AE10" s="81" t="n">
        <v>30</v>
      </c>
      <c r="AF10" s="81" t="n">
        <v>31</v>
      </c>
      <c r="AG10" s="81" t="n">
        <v>32</v>
      </c>
      <c r="AH10" s="81" t="n">
        <v>33</v>
      </c>
      <c r="AI10" s="81" t="n">
        <v>34</v>
      </c>
      <c r="AJ10" s="81" t="n">
        <v>35</v>
      </c>
      <c r="AK10" s="81" t="n">
        <v>36</v>
      </c>
      <c r="AL10" s="81" t="n">
        <v>37</v>
      </c>
      <c r="AM10" s="81" t="n">
        <v>38</v>
      </c>
      <c r="AN10" s="81" t="n">
        <v>39</v>
      </c>
      <c r="AO10" s="81" t="n">
        <v>40</v>
      </c>
      <c r="AP10" s="81" t="n">
        <v>41</v>
      </c>
      <c r="AQ10" s="81" t="n">
        <v>42</v>
      </c>
      <c r="AR10" s="81" t="n">
        <v>43</v>
      </c>
      <c r="AS10" s="81" t="n">
        <v>44</v>
      </c>
      <c r="AT10" s="81" t="n">
        <v>45</v>
      </c>
      <c r="AU10" s="81" t="n">
        <v>46</v>
      </c>
      <c r="AV10" s="81" t="n">
        <v>47</v>
      </c>
      <c r="AW10" s="81" t="n">
        <v>48</v>
      </c>
      <c r="AX10" s="81" t="n">
        <v>49</v>
      </c>
      <c r="AY10" s="81" t="n">
        <v>50</v>
      </c>
      <c r="AZ10" s="81" t="n">
        <v>51</v>
      </c>
      <c r="BA10" s="81" t="n">
        <v>52</v>
      </c>
      <c r="BB10" s="81" t="n">
        <v>53</v>
      </c>
      <c r="BC10" s="81" t="n">
        <v>54</v>
      </c>
      <c r="BD10" s="81" t="n">
        <v>55</v>
      </c>
      <c r="BE10" s="81" t="n">
        <v>56</v>
      </c>
      <c r="BF10" s="81" t="n">
        <v>57</v>
      </c>
      <c r="BG10" s="81" t="n">
        <v>58</v>
      </c>
      <c r="BH10" s="81" t="n">
        <v>59</v>
      </c>
      <c r="BI10" s="81" t="n">
        <v>60</v>
      </c>
    </row>
    <row r="11" customFormat="false" ht="13.8" hidden="false" customHeight="false" outlineLevel="0" collapsed="false">
      <c r="B11" s="92" t="n">
        <f aca="false">'⚙️ Assumptions'!B6</f>
        <v>46661</v>
      </c>
      <c r="C11" s="92" t="n">
        <f aca="false">EDATE($B$11,'💰 Revenue'!D2)</f>
        <v>46692</v>
      </c>
      <c r="D11" s="92" t="n">
        <f aca="false">EDATE($B$11,'💰 Revenue'!E2)</f>
        <v>46722</v>
      </c>
      <c r="E11" s="92" t="n">
        <f aca="false">EDATE($B$11,'💰 Revenue'!F2)</f>
        <v>46753</v>
      </c>
      <c r="F11" s="92" t="n">
        <f aca="false">EDATE($B$11,'💰 Revenue'!G2)</f>
        <v>46784</v>
      </c>
      <c r="G11" s="92" t="n">
        <f aca="false">EDATE($B$11,'💰 Revenue'!H2)</f>
        <v>46813</v>
      </c>
      <c r="H11" s="92" t="n">
        <f aca="false">EDATE($B$11,'💰 Revenue'!I2)</f>
        <v>46844</v>
      </c>
      <c r="I11" s="92" t="n">
        <f aca="false">EDATE($B$11,'💰 Revenue'!J2)</f>
        <v>46874</v>
      </c>
      <c r="J11" s="92" t="n">
        <f aca="false">EDATE($B$11,'💰 Revenue'!K2)</f>
        <v>46905</v>
      </c>
      <c r="K11" s="92" t="n">
        <f aca="false">EDATE($B$11,'💰 Revenue'!L2)</f>
        <v>46935</v>
      </c>
      <c r="L11" s="92" t="n">
        <f aca="false">EDATE($B$11,'💰 Revenue'!M2)</f>
        <v>46966</v>
      </c>
      <c r="M11" s="92" t="n">
        <f aca="false">EDATE($B$11,'💰 Revenue'!N2)</f>
        <v>46997</v>
      </c>
      <c r="N11" s="92" t="n">
        <f aca="false">EDATE($B$11,'💰 Revenue'!O2)</f>
        <v>47027</v>
      </c>
      <c r="O11" s="92" t="n">
        <f aca="false">EDATE($B$11,'💰 Revenue'!P2)</f>
        <v>47058</v>
      </c>
      <c r="P11" s="92" t="n">
        <f aca="false">EDATE($B$11,'💰 Revenue'!Q2)</f>
        <v>47088</v>
      </c>
      <c r="Q11" s="92" t="n">
        <f aca="false">EDATE($B$11,'💰 Revenue'!R2)</f>
        <v>47119</v>
      </c>
      <c r="R11" s="92" t="n">
        <f aca="false">EDATE($B$11,'💰 Revenue'!S2)</f>
        <v>47150</v>
      </c>
      <c r="S11" s="92" t="n">
        <f aca="false">EDATE($B$11,'💰 Revenue'!T2)</f>
        <v>47178</v>
      </c>
      <c r="T11" s="92" t="n">
        <f aca="false">EDATE($B$11,'💰 Revenue'!U2)</f>
        <v>47209</v>
      </c>
      <c r="U11" s="92" t="n">
        <f aca="false">EDATE($B$11,'💰 Revenue'!V2)</f>
        <v>47239</v>
      </c>
      <c r="V11" s="92" t="n">
        <f aca="false">EDATE($B$11,'💰 Revenue'!W2)</f>
        <v>47270</v>
      </c>
      <c r="W11" s="92" t="n">
        <f aca="false">EDATE($B$11,'💰 Revenue'!X2)</f>
        <v>47300</v>
      </c>
      <c r="X11" s="92" t="n">
        <f aca="false">EDATE($B$11,'💰 Revenue'!Y2)</f>
        <v>47331</v>
      </c>
      <c r="Y11" s="92" t="n">
        <f aca="false">EDATE($B$11,'💰 Revenue'!Z2)</f>
        <v>47362</v>
      </c>
      <c r="Z11" s="92" t="n">
        <f aca="false">EDATE($B$11,'💰 Revenue'!AA2)</f>
        <v>47392</v>
      </c>
      <c r="AA11" s="92" t="n">
        <f aca="false">EDATE($B$11,'💰 Revenue'!AB2)</f>
        <v>47423</v>
      </c>
      <c r="AB11" s="92" t="n">
        <f aca="false">EDATE($B$11,'💰 Revenue'!AC2)</f>
        <v>47453</v>
      </c>
      <c r="AC11" s="92" t="n">
        <f aca="false">EDATE($B$11,'💰 Revenue'!AD2)</f>
        <v>47484</v>
      </c>
      <c r="AD11" s="92" t="n">
        <f aca="false">EDATE($B$11,'💰 Revenue'!AE2)</f>
        <v>47515</v>
      </c>
      <c r="AE11" s="92" t="n">
        <f aca="false">EDATE($B$11,'💰 Revenue'!AF2)</f>
        <v>47543</v>
      </c>
      <c r="AF11" s="92" t="n">
        <f aca="false">EDATE($B$11,'💰 Revenue'!AG2)</f>
        <v>47574</v>
      </c>
      <c r="AG11" s="92" t="n">
        <f aca="false">EDATE($B$11,'💰 Revenue'!AH2)</f>
        <v>47604</v>
      </c>
      <c r="AH11" s="92" t="n">
        <f aca="false">EDATE($B$11,'💰 Revenue'!AI2)</f>
        <v>47635</v>
      </c>
      <c r="AI11" s="92" t="n">
        <f aca="false">EDATE($B$11,'💰 Revenue'!AJ2)</f>
        <v>47665</v>
      </c>
      <c r="AJ11" s="92" t="n">
        <f aca="false">EDATE($B$11,'💰 Revenue'!AK2)</f>
        <v>47696</v>
      </c>
      <c r="AK11" s="92" t="n">
        <f aca="false">EDATE($B$11,'💰 Revenue'!AL2)</f>
        <v>47727</v>
      </c>
      <c r="AL11" s="92" t="n">
        <f aca="false">EDATE($B$11,'💰 Revenue'!AM2)</f>
        <v>47757</v>
      </c>
      <c r="AM11" s="92" t="n">
        <f aca="false">EDATE($B$11,'💰 Revenue'!AN2)</f>
        <v>47788</v>
      </c>
      <c r="AN11" s="92" t="n">
        <f aca="false">EDATE($B$11,'💰 Revenue'!AO2)</f>
        <v>47818</v>
      </c>
      <c r="AO11" s="92" t="n">
        <f aca="false">EDATE($B$11,'💰 Revenue'!AP2)</f>
        <v>47849</v>
      </c>
      <c r="AP11" s="92" t="n">
        <f aca="false">EDATE($B$11,'💰 Revenue'!AQ2)</f>
        <v>47880</v>
      </c>
      <c r="AQ11" s="92" t="n">
        <f aca="false">EDATE($B$11,'💰 Revenue'!AR2)</f>
        <v>47908</v>
      </c>
      <c r="AR11" s="92" t="n">
        <f aca="false">EDATE($B$11,'💰 Revenue'!AS2)</f>
        <v>47939</v>
      </c>
      <c r="AS11" s="92" t="n">
        <f aca="false">EDATE($B$11,'💰 Revenue'!AT2)</f>
        <v>47969</v>
      </c>
      <c r="AT11" s="92" t="n">
        <f aca="false">EDATE($B$11,'💰 Revenue'!AU2)</f>
        <v>48000</v>
      </c>
      <c r="AU11" s="92" t="n">
        <f aca="false">EDATE($B$11,'💰 Revenue'!AV2)</f>
        <v>48030</v>
      </c>
      <c r="AV11" s="92" t="n">
        <f aca="false">EDATE($B$11,'💰 Revenue'!AW2)</f>
        <v>48061</v>
      </c>
      <c r="AW11" s="92" t="n">
        <f aca="false">EDATE($B$11,'💰 Revenue'!AX2)</f>
        <v>48092</v>
      </c>
      <c r="AX11" s="92" t="n">
        <f aca="false">EDATE($B$11,'💰 Revenue'!AY2)</f>
        <v>48122</v>
      </c>
      <c r="AY11" s="92" t="n">
        <f aca="false">EDATE($B$11,'💰 Revenue'!AZ2)</f>
        <v>48153</v>
      </c>
      <c r="AZ11" s="92" t="n">
        <f aca="false">EDATE($B$11,'💰 Revenue'!BA2)</f>
        <v>48183</v>
      </c>
      <c r="BA11" s="92" t="n">
        <f aca="false">EDATE($B$11,'💰 Revenue'!BB2)</f>
        <v>48214</v>
      </c>
      <c r="BB11" s="92" t="n">
        <f aca="false">EDATE($B$11,'💰 Revenue'!BC2)</f>
        <v>48245</v>
      </c>
      <c r="BC11" s="92" t="n">
        <f aca="false">EDATE($B$11,'💰 Revenue'!BD2)</f>
        <v>48274</v>
      </c>
      <c r="BD11" s="92" t="n">
        <f aca="false">EDATE($B$11,'💰 Revenue'!BE2)</f>
        <v>48305</v>
      </c>
      <c r="BE11" s="92" t="n">
        <f aca="false">EDATE($B$11,'💰 Revenue'!BF2)</f>
        <v>48335</v>
      </c>
      <c r="BF11" s="92" t="n">
        <f aca="false">EDATE($B$11,'💰 Revenue'!BG2)</f>
        <v>48366</v>
      </c>
      <c r="BG11" s="92" t="n">
        <f aca="false">EDATE($B$11,'💰 Revenue'!BH2)</f>
        <v>48396</v>
      </c>
      <c r="BH11" s="92" t="n">
        <f aca="false">EDATE($B$11,'💰 Revenue'!BI2)</f>
        <v>48427</v>
      </c>
      <c r="BI11" s="92" t="n">
        <f aca="false">EDATE($B$11,'💰 Revenue'!BJ2)</f>
        <v>48458</v>
      </c>
    </row>
    <row r="12" customFormat="false" ht="13.8" hidden="false" customHeight="false" outlineLevel="0" collapsed="false">
      <c r="A12" s="93" t="s">
        <v>298</v>
      </c>
      <c r="B12" s="94" t="n">
        <f aca="false">_xlfn.LET(
_xlpm.prep_month, INDEX('⚙️ Other Assumptions'!$B$18:$AK$18,MATCH(B$10,'⚙️ Other Assumptions'!$B$14:$AK$14,0)), 
IF(B$10&gt; 10, $C$3, IF( _xlpm.prep_month  &gt;0, $C$3,0)))</f>
        <v>0</v>
      </c>
      <c r="C12" s="94" t="n">
        <f aca="false">_xlfn.LET(
_xlpm.prep_month, INDEX('⚙️ Other Assumptions'!$B$18:$AK$18,MATCH(C$10,'⚙️ Other Assumptions'!$B$14:$AK$14,0)), 
IF(C$10&gt; 10, $C$3, IF( _xlpm.prep_month  &gt;0, $C$3,0)))</f>
        <v>0</v>
      </c>
      <c r="D12" s="94" t="n">
        <f aca="false">_xlfn.LET(
_xlpm.prep_month, INDEX('⚙️ Other Assumptions'!$B$18:$AK$18,MATCH(D$10,'⚙️ Other Assumptions'!$B$14:$AK$14,0)), 
IF(D$10&gt; 10, $C$3, IF( _xlpm.prep_month  &gt;0, $C$3,0)))</f>
        <v>12000000</v>
      </c>
      <c r="E12" s="94" t="n">
        <f aca="false">_xlfn.LET(
_xlpm.prep_month, INDEX('⚙️ Other Assumptions'!$B$18:$AK$18,MATCH(E$10,'⚙️ Other Assumptions'!$B$14:$AK$14,0)), 
IF(E$10&gt; 10, $C$3, IF( _xlpm.prep_month  &gt;0, $C$3,0)))</f>
        <v>12000000</v>
      </c>
      <c r="F12" s="94" t="n">
        <f aca="false">_xlfn.LET(
_xlpm.prep_month, INDEX('⚙️ Other Assumptions'!$B$18:$AK$18,MATCH(F$10,'⚙️ Other Assumptions'!$B$14:$AK$14,0)), 
IF(F$10&gt; 10, $C$3, IF( _xlpm.prep_month  &gt;0, $C$3,0)))</f>
        <v>12000000</v>
      </c>
      <c r="G12" s="94" t="n">
        <f aca="false">_xlfn.LET(
_xlpm.prep_month, INDEX('⚙️ Other Assumptions'!$B$18:$AK$18,MATCH(G$10,'⚙️ Other Assumptions'!$B$14:$AK$14,0)), 
IF(G$10&gt; 10, $C$3, IF( _xlpm.prep_month  &gt;0, $C$3,0)))</f>
        <v>12000000</v>
      </c>
      <c r="H12" s="94" t="n">
        <f aca="false">_xlfn.LET(
_xlpm.prep_month, INDEX('⚙️ Other Assumptions'!$B$18:$AK$18,MATCH(H$10,'⚙️ Other Assumptions'!$B$14:$AK$14,0)), 
IF(H$10&gt; 10, $C$3, IF( _xlpm.prep_month  &gt;0, $C$3,0)))</f>
        <v>12000000</v>
      </c>
      <c r="I12" s="94" t="n">
        <f aca="false">_xlfn.LET(
_xlpm.prep_month, INDEX('⚙️ Other Assumptions'!$B$18:$AK$18,MATCH(I$10,'⚙️ Other Assumptions'!$B$14:$AK$14,0)), 
IF(I$10&gt; 10, $C$3, IF( _xlpm.prep_month  &gt;0, $C$3,0)))</f>
        <v>12000000</v>
      </c>
      <c r="J12" s="94" t="n">
        <f aca="false">_xlfn.LET(
_xlpm.prep_month, INDEX('⚙️ Other Assumptions'!$B$18:$AK$18,MATCH(J$10,'⚙️ Other Assumptions'!$B$14:$AK$14,0)), 
IF(J$10&gt; 10, $C$3, IF( _xlpm.prep_month  &gt;0, $C$3,0)))</f>
        <v>12000000</v>
      </c>
      <c r="K12" s="94" t="n">
        <f aca="false">_xlfn.LET(
_xlpm.prep_month, INDEX('⚙️ Other Assumptions'!$B$18:$AK$18,MATCH(K$10,'⚙️ Other Assumptions'!$B$14:$AK$14,0)), 
IF(K$10&gt; 10, $C$3, IF( _xlpm.prep_month  &gt;0, $C$3,0)))</f>
        <v>12000000</v>
      </c>
      <c r="L12" s="94" t="n">
        <f aca="false">_xlfn.LET(
_xlpm.prep_month, INDEX('⚙️ Other Assumptions'!$B$18:$AK$18,MATCH(L$10,'⚙️ Other Assumptions'!$B$14:$AK$14,0)), 
IF(L$10&gt; 10, $C$3, IF( _xlpm.prep_month  &gt;0, $C$3,0)))</f>
        <v>12000000</v>
      </c>
      <c r="M12" s="94" t="n">
        <f aca="false">_xlfn.LET(
_xlpm.prep_month, INDEX('⚙️ Other Assumptions'!$B$18:$AK$18,MATCH(M$10,'⚙️ Other Assumptions'!$B$14:$AK$14,0)), 
IF(M$10&gt; 10, $C$3, IF( _xlpm.prep_month  &gt;0, $C$3,0)))</f>
        <v>12000000</v>
      </c>
      <c r="N12" s="94" t="n">
        <f aca="false">_xlfn.LET(
_xlpm.prep_month, INDEX('⚙️ Other Assumptions'!$B$18:$AK$18,MATCH(N$10,'⚙️ Other Assumptions'!$B$14:$AK$14,0)), 
IF(N$10&gt; 10, $C$3, IF( _xlpm.prep_month  &gt;0, $C$3,0)))</f>
        <v>12000000</v>
      </c>
      <c r="O12" s="94" t="n">
        <f aca="false">_xlfn.LET(
_xlpm.prep_month, INDEX('⚙️ Other Assumptions'!$B$18:$AK$18,MATCH(O$10,'⚙️ Other Assumptions'!$B$14:$AK$14,0)), 
IF(O$10&gt; 10, $C$3, IF( _xlpm.prep_month  &gt;0, $C$3,0)))</f>
        <v>12000000</v>
      </c>
      <c r="P12" s="94" t="n">
        <f aca="false">_xlfn.LET(
_xlpm.prep_month, INDEX('⚙️ Other Assumptions'!$B$18:$AK$18,MATCH(P$10,'⚙️ Other Assumptions'!$B$14:$AK$14,0)), 
IF(P$10&gt; 10, $C$3, IF( _xlpm.prep_month  &gt;0, $C$3,0)))</f>
        <v>12000000</v>
      </c>
      <c r="Q12" s="94" t="n">
        <f aca="false">_xlfn.LET(
_xlpm.prep_month, INDEX('⚙️ Other Assumptions'!$B$18:$AK$18,MATCH(Q$10,'⚙️ Other Assumptions'!$B$14:$AK$14,0)), 
IF(Q$10&gt; 10, $C$3, IF( _xlpm.prep_month  &gt;0, $C$3,0)))</f>
        <v>12000000</v>
      </c>
      <c r="R12" s="94" t="n">
        <f aca="false">_xlfn.LET(
_xlpm.prep_month, INDEX('⚙️ Other Assumptions'!$B$18:$AK$18,MATCH(R$10,'⚙️ Other Assumptions'!$B$14:$AK$14,0)), 
IF(R$10&gt; 10, $C$3, IF( _xlpm.prep_month  &gt;0, $C$3,0)))</f>
        <v>12000000</v>
      </c>
      <c r="S12" s="94" t="n">
        <f aca="false">_xlfn.LET(
_xlpm.prep_month, INDEX('⚙️ Other Assumptions'!$B$18:$AK$18,MATCH(S$10,'⚙️ Other Assumptions'!$B$14:$AK$14,0)), 
IF(S$10&gt; 10, $C$3, IF( _xlpm.prep_month  &gt;0, $C$3,0)))</f>
        <v>12000000</v>
      </c>
      <c r="T12" s="94" t="n">
        <f aca="false">_xlfn.LET(
_xlpm.prep_month, INDEX('⚙️ Other Assumptions'!$B$18:$AK$18,MATCH(T$10,'⚙️ Other Assumptions'!$B$14:$AK$14,0)), 
IF(T$10&gt; 10, $C$3, IF( _xlpm.prep_month  &gt;0, $C$3,0)))</f>
        <v>12000000</v>
      </c>
      <c r="U12" s="94" t="n">
        <f aca="false">_xlfn.LET(
_xlpm.prep_month, INDEX('⚙️ Other Assumptions'!$B$18:$AK$18,MATCH(U$10,'⚙️ Other Assumptions'!$B$14:$AK$14,0)), 
IF(U$10&gt; 10, $C$3, IF( _xlpm.prep_month  &gt;0, $C$3,0)))</f>
        <v>12000000</v>
      </c>
      <c r="V12" s="94" t="n">
        <f aca="false">_xlfn.LET(
_xlpm.prep_month, INDEX('⚙️ Other Assumptions'!$B$18:$AK$18,MATCH(V$10,'⚙️ Other Assumptions'!$B$14:$AK$14,0)), 
IF(V$10&gt; 10, $C$3, IF( _xlpm.prep_month  &gt;0, $C$3,0)))</f>
        <v>12000000</v>
      </c>
      <c r="W12" s="94" t="n">
        <f aca="false">_xlfn.LET(
_xlpm.prep_month, INDEX('⚙️ Other Assumptions'!$B$18:$AK$18,MATCH(W$10,'⚙️ Other Assumptions'!$B$14:$AK$14,0)), 
IF(W$10&gt; 10, $C$3, IF( _xlpm.prep_month  &gt;0, $C$3,0)))</f>
        <v>12000000</v>
      </c>
      <c r="X12" s="94" t="n">
        <f aca="false">_xlfn.LET(
_xlpm.prep_month, INDEX('⚙️ Other Assumptions'!$B$18:$AK$18,MATCH(X$10,'⚙️ Other Assumptions'!$B$14:$AK$14,0)), 
IF(X$10&gt; 10, $C$3, IF( _xlpm.prep_month  &gt;0, $C$3,0)))</f>
        <v>12000000</v>
      </c>
      <c r="Y12" s="94" t="n">
        <f aca="false">_xlfn.LET(
_xlpm.prep_month, INDEX('⚙️ Other Assumptions'!$B$18:$AK$18,MATCH(Y$10,'⚙️ Other Assumptions'!$B$14:$AK$14,0)), 
IF(Y$10&gt; 10, $C$3, IF( _xlpm.prep_month  &gt;0, $C$3,0)))</f>
        <v>12000000</v>
      </c>
      <c r="Z12" s="94" t="n">
        <f aca="false">_xlfn.LET(
_xlpm.prep_month, INDEX('⚙️ Other Assumptions'!$B$18:$AK$18,MATCH(Z$10,'⚙️ Other Assumptions'!$B$14:$AK$14,0)), 
IF(Z$10&gt; 10, $C$3, IF( _xlpm.prep_month  &gt;0, $C$3,0)))</f>
        <v>12000000</v>
      </c>
      <c r="AA12" s="94" t="n">
        <f aca="false">_xlfn.LET(
_xlpm.prep_month, INDEX('⚙️ Other Assumptions'!$B$18:$AK$18,MATCH(AA$10,'⚙️ Other Assumptions'!$B$14:$AK$14,0)), 
IF(AA$10&gt; 10, $C$3, IF( _xlpm.prep_month  &gt;0, $C$3,0)))</f>
        <v>12000000</v>
      </c>
      <c r="AB12" s="94" t="n">
        <f aca="false">_xlfn.LET(
_xlpm.prep_month, INDEX('⚙️ Other Assumptions'!$B$18:$AK$18,MATCH(AB$10,'⚙️ Other Assumptions'!$B$14:$AK$14,0)), 
IF(AB$10&gt; 10, $C$3, IF( _xlpm.prep_month  &gt;0, $C$3,0)))</f>
        <v>12000000</v>
      </c>
      <c r="AC12" s="94" t="n">
        <f aca="false">_xlfn.LET(
_xlpm.prep_month, INDEX('⚙️ Other Assumptions'!$B$18:$AK$18,MATCH(AC$10,'⚙️ Other Assumptions'!$B$14:$AK$14,0)), 
IF(AC$10&gt; 10, $C$3, IF( _xlpm.prep_month  &gt;0, $C$3,0)))</f>
        <v>12000000</v>
      </c>
      <c r="AD12" s="94" t="n">
        <f aca="false">_xlfn.LET(
_xlpm.prep_month, INDEX('⚙️ Other Assumptions'!$B$18:$AK$18,MATCH(AD$10,'⚙️ Other Assumptions'!$B$14:$AK$14,0)), 
IF(AD$10&gt; 10, $C$3, IF( _xlpm.prep_month  &gt;0, $C$3,0)))</f>
        <v>12000000</v>
      </c>
      <c r="AE12" s="94" t="n">
        <f aca="false">_xlfn.LET(
_xlpm.prep_month, INDEX('⚙️ Other Assumptions'!$B$18:$AK$18,MATCH(AE$10,'⚙️ Other Assumptions'!$B$14:$AK$14,0)), 
IF(AE$10&gt; 10, $C$3, IF( _xlpm.prep_month  &gt;0, $C$3,0)))</f>
        <v>12000000</v>
      </c>
      <c r="AF12" s="94" t="n">
        <f aca="false">_xlfn.LET(
_xlpm.prep_month, INDEX('⚙️ Other Assumptions'!$B$18:$AK$18,MATCH(AF$10,'⚙️ Other Assumptions'!$B$14:$AK$14,0)), 
IF(AF$10&gt; 10, $C$3, IF( _xlpm.prep_month  &gt;0, $C$3,0)))</f>
        <v>12000000</v>
      </c>
      <c r="AG12" s="94" t="n">
        <f aca="false">_xlfn.LET(
_xlpm.prep_month, INDEX('⚙️ Other Assumptions'!$B$18:$AK$18,MATCH(AG$10,'⚙️ Other Assumptions'!$B$14:$AK$14,0)), 
IF(AG$10&gt; 10, $C$3, IF( _xlpm.prep_month  &gt;0, $C$3,0)))</f>
        <v>12000000</v>
      </c>
      <c r="AH12" s="94" t="n">
        <f aca="false">_xlfn.LET(
_xlpm.prep_month, INDEX('⚙️ Other Assumptions'!$B$18:$AK$18,MATCH(AH$10,'⚙️ Other Assumptions'!$B$14:$AK$14,0)), 
IF(AH$10&gt; 10, $C$3, IF( _xlpm.prep_month  &gt;0, $C$3,0)))</f>
        <v>12000000</v>
      </c>
      <c r="AI12" s="94" t="n">
        <f aca="false">_xlfn.LET(
_xlpm.prep_month, INDEX('⚙️ Other Assumptions'!$B$18:$AK$18,MATCH(AI$10,'⚙️ Other Assumptions'!$B$14:$AK$14,0)), 
IF(AI$10&gt; 10, $C$3, IF( _xlpm.prep_month  &gt;0, $C$3,0)))</f>
        <v>12000000</v>
      </c>
      <c r="AJ12" s="94" t="n">
        <f aca="false">_xlfn.LET(
_xlpm.prep_month, INDEX('⚙️ Other Assumptions'!$B$18:$AK$18,MATCH(AJ$10,'⚙️ Other Assumptions'!$B$14:$AK$14,0)), 
IF(AJ$10&gt; 10, $C$3, IF( _xlpm.prep_month  &gt;0, $C$3,0)))</f>
        <v>12000000</v>
      </c>
      <c r="AK12" s="94" t="n">
        <f aca="false">_xlfn.LET(
_xlpm.prep_month, INDEX('⚙️ Other Assumptions'!$B$18:$AK$18,MATCH(AK$10,'⚙️ Other Assumptions'!$B$14:$AK$14,0)), 
IF(AK$10&gt; 10, $C$3, IF( _xlpm.prep_month  &gt;0, $C$3,0)))</f>
        <v>12000000</v>
      </c>
      <c r="AL12" s="94" t="n">
        <f aca="false">_xlfn.LET(
_xlpm.prep_month, INDEX('⚙️ Other Assumptions'!$B$18:$AK$18,MATCH(AL$10,'⚙️ Other Assumptions'!$B$14:$AK$14,0)), 
IF(AL$10&gt; 10, $C$3, IF( _xlpm.prep_month  &gt;0, $C$3,0)))</f>
        <v>12000000</v>
      </c>
      <c r="AM12" s="94" t="n">
        <f aca="false">_xlfn.LET(
_xlpm.prep_month, INDEX('⚙️ Other Assumptions'!$B$18:$AK$18,MATCH(AM$10,'⚙️ Other Assumptions'!$B$14:$AK$14,0)), 
IF(AM$10&gt; 10, $C$3, IF( _xlpm.prep_month  &gt;0, $C$3,0)))</f>
        <v>12000000</v>
      </c>
      <c r="AN12" s="94" t="n">
        <f aca="false">_xlfn.LET(
_xlpm.prep_month, INDEX('⚙️ Other Assumptions'!$B$18:$AK$18,MATCH(AN$10,'⚙️ Other Assumptions'!$B$14:$AK$14,0)), 
IF(AN$10&gt; 10, $C$3, IF( _xlpm.prep_month  &gt;0, $C$3,0)))</f>
        <v>12000000</v>
      </c>
      <c r="AO12" s="94" t="n">
        <f aca="false">_xlfn.LET(
_xlpm.prep_month, INDEX('⚙️ Other Assumptions'!$B$18:$AK$18,MATCH(AO$10,'⚙️ Other Assumptions'!$B$14:$AK$14,0)), 
IF(AO$10&gt; 10, $C$3, IF( _xlpm.prep_month  &gt;0, $C$3,0)))</f>
        <v>12000000</v>
      </c>
      <c r="AP12" s="94" t="n">
        <f aca="false">_xlfn.LET(
_xlpm.prep_month, INDEX('⚙️ Other Assumptions'!$B$18:$AK$18,MATCH(AP$10,'⚙️ Other Assumptions'!$B$14:$AK$14,0)), 
IF(AP$10&gt; 10, $C$3, IF( _xlpm.prep_month  &gt;0, $C$3,0)))</f>
        <v>12000000</v>
      </c>
      <c r="AQ12" s="94" t="n">
        <f aca="false">_xlfn.LET(
_xlpm.prep_month, INDEX('⚙️ Other Assumptions'!$B$18:$AK$18,MATCH(AQ$10,'⚙️ Other Assumptions'!$B$14:$AK$14,0)), 
IF(AQ$10&gt; 10, $C$3, IF( _xlpm.prep_month  &gt;0, $C$3,0)))</f>
        <v>12000000</v>
      </c>
      <c r="AR12" s="94" t="n">
        <f aca="false">_xlfn.LET(
_xlpm.prep_month, INDEX('⚙️ Other Assumptions'!$B$18:$AK$18,MATCH(AR$10,'⚙️ Other Assumptions'!$B$14:$AK$14,0)), 
IF(AR$10&gt; 10, $C$3, IF( _xlpm.prep_month  &gt;0, $C$3,0)))</f>
        <v>12000000</v>
      </c>
      <c r="AS12" s="94" t="n">
        <f aca="false">_xlfn.LET(
_xlpm.prep_month, INDEX('⚙️ Other Assumptions'!$B$18:$AK$18,MATCH(AS$10,'⚙️ Other Assumptions'!$B$14:$AK$14,0)), 
IF(AS$10&gt; 10, $C$3, IF( _xlpm.prep_month  &gt;0, $C$3,0)))</f>
        <v>12000000</v>
      </c>
      <c r="AT12" s="94" t="n">
        <f aca="false">_xlfn.LET(
_xlpm.prep_month, INDEX('⚙️ Other Assumptions'!$B$18:$AK$18,MATCH(AT$10,'⚙️ Other Assumptions'!$B$14:$AK$14,0)), 
IF(AT$10&gt; 10, $C$3, IF( _xlpm.prep_month  &gt;0, $C$3,0)))</f>
        <v>12000000</v>
      </c>
      <c r="AU12" s="94" t="n">
        <f aca="false">_xlfn.LET(
_xlpm.prep_month, INDEX('⚙️ Other Assumptions'!$B$18:$AK$18,MATCH(AU$10,'⚙️ Other Assumptions'!$B$14:$AK$14,0)), 
IF(AU$10&gt; 10, $C$3, IF( _xlpm.prep_month  &gt;0, $C$3,0)))</f>
        <v>12000000</v>
      </c>
      <c r="AV12" s="94" t="n">
        <f aca="false">_xlfn.LET(
_xlpm.prep_month, INDEX('⚙️ Other Assumptions'!$B$18:$AK$18,MATCH(AV$10,'⚙️ Other Assumptions'!$B$14:$AK$14,0)), 
IF(AV$10&gt; 10, $C$3, IF( _xlpm.prep_month  &gt;0, $C$3,0)))</f>
        <v>12000000</v>
      </c>
      <c r="AW12" s="94" t="n">
        <f aca="false">_xlfn.LET(
_xlpm.prep_month, INDEX('⚙️ Other Assumptions'!$B$18:$AK$18,MATCH(AW$10,'⚙️ Other Assumptions'!$B$14:$AK$14,0)), 
IF(AW$10&gt; 10, $C$3, IF( _xlpm.prep_month  &gt;0, $C$3,0)))</f>
        <v>12000000</v>
      </c>
      <c r="AX12" s="94" t="n">
        <f aca="false">_xlfn.LET(
_xlpm.prep_month, INDEX('⚙️ Other Assumptions'!$B$18:$AK$18,MATCH(AX$10,'⚙️ Other Assumptions'!$B$14:$AK$14,0)), 
IF(AX$10&gt; 10, $C$3, IF( _xlpm.prep_month  &gt;0, $C$3,0)))</f>
        <v>12000000</v>
      </c>
      <c r="AY12" s="94" t="n">
        <f aca="false">_xlfn.LET(
_xlpm.prep_month, INDEX('⚙️ Other Assumptions'!$B$18:$AK$18,MATCH(AY$10,'⚙️ Other Assumptions'!$B$14:$AK$14,0)), 
IF(AY$10&gt; 10, $C$3, IF( _xlpm.prep_month  &gt;0, $C$3,0)))</f>
        <v>12000000</v>
      </c>
      <c r="AZ12" s="94" t="n">
        <f aca="false">_xlfn.LET(
_xlpm.prep_month, INDEX('⚙️ Other Assumptions'!$B$18:$AK$18,MATCH(AZ$10,'⚙️ Other Assumptions'!$B$14:$AK$14,0)), 
IF(AZ$10&gt; 10, $C$3, IF( _xlpm.prep_month  &gt;0, $C$3,0)))</f>
        <v>12000000</v>
      </c>
      <c r="BA12" s="94" t="n">
        <f aca="false">_xlfn.LET(
_xlpm.prep_month, INDEX('⚙️ Other Assumptions'!$B$18:$AK$18,MATCH(BA$10,'⚙️ Other Assumptions'!$B$14:$AK$14,0)), 
IF(BA$10&gt; 10, $C$3, IF( _xlpm.prep_month  &gt;0, $C$3,0)))</f>
        <v>12000000</v>
      </c>
      <c r="BB12" s="94" t="n">
        <f aca="false">_xlfn.LET(
_xlpm.prep_month, INDEX('⚙️ Other Assumptions'!$B$18:$AK$18,MATCH(BB$10,'⚙️ Other Assumptions'!$B$14:$AK$14,0)), 
IF(BB$10&gt; 10, $C$3, IF( _xlpm.prep_month  &gt;0, $C$3,0)))</f>
        <v>12000000</v>
      </c>
      <c r="BC12" s="94" t="n">
        <f aca="false">_xlfn.LET(
_xlpm.prep_month, INDEX('⚙️ Other Assumptions'!$B$18:$AK$18,MATCH(BC$10,'⚙️ Other Assumptions'!$B$14:$AK$14,0)), 
IF(BC$10&gt; 10, $C$3, IF( _xlpm.prep_month  &gt;0, $C$3,0)))</f>
        <v>12000000</v>
      </c>
      <c r="BD12" s="94" t="n">
        <f aca="false">_xlfn.LET(
_xlpm.prep_month, INDEX('⚙️ Other Assumptions'!$B$18:$AK$18,MATCH(BD$10,'⚙️ Other Assumptions'!$B$14:$AK$14,0)), 
IF(BD$10&gt; 10, $C$3, IF( _xlpm.prep_month  &gt;0, $C$3,0)))</f>
        <v>12000000</v>
      </c>
      <c r="BE12" s="94" t="n">
        <f aca="false">_xlfn.LET(
_xlpm.prep_month, INDEX('⚙️ Other Assumptions'!$B$18:$AK$18,MATCH(BE$10,'⚙️ Other Assumptions'!$B$14:$AK$14,0)), 
IF(BE$10&gt; 10, $C$3, IF( _xlpm.prep_month  &gt;0, $C$3,0)))</f>
        <v>12000000</v>
      </c>
      <c r="BF12" s="94" t="n">
        <f aca="false">_xlfn.LET(
_xlpm.prep_month, INDEX('⚙️ Other Assumptions'!$B$18:$AK$18,MATCH(BF$10,'⚙️ Other Assumptions'!$B$14:$AK$14,0)), 
IF(BF$10&gt; 10, $C$3, IF( _xlpm.prep_month  &gt;0, $C$3,0)))</f>
        <v>12000000</v>
      </c>
      <c r="BG12" s="94" t="n">
        <f aca="false">_xlfn.LET(
_xlpm.prep_month, INDEX('⚙️ Other Assumptions'!$B$18:$AK$18,MATCH(BG$10,'⚙️ Other Assumptions'!$B$14:$AK$14,0)), 
IF(BG$10&gt; 10, $C$3, IF( _xlpm.prep_month  &gt;0, $C$3,0)))</f>
        <v>12000000</v>
      </c>
      <c r="BH12" s="94" t="n">
        <f aca="false">_xlfn.LET(
_xlpm.prep_month, INDEX('⚙️ Other Assumptions'!$B$18:$AK$18,MATCH(BH$10,'⚙️ Other Assumptions'!$B$14:$AK$14,0)), 
IF(BH$10&gt; 10, $C$3, IF( _xlpm.prep_month  &gt;0, $C$3,0)))</f>
        <v>12000000</v>
      </c>
      <c r="BI12" s="94" t="n">
        <f aca="false">_xlfn.LET(
_xlpm.prep_month, INDEX('⚙️ Other Assumptions'!$B$18:$AK$18,MATCH(BI$10,'⚙️ Other Assumptions'!$B$14:$AK$14,0)), 
IF(BI$10&gt; 10, $C$3, IF( _xlpm.prep_month  &gt;0, $C$3,0)))</f>
        <v>12000000</v>
      </c>
    </row>
    <row r="13" customFormat="false" ht="13.8" hidden="false" customHeight="false" outlineLevel="0" collapsed="false">
      <c r="A13" s="95" t="s">
        <v>299</v>
      </c>
      <c r="B13" s="89" t="n">
        <f aca="false">IF(B14&gt;150,4,IF(B14&gt;100,3,IF(B14&gt;0,2,0)))</f>
        <v>0</v>
      </c>
      <c r="C13" s="89" t="n">
        <f aca="false">IF(C14&gt;150,4,IF(C14&gt;100,3,IF(C14&gt;0,2,0)))</f>
        <v>0</v>
      </c>
      <c r="D13" s="89" t="n">
        <f aca="false">IF(D14&gt;150,4,IF(D14&gt;100,3,IF(D14&gt;0,2,0)))</f>
        <v>2</v>
      </c>
      <c r="E13" s="89" t="n">
        <f aca="false">IF(E14&gt;150,4,IF(E14&gt;100,3,IF(E14&gt;0,2,0)))</f>
        <v>2</v>
      </c>
      <c r="F13" s="89" t="n">
        <f aca="false">IF(F14&gt;150,4,IF(F14&gt;100,3,IF(F14&gt;0,2,0)))</f>
        <v>3</v>
      </c>
      <c r="G13" s="89" t="n">
        <f aca="false">IF(G14&gt;150,4,IF(G14&gt;100,3,IF(G14&gt;0,2,0)))</f>
        <v>3</v>
      </c>
      <c r="H13" s="89" t="n">
        <f aca="false">IF(H14&gt;150,4,IF(H14&gt;100,3,IF(H14&gt;0,2,0)))</f>
        <v>3</v>
      </c>
      <c r="I13" s="89" t="n">
        <f aca="false">IF(I14&gt;150,4,IF(I14&gt;100,3,IF(I14&gt;0,2,0)))</f>
        <v>3</v>
      </c>
      <c r="J13" s="89" t="n">
        <f aca="false">IF(J14&gt;150,4,IF(J14&gt;100,3,IF(J14&gt;0,2,0)))</f>
        <v>3</v>
      </c>
      <c r="K13" s="89" t="n">
        <f aca="false">IF(K14&gt;150,4,IF(K14&gt;100,3,IF(K14&gt;0,2,0)))</f>
        <v>3</v>
      </c>
      <c r="L13" s="89" t="n">
        <f aca="false">IF(L14&gt;150,4,IF(L14&gt;100,3,IF(L14&gt;0,2,0)))</f>
        <v>3</v>
      </c>
      <c r="M13" s="89" t="n">
        <f aca="false">IF(M14&gt;150,4,IF(M14&gt;100,3,IF(M14&gt;0,2,0)))</f>
        <v>3</v>
      </c>
      <c r="N13" s="89" t="n">
        <f aca="false">IF(N14&gt;150,4,IF(N14&gt;100,3,IF(N14&gt;0,2,0)))</f>
        <v>3</v>
      </c>
      <c r="O13" s="89" t="n">
        <f aca="false">IF(O14&gt;150,4,IF(O14&gt;100,3,IF(O14&gt;0,2,0)))</f>
        <v>3</v>
      </c>
      <c r="P13" s="89" t="n">
        <f aca="false">IF(P14&gt;150,4,IF(P14&gt;100,3,IF(P14&gt;0,2,0)))</f>
        <v>3</v>
      </c>
      <c r="Q13" s="89" t="n">
        <f aca="false">IF(Q14&gt;150,4,IF(Q14&gt;100,3,IF(Q14&gt;0,2,0)))</f>
        <v>3</v>
      </c>
      <c r="R13" s="89" t="n">
        <f aca="false">IF(R14&gt;150,4,IF(R14&gt;100,3,IF(R14&gt;0,2,0)))</f>
        <v>4</v>
      </c>
      <c r="S13" s="89" t="n">
        <f aca="false">IF(S14&gt;150,4,IF(S14&gt;100,3,IF(S14&gt;0,2,0)))</f>
        <v>4</v>
      </c>
      <c r="T13" s="89" t="n">
        <f aca="false">IF(T14&gt;150,4,IF(T14&gt;100,3,IF(T14&gt;0,2,0)))</f>
        <v>4</v>
      </c>
      <c r="U13" s="89" t="n">
        <f aca="false">IF(U14&gt;150,4,IF(U14&gt;100,3,IF(U14&gt;0,2,0)))</f>
        <v>4</v>
      </c>
      <c r="V13" s="89" t="n">
        <f aca="false">IF(V14&gt;150,4,IF(V14&gt;100,3,IF(V14&gt;0,2,0)))</f>
        <v>4</v>
      </c>
      <c r="W13" s="89" t="n">
        <f aca="false">IF(W14&gt;150,4,IF(W14&gt;100,3,IF(W14&gt;0,2,0)))</f>
        <v>4</v>
      </c>
      <c r="X13" s="89" t="n">
        <f aca="false">IF(X14&gt;150,4,IF(X14&gt;100,3,IF(X14&gt;0,2,0)))</f>
        <v>4</v>
      </c>
      <c r="Y13" s="89" t="n">
        <f aca="false">IF(Y14&gt;150,4,IF(Y14&gt;100,3,IF(Y14&gt;0,2,0)))</f>
        <v>4</v>
      </c>
      <c r="Z13" s="89" t="n">
        <f aca="false">IF(Z14&gt;150,4,IF(Z14&gt;100,3,IF(Z14&gt;0,2,0)))</f>
        <v>4</v>
      </c>
      <c r="AA13" s="89" t="n">
        <f aca="false">IF(AA14&gt;150,4,IF(AA14&gt;100,3,IF(AA14&gt;0,2,0)))</f>
        <v>4</v>
      </c>
      <c r="AB13" s="89" t="n">
        <f aca="false">IF(AB14&gt;150,4,IF(AB14&gt;100,3,IF(AB14&gt;0,2,0)))</f>
        <v>4</v>
      </c>
      <c r="AC13" s="89" t="n">
        <f aca="false">IF(AC14&gt;150,4,IF(AC14&gt;100,3,IF(AC14&gt;0,2,0)))</f>
        <v>4</v>
      </c>
      <c r="AD13" s="89" t="n">
        <f aca="false">IF(AD14&gt;150,4,IF(AD14&gt;100,3,IF(AD14&gt;0,2,0)))</f>
        <v>4</v>
      </c>
      <c r="AE13" s="89" t="n">
        <f aca="false">IF(AE14&gt;150,4,IF(AE14&gt;100,3,IF(AE14&gt;0,2,0)))</f>
        <v>4</v>
      </c>
      <c r="AF13" s="89" t="n">
        <f aca="false">IF(AF14&gt;150,4,IF(AF14&gt;100,3,IF(AF14&gt;0,2,0)))</f>
        <v>4</v>
      </c>
      <c r="AG13" s="89" t="n">
        <f aca="false">IF(AG14&gt;150,4,IF(AG14&gt;100,3,IF(AG14&gt;0,2,0)))</f>
        <v>4</v>
      </c>
      <c r="AH13" s="89" t="n">
        <f aca="false">IF(AH14&gt;150,4,IF(AH14&gt;100,3,IF(AH14&gt;0,2,0)))</f>
        <v>4</v>
      </c>
      <c r="AI13" s="89" t="n">
        <f aca="false">IF(AI14&gt;150,4,IF(AI14&gt;100,3,IF(AI14&gt;0,2,0)))</f>
        <v>4</v>
      </c>
      <c r="AJ13" s="89" t="n">
        <f aca="false">IF(AJ14&gt;150,4,IF(AJ14&gt;100,3,IF(AJ14&gt;0,2,0)))</f>
        <v>4</v>
      </c>
      <c r="AK13" s="89" t="n">
        <f aca="false">IF(AK14&gt;150,4,IF(AK14&gt;100,3,IF(AK14&gt;0,2,0)))</f>
        <v>4</v>
      </c>
      <c r="AL13" s="89" t="n">
        <f aca="false">IF(AL14&gt;150,4,IF(AL14&gt;100,3,IF(AL14&gt;0,2,0)))</f>
        <v>4</v>
      </c>
      <c r="AM13" s="89" t="n">
        <f aca="false">IF(AM14&gt;150,4,IF(AM14&gt;100,3,IF(AM14&gt;0,2,0)))</f>
        <v>4</v>
      </c>
      <c r="AN13" s="89" t="n">
        <f aca="false">IF(AN14&gt;150,4,IF(AN14&gt;100,3,IF(AN14&gt;0,2,0)))</f>
        <v>4</v>
      </c>
      <c r="AO13" s="89" t="n">
        <f aca="false">IF(AO14&gt;150,4,IF(AO14&gt;100,3,IF(AO14&gt;0,2,0)))</f>
        <v>4</v>
      </c>
      <c r="AP13" s="89" t="n">
        <f aca="false">IF(AP14&gt;150,4,IF(AP14&gt;100,3,IF(AP14&gt;0,2,0)))</f>
        <v>4</v>
      </c>
      <c r="AQ13" s="89" t="n">
        <f aca="false">IF(AQ14&gt;150,4,IF(AQ14&gt;100,3,IF(AQ14&gt;0,2,0)))</f>
        <v>4</v>
      </c>
      <c r="AR13" s="89" t="n">
        <f aca="false">IF(AR14&gt;150,4,IF(AR14&gt;100,3,IF(AR14&gt;0,2,0)))</f>
        <v>4</v>
      </c>
      <c r="AS13" s="89" t="n">
        <f aca="false">IF(AS14&gt;150,4,IF(AS14&gt;100,3,IF(AS14&gt;0,2,0)))</f>
        <v>4</v>
      </c>
      <c r="AT13" s="89" t="n">
        <f aca="false">IF(AT14&gt;150,4,IF(AT14&gt;100,3,IF(AT14&gt;0,2,0)))</f>
        <v>4</v>
      </c>
      <c r="AU13" s="89" t="n">
        <f aca="false">IF(AU14&gt;150,4,IF(AU14&gt;100,3,IF(AU14&gt;0,2,0)))</f>
        <v>4</v>
      </c>
      <c r="AV13" s="89" t="n">
        <f aca="false">IF(AV14&gt;150,4,IF(AV14&gt;100,3,IF(AV14&gt;0,2,0)))</f>
        <v>4</v>
      </c>
      <c r="AW13" s="89" t="n">
        <f aca="false">IF(AW14&gt;150,4,IF(AW14&gt;100,3,IF(AW14&gt;0,2,0)))</f>
        <v>4</v>
      </c>
      <c r="AX13" s="89" t="n">
        <f aca="false">IF(AX14&gt;150,4,IF(AX14&gt;100,3,IF(AX14&gt;0,2,0)))</f>
        <v>4</v>
      </c>
      <c r="AY13" s="89" t="n">
        <f aca="false">IF(AY14&gt;150,4,IF(AY14&gt;100,3,IF(AY14&gt;0,2,0)))</f>
        <v>4</v>
      </c>
      <c r="AZ13" s="89" t="n">
        <f aca="false">IF(AZ14&gt;150,4,IF(AZ14&gt;100,3,IF(AZ14&gt;0,2,0)))</f>
        <v>4</v>
      </c>
      <c r="BA13" s="89" t="n">
        <f aca="false">IF(BA14&gt;150,4,IF(BA14&gt;100,3,IF(BA14&gt;0,2,0)))</f>
        <v>4</v>
      </c>
      <c r="BB13" s="89" t="n">
        <f aca="false">IF(BB14&gt;150,4,IF(BB14&gt;100,3,IF(BB14&gt;0,2,0)))</f>
        <v>4</v>
      </c>
      <c r="BC13" s="89" t="n">
        <f aca="false">IF(BC14&gt;150,4,IF(BC14&gt;100,3,IF(BC14&gt;0,2,0)))</f>
        <v>4</v>
      </c>
      <c r="BD13" s="89" t="n">
        <f aca="false">IF(BD14&gt;150,4,IF(BD14&gt;100,3,IF(BD14&gt;0,2,0)))</f>
        <v>4</v>
      </c>
      <c r="BE13" s="89" t="n">
        <f aca="false">IF(BE14&gt;150,4,IF(BE14&gt;100,3,IF(BE14&gt;0,2,0)))</f>
        <v>4</v>
      </c>
      <c r="BF13" s="89" t="n">
        <f aca="false">IF(BF14&gt;150,4,IF(BF14&gt;100,3,IF(BF14&gt;0,2,0)))</f>
        <v>4</v>
      </c>
      <c r="BG13" s="89" t="n">
        <f aca="false">IF(BG14&gt;150,4,IF(BG14&gt;100,3,IF(BG14&gt;0,2,0)))</f>
        <v>4</v>
      </c>
      <c r="BH13" s="89" t="n">
        <f aca="false">IF(BH14&gt;150,4,IF(BH14&gt;100,3,IF(BH14&gt;0,2,0)))</f>
        <v>4</v>
      </c>
      <c r="BI13" s="89" t="n">
        <f aca="false">IF(BI14&gt;150,4,IF(BI14&gt;100,3,IF(BI14&gt;0,2,0)))</f>
        <v>4</v>
      </c>
    </row>
    <row r="14" customFormat="false" ht="13.8" hidden="false" customHeight="false" outlineLevel="0" collapsed="false">
      <c r="A14" s="95" t="s">
        <v>300</v>
      </c>
      <c r="B14" s="89" t="n">
        <f aca="false">INDEX('💰 Revenue'!$C$7:$BJ$7, MATCH(B11,'💰 Revenue'!$C$5:$BJ$5,0))</f>
        <v>0</v>
      </c>
      <c r="C14" s="89" t="n">
        <f aca="false">INDEX('💰 Revenue'!$C$7:$BJ$7, MATCH(C11,'💰 Revenue'!$C$5:$BJ$5,0))</f>
        <v>0</v>
      </c>
      <c r="D14" s="89" t="n">
        <f aca="false">INDEX('💰 Revenue'!$C$7:$BJ$7, MATCH(D11,'💰 Revenue'!$C$5:$BJ$5,0))</f>
        <v>67.5</v>
      </c>
      <c r="E14" s="89" t="n">
        <f aca="false">INDEX('💰 Revenue'!$C$7:$BJ$7, MATCH(E11,'💰 Revenue'!$C$5:$BJ$5,0))</f>
        <v>90</v>
      </c>
      <c r="F14" s="89" t="n">
        <f aca="false">INDEX('💰 Revenue'!$C$7:$BJ$7, MATCH(F11,'💰 Revenue'!$C$5:$BJ$5,0))</f>
        <v>105</v>
      </c>
      <c r="G14" s="89" t="n">
        <f aca="false">INDEX('💰 Revenue'!$C$7:$BJ$7, MATCH(G11,'💰 Revenue'!$C$5:$BJ$5,0))</f>
        <v>120</v>
      </c>
      <c r="H14" s="89" t="n">
        <f aca="false">INDEX('💰 Revenue'!$C$7:$BJ$7, MATCH(H11,'💰 Revenue'!$C$5:$BJ$5,0))</f>
        <v>135</v>
      </c>
      <c r="I14" s="89" t="n">
        <f aca="false">INDEX('💰 Revenue'!$C$7:$BJ$7, MATCH(I11,'💰 Revenue'!$C$5:$BJ$5,0))</f>
        <v>150</v>
      </c>
      <c r="J14" s="89" t="n">
        <f aca="false">INDEX('💰 Revenue'!$C$7:$BJ$7, MATCH(J11,'💰 Revenue'!$C$5:$BJ$5,0))</f>
        <v>150</v>
      </c>
      <c r="K14" s="89" t="n">
        <f aca="false">INDEX('💰 Revenue'!$C$7:$BJ$7, MATCH(K11,'💰 Revenue'!$C$5:$BJ$5,0))</f>
        <v>150</v>
      </c>
      <c r="L14" s="89" t="n">
        <f aca="false">INDEX('💰 Revenue'!$C$7:$BJ$7, MATCH(L11,'💰 Revenue'!$C$5:$BJ$5,0))</f>
        <v>150</v>
      </c>
      <c r="M14" s="89" t="n">
        <f aca="false">INDEX('💰 Revenue'!$C$7:$BJ$7, MATCH(M11,'💰 Revenue'!$C$5:$BJ$5,0))</f>
        <v>150</v>
      </c>
      <c r="N14" s="89" t="n">
        <f aca="false">INDEX('💰 Revenue'!$C$7:$BJ$7, MATCH(N11,'💰 Revenue'!$C$5:$BJ$5,0))</f>
        <v>150</v>
      </c>
      <c r="O14" s="89" t="n">
        <f aca="false">INDEX('💰 Revenue'!$C$7:$BJ$7, MATCH(O11,'💰 Revenue'!$C$5:$BJ$5,0))</f>
        <v>150</v>
      </c>
      <c r="P14" s="89" t="n">
        <f aca="false">INDEX('💰 Revenue'!$C$7:$BJ$7, MATCH(P11,'💰 Revenue'!$C$5:$BJ$5,0))</f>
        <v>150</v>
      </c>
      <c r="Q14" s="89" t="n">
        <f aca="false">INDEX('💰 Revenue'!$C$7:$BJ$7, MATCH(Q11,'💰 Revenue'!$C$5:$BJ$5,0))</f>
        <v>150</v>
      </c>
      <c r="R14" s="89" t="n">
        <f aca="false">INDEX('💰 Revenue'!$C$7:$BJ$7, MATCH(R11,'💰 Revenue'!$C$5:$BJ$5,0))</f>
        <v>180</v>
      </c>
      <c r="S14" s="89" t="n">
        <f aca="false">INDEX('💰 Revenue'!$C$7:$BJ$7, MATCH(S11,'💰 Revenue'!$C$5:$BJ$5,0))</f>
        <v>180</v>
      </c>
      <c r="T14" s="89" t="n">
        <f aca="false">INDEX('💰 Revenue'!$C$7:$BJ$7, MATCH(T11,'💰 Revenue'!$C$5:$BJ$5,0))</f>
        <v>180</v>
      </c>
      <c r="U14" s="89" t="n">
        <f aca="false">INDEX('💰 Revenue'!$C$7:$BJ$7, MATCH(U11,'💰 Revenue'!$C$5:$BJ$5,0))</f>
        <v>180</v>
      </c>
      <c r="V14" s="89" t="n">
        <f aca="false">INDEX('💰 Revenue'!$C$7:$BJ$7, MATCH(V11,'💰 Revenue'!$C$5:$BJ$5,0))</f>
        <v>180</v>
      </c>
      <c r="W14" s="89" t="n">
        <f aca="false">INDEX('💰 Revenue'!$C$7:$BJ$7, MATCH(W11,'💰 Revenue'!$C$5:$BJ$5,0))</f>
        <v>180</v>
      </c>
      <c r="X14" s="89" t="n">
        <f aca="false">INDEX('💰 Revenue'!$C$7:$BJ$7, MATCH(X11,'💰 Revenue'!$C$5:$BJ$5,0))</f>
        <v>180</v>
      </c>
      <c r="Y14" s="89" t="n">
        <f aca="false">INDEX('💰 Revenue'!$C$7:$BJ$7, MATCH(Y11,'💰 Revenue'!$C$5:$BJ$5,0))</f>
        <v>180</v>
      </c>
      <c r="Z14" s="89" t="n">
        <f aca="false">INDEX('💰 Revenue'!$C$7:$BJ$7, MATCH(Z11,'💰 Revenue'!$C$5:$BJ$5,0))</f>
        <v>180</v>
      </c>
      <c r="AA14" s="89" t="n">
        <f aca="false">INDEX('💰 Revenue'!$C$7:$BJ$7, MATCH(AA11,'💰 Revenue'!$C$5:$BJ$5,0))</f>
        <v>180</v>
      </c>
      <c r="AB14" s="89" t="n">
        <f aca="false">INDEX('💰 Revenue'!$C$7:$BJ$7, MATCH(AB11,'💰 Revenue'!$C$5:$BJ$5,0))</f>
        <v>180</v>
      </c>
      <c r="AC14" s="89" t="n">
        <f aca="false">INDEX('💰 Revenue'!$C$7:$BJ$7, MATCH(AC11,'💰 Revenue'!$C$5:$BJ$5,0))</f>
        <v>180</v>
      </c>
      <c r="AD14" s="89" t="n">
        <f aca="false">INDEX('💰 Revenue'!$C$7:$BJ$7, MATCH(AD11,'💰 Revenue'!$C$5:$BJ$5,0))</f>
        <v>180</v>
      </c>
      <c r="AE14" s="89" t="n">
        <f aca="false">INDEX('💰 Revenue'!$C$7:$BJ$7, MATCH(AE11,'💰 Revenue'!$C$5:$BJ$5,0))</f>
        <v>180</v>
      </c>
      <c r="AF14" s="89" t="n">
        <f aca="false">INDEX('💰 Revenue'!$C$7:$BJ$7, MATCH(AF11,'💰 Revenue'!$C$5:$BJ$5,0))</f>
        <v>180</v>
      </c>
      <c r="AG14" s="89" t="n">
        <f aca="false">INDEX('💰 Revenue'!$C$7:$BJ$7, MATCH(AG11,'💰 Revenue'!$C$5:$BJ$5,0))</f>
        <v>180</v>
      </c>
      <c r="AH14" s="89" t="n">
        <f aca="false">INDEX('💰 Revenue'!$C$7:$BJ$7, MATCH(AH11,'💰 Revenue'!$C$5:$BJ$5,0))</f>
        <v>180</v>
      </c>
      <c r="AI14" s="89" t="n">
        <f aca="false">INDEX('💰 Revenue'!$C$7:$BJ$7, MATCH(AI11,'💰 Revenue'!$C$5:$BJ$5,0))</f>
        <v>180</v>
      </c>
      <c r="AJ14" s="89" t="n">
        <f aca="false">INDEX('💰 Revenue'!$C$7:$BJ$7, MATCH(AJ11,'💰 Revenue'!$C$5:$BJ$5,0))</f>
        <v>180</v>
      </c>
      <c r="AK14" s="89" t="n">
        <f aca="false">INDEX('💰 Revenue'!$C$7:$BJ$7, MATCH(AK11,'💰 Revenue'!$C$5:$BJ$5,0))</f>
        <v>180</v>
      </c>
      <c r="AL14" s="89" t="n">
        <f aca="false">INDEX('💰 Revenue'!$C$7:$BJ$7, MATCH(AL11,'💰 Revenue'!$C$5:$BJ$5,0))</f>
        <v>180</v>
      </c>
      <c r="AM14" s="89" t="n">
        <f aca="false">INDEX('💰 Revenue'!$C$7:$BJ$7, MATCH(AM11,'💰 Revenue'!$C$5:$BJ$5,0))</f>
        <v>180</v>
      </c>
      <c r="AN14" s="89" t="n">
        <f aca="false">INDEX('💰 Revenue'!$C$7:$BJ$7, MATCH(AN11,'💰 Revenue'!$C$5:$BJ$5,0))</f>
        <v>180</v>
      </c>
      <c r="AO14" s="89" t="n">
        <f aca="false">INDEX('💰 Revenue'!$C$7:$BJ$7, MATCH(AO11,'💰 Revenue'!$C$5:$BJ$5,0))</f>
        <v>180</v>
      </c>
      <c r="AP14" s="89" t="n">
        <f aca="false">INDEX('💰 Revenue'!$C$7:$BJ$7, MATCH(AP11,'💰 Revenue'!$C$5:$BJ$5,0))</f>
        <v>180</v>
      </c>
      <c r="AQ14" s="89" t="n">
        <f aca="false">INDEX('💰 Revenue'!$C$7:$BJ$7, MATCH(AQ11,'💰 Revenue'!$C$5:$BJ$5,0))</f>
        <v>180</v>
      </c>
      <c r="AR14" s="89" t="n">
        <f aca="false">INDEX('💰 Revenue'!$C$7:$BJ$7, MATCH(AR11,'💰 Revenue'!$C$5:$BJ$5,0))</f>
        <v>180</v>
      </c>
      <c r="AS14" s="89" t="n">
        <f aca="false">INDEX('💰 Revenue'!$C$7:$BJ$7, MATCH(AS11,'💰 Revenue'!$C$5:$BJ$5,0))</f>
        <v>180</v>
      </c>
      <c r="AT14" s="89" t="n">
        <f aca="false">INDEX('💰 Revenue'!$C$7:$BJ$7, MATCH(AT11,'💰 Revenue'!$C$5:$BJ$5,0))</f>
        <v>180</v>
      </c>
      <c r="AU14" s="89" t="n">
        <f aca="false">INDEX('💰 Revenue'!$C$7:$BJ$7, MATCH(AU11,'💰 Revenue'!$C$5:$BJ$5,0))</f>
        <v>180</v>
      </c>
      <c r="AV14" s="89" t="n">
        <f aca="false">INDEX('💰 Revenue'!$C$7:$BJ$7, MATCH(AV11,'💰 Revenue'!$C$5:$BJ$5,0))</f>
        <v>180</v>
      </c>
      <c r="AW14" s="89" t="n">
        <f aca="false">INDEX('💰 Revenue'!$C$7:$BJ$7, MATCH(AW11,'💰 Revenue'!$C$5:$BJ$5,0))</f>
        <v>180</v>
      </c>
      <c r="AX14" s="89" t="n">
        <f aca="false">INDEX('💰 Revenue'!$C$7:$BJ$7, MATCH(AX11,'💰 Revenue'!$C$5:$BJ$5,0))</f>
        <v>180</v>
      </c>
      <c r="AY14" s="89" t="n">
        <f aca="false">INDEX('💰 Revenue'!$C$7:$BJ$7, MATCH(AY11,'💰 Revenue'!$C$5:$BJ$5,0))</f>
        <v>180</v>
      </c>
      <c r="AZ14" s="89" t="n">
        <f aca="false">INDEX('💰 Revenue'!$C$7:$BJ$7, MATCH(AZ11,'💰 Revenue'!$C$5:$BJ$5,0))</f>
        <v>180</v>
      </c>
      <c r="BA14" s="89" t="n">
        <f aca="false">INDEX('💰 Revenue'!$C$7:$BJ$7, MATCH(BA11,'💰 Revenue'!$C$5:$BJ$5,0))</f>
        <v>180</v>
      </c>
      <c r="BB14" s="89" t="n">
        <f aca="false">INDEX('💰 Revenue'!$C$7:$BJ$7, MATCH(BB11,'💰 Revenue'!$C$5:$BJ$5,0))</f>
        <v>180</v>
      </c>
      <c r="BC14" s="89" t="n">
        <f aca="false">INDEX('💰 Revenue'!$C$7:$BJ$7, MATCH(BC11,'💰 Revenue'!$C$5:$BJ$5,0))</f>
        <v>180</v>
      </c>
      <c r="BD14" s="89" t="n">
        <f aca="false">INDEX('💰 Revenue'!$C$7:$BJ$7, MATCH(BD11,'💰 Revenue'!$C$5:$BJ$5,0))</f>
        <v>180</v>
      </c>
      <c r="BE14" s="89" t="n">
        <f aca="false">INDEX('💰 Revenue'!$C$7:$BJ$7, MATCH(BE11,'💰 Revenue'!$C$5:$BJ$5,0))</f>
        <v>180</v>
      </c>
      <c r="BF14" s="89" t="n">
        <f aca="false">INDEX('💰 Revenue'!$C$7:$BJ$7, MATCH(BF11,'💰 Revenue'!$C$5:$BJ$5,0))</f>
        <v>180</v>
      </c>
      <c r="BG14" s="89" t="n">
        <f aca="false">INDEX('💰 Revenue'!$C$7:$BJ$7, MATCH(BG11,'💰 Revenue'!$C$5:$BJ$5,0))</f>
        <v>180</v>
      </c>
      <c r="BH14" s="89" t="n">
        <f aca="false">INDEX('💰 Revenue'!$C$7:$BJ$7, MATCH(BH11,'💰 Revenue'!$C$5:$BJ$5,0))</f>
        <v>180</v>
      </c>
      <c r="BI14" s="89" t="n">
        <f aca="false">INDEX('💰 Revenue'!$C$7:$BJ$7, MATCH(BI11,'💰 Revenue'!$C$5:$BJ$5,0))</f>
        <v>180</v>
      </c>
    </row>
    <row r="15" customFormat="false" ht="13.8" hidden="false" customHeight="false" outlineLevel="0" collapsed="false">
      <c r="A15" s="95" t="s">
        <v>301</v>
      </c>
      <c r="B15" s="96" t="n">
        <f aca="false">_xlfn.LET(
_xlpm.prep_month, INDEX('⚙️ Other Assumptions'!$B$18:$AK$18,MATCH(B$10,'⚙️ Other Assumptions'!$B$14:$AK$14,0)), 
_xlpm.days_per_month, INDEX('💰 Revenue'!$C$8:$BJ$8,MATCH(B11,'💰 Revenue'!$C$5:$BJ5,0)),
_xlpm.number_of_worker, B13,
_xlpm.hourly_rate,$D$4,
_xlpm.6hrs_pershift, 6 ,
_xlpm.waiter_sal, _xlpm.days_per_month * _xlpm.number_of_worker * _xlpm.hourly_rate * _xlpm.6hrs_pershift, 
IF(B$10&gt; 10, _xlpm.waiter_sal, IF(_xlpm.prep_month &gt; 0, _xlpm.waiter_sal,0)))</f>
        <v>0</v>
      </c>
      <c r="C15" s="96" t="n">
        <f aca="false">_xlfn.LET(
_xlpm.prep_month, INDEX('⚙️ Other Assumptions'!$B$18:$AK$18,MATCH(C$10,'⚙️ Other Assumptions'!$B$14:$AK$14,0)), 
_xlpm.days_per_month, INDEX('💰 Revenue'!$C$8:$BJ$8,MATCH(C11,'💰 Revenue'!$C$5:$BJ5,0)),
_xlpm.number_of_worker, C13,
_xlpm.hourly_rate,$D$4,
_xlpm.6hrs_pershift, 6 ,
_xlpm.waiter_sal, _xlpm.days_per_month * _xlpm.number_of_worker * _xlpm.hourly_rate * _xlpm.6hrs_pershift, 
IF(C$10&gt; 10, _xlpm.waiter_sal, IF(_xlpm.prep_month &gt; 0, _xlpm.waiter_sal,0)))</f>
        <v>0</v>
      </c>
      <c r="D15" s="96" t="n">
        <f aca="false">_xlfn.LET(
_xlpm.prep_month, INDEX('⚙️ Other Assumptions'!$B$18:$AK$18,MATCH(D$10,'⚙️ Other Assumptions'!$B$14:$AK$14,0)), 
_xlpm.days_per_month, INDEX('💰 Revenue'!$C$8:$BJ$8,MATCH(D11,'💰 Revenue'!$C$5:$BJ5,0)),
_xlpm.number_of_worker, D13,
_xlpm.hourly_rate,$D$4,
_xlpm.6hrs_pershift, 6 ,
_xlpm.waiter_sal, _xlpm.days_per_month * _xlpm.number_of_worker * _xlpm.hourly_rate * _xlpm.6hrs_pershift, 
IF(D$10&gt; 10, _xlpm.waiter_sal, IF(_xlpm.prep_month &gt; 0, _xlpm.waiter_sal,0)))</f>
        <v>12276000</v>
      </c>
      <c r="E15" s="96" t="n">
        <f aca="false">_xlfn.LET(
_xlpm.prep_month, INDEX('⚙️ Other Assumptions'!$B$18:$AK$18,MATCH(E$10,'⚙️ Other Assumptions'!$B$14:$AK$14,0)), 
_xlpm.days_per_month, INDEX('💰 Revenue'!$C$8:$BJ$8,MATCH(E11,'💰 Revenue'!$C$5:$BJ5,0)),
_xlpm.number_of_worker, E13,
_xlpm.hourly_rate,$D$4,
_xlpm.6hrs_pershift, 6 ,
_xlpm.waiter_sal, _xlpm.days_per_month * _xlpm.number_of_worker * _xlpm.hourly_rate * _xlpm.6hrs_pershift, 
IF(E$10&gt; 10, _xlpm.waiter_sal, IF(_xlpm.prep_month &gt; 0, _xlpm.waiter_sal,0)))</f>
        <v>12276000</v>
      </c>
      <c r="F15" s="96" t="n">
        <f aca="false">_xlfn.LET(
_xlpm.prep_month, INDEX('⚙️ Other Assumptions'!$B$18:$AK$18,MATCH(F$10,'⚙️ Other Assumptions'!$B$14:$AK$14,0)), 
_xlpm.days_per_month, INDEX('💰 Revenue'!$C$8:$BJ$8,MATCH(F11,'💰 Revenue'!$C$5:$BJ5,0)),
_xlpm.number_of_worker, F13,
_xlpm.hourly_rate,$D$4,
_xlpm.6hrs_pershift, 6 ,
_xlpm.waiter_sal, _xlpm.days_per_month * _xlpm.number_of_worker * _xlpm.hourly_rate * _xlpm.6hrs_pershift, 
IF(F$10&gt; 10, _xlpm.waiter_sal, IF(_xlpm.prep_month &gt; 0, _xlpm.waiter_sal,0)))</f>
        <v>17226000</v>
      </c>
      <c r="G15" s="96" t="n">
        <f aca="false">_xlfn.LET(
_xlpm.prep_month, INDEX('⚙️ Other Assumptions'!$B$18:$AK$18,MATCH(G$10,'⚙️ Other Assumptions'!$B$14:$AK$14,0)), 
_xlpm.days_per_month, INDEX('💰 Revenue'!$C$8:$BJ$8,MATCH(G11,'💰 Revenue'!$C$5:$BJ5,0)),
_xlpm.number_of_worker, G13,
_xlpm.hourly_rate,$D$4,
_xlpm.6hrs_pershift, 6 ,
_xlpm.waiter_sal, _xlpm.days_per_month * _xlpm.number_of_worker * _xlpm.hourly_rate * _xlpm.6hrs_pershift, 
IF(G$10&gt; 10, _xlpm.waiter_sal, IF(_xlpm.prep_month &gt; 0, _xlpm.waiter_sal,0)))</f>
        <v>18414000</v>
      </c>
      <c r="H15" s="96" t="n">
        <f aca="false">_xlfn.LET(
_xlpm.prep_month, INDEX('⚙️ Other Assumptions'!$B$18:$AK$18,MATCH(H$10,'⚙️ Other Assumptions'!$B$14:$AK$14,0)), 
_xlpm.days_per_month, INDEX('💰 Revenue'!$C$8:$BJ$8,MATCH(H11,'💰 Revenue'!$C$5:$BJ5,0)),
_xlpm.number_of_worker, H13,
_xlpm.hourly_rate,$D$4,
_xlpm.6hrs_pershift, 6 ,
_xlpm.waiter_sal, _xlpm.days_per_month * _xlpm.number_of_worker * _xlpm.hourly_rate * _xlpm.6hrs_pershift, 
IF(H$10&gt; 10, _xlpm.waiter_sal, IF(_xlpm.prep_month &gt; 0, _xlpm.waiter_sal,0)))</f>
        <v>17820000</v>
      </c>
      <c r="I15" s="96" t="n">
        <f aca="false">_xlfn.LET(
_xlpm.prep_month, INDEX('⚙️ Other Assumptions'!$B$18:$AK$18,MATCH(I$10,'⚙️ Other Assumptions'!$B$14:$AK$14,0)), 
_xlpm.days_per_month, INDEX('💰 Revenue'!$C$8:$BJ$8,MATCH(I11,'💰 Revenue'!$C$5:$BJ5,0)),
_xlpm.number_of_worker, I13,
_xlpm.hourly_rate,$D$4,
_xlpm.6hrs_pershift, 6 ,
_xlpm.waiter_sal, _xlpm.days_per_month * _xlpm.number_of_worker * _xlpm.hourly_rate * _xlpm.6hrs_pershift, 
IF(I$10&gt; 10, _xlpm.waiter_sal, IF(_xlpm.prep_month &gt; 0, _xlpm.waiter_sal,0)))</f>
        <v>18414000</v>
      </c>
      <c r="J15" s="96" t="n">
        <f aca="false">_xlfn.LET(
_xlpm.prep_month, INDEX('⚙️ Other Assumptions'!$B$18:$AK$18,MATCH(J$10,'⚙️ Other Assumptions'!$B$14:$AK$14,0)), 
_xlpm.days_per_month, INDEX('💰 Revenue'!$C$8:$BJ$8,MATCH(J11,'💰 Revenue'!$C$5:$BJ5,0)),
_xlpm.number_of_worker, J13,
_xlpm.hourly_rate,$D$4,
_xlpm.6hrs_pershift, 6 ,
_xlpm.waiter_sal, _xlpm.days_per_month * _xlpm.number_of_worker * _xlpm.hourly_rate * _xlpm.6hrs_pershift, 
IF(J$10&gt; 10, _xlpm.waiter_sal, IF(_xlpm.prep_month &gt; 0, _xlpm.waiter_sal,0)))</f>
        <v>17820000</v>
      </c>
      <c r="K15" s="96" t="n">
        <f aca="false">_xlfn.LET(
_xlpm.prep_month, INDEX('⚙️ Other Assumptions'!$B$18:$AK$18,MATCH(K$10,'⚙️ Other Assumptions'!$B$14:$AK$14,0)), 
_xlpm.days_per_month, INDEX('💰 Revenue'!$C$8:$BJ$8,MATCH(K11,'💰 Revenue'!$C$5:$BJ5,0)),
_xlpm.number_of_worker, K13,
_xlpm.hourly_rate,$D$4,
_xlpm.6hrs_pershift, 6 ,
_xlpm.waiter_sal, _xlpm.days_per_month * _xlpm.number_of_worker * _xlpm.hourly_rate * _xlpm.6hrs_pershift, 
IF(K$10&gt; 10, _xlpm.waiter_sal, IF(_xlpm.prep_month &gt; 0, _xlpm.waiter_sal,0)))</f>
        <v>18414000</v>
      </c>
      <c r="L15" s="96" t="n">
        <f aca="false">_xlfn.LET(
_xlpm.prep_month, INDEX('⚙️ Other Assumptions'!$B$18:$AK$18,MATCH(L$10,'⚙️ Other Assumptions'!$B$14:$AK$14,0)), 
_xlpm.days_per_month, INDEX('💰 Revenue'!$C$8:$BJ$8,MATCH(L11,'💰 Revenue'!$C$5:$BJ5,0)),
_xlpm.number_of_worker, L13,
_xlpm.hourly_rate,$D$4,
_xlpm.6hrs_pershift, 6 ,
_xlpm.waiter_sal, _xlpm.days_per_month * _xlpm.number_of_worker * _xlpm.hourly_rate * _xlpm.6hrs_pershift, 
IF(L$10&gt; 10, _xlpm.waiter_sal, IF(_xlpm.prep_month &gt; 0, _xlpm.waiter_sal,0)))</f>
        <v>18414000</v>
      </c>
      <c r="M15" s="96" t="n">
        <f aca="false">_xlfn.LET(
_xlpm.prep_month, INDEX('⚙️ Other Assumptions'!$B$18:$AK$18,MATCH(M$10,'⚙️ Other Assumptions'!$B$14:$AK$14,0)), 
_xlpm.days_per_month, INDEX('💰 Revenue'!$C$8:$BJ$8,MATCH(M11,'💰 Revenue'!$C$5:$BJ5,0)),
_xlpm.number_of_worker, M13,
_xlpm.hourly_rate,$D$4,
_xlpm.6hrs_pershift, 6 ,
_xlpm.waiter_sal, _xlpm.days_per_month * _xlpm.number_of_worker * _xlpm.hourly_rate * _xlpm.6hrs_pershift, 
IF(M$10&gt; 10, _xlpm.waiter_sal, IF(_xlpm.prep_month &gt; 0, _xlpm.waiter_sal,0)))</f>
        <v>17820000</v>
      </c>
      <c r="N15" s="96" t="n">
        <f aca="false">_xlfn.LET(
_xlpm.prep_month, INDEX('⚙️ Other Assumptions'!$B$18:$AK$18,MATCH(N$10,'⚙️ Other Assumptions'!$B$14:$AK$14,0)), 
_xlpm.days_per_month, INDEX('💰 Revenue'!$C$8:$BJ$8,MATCH(N11,'💰 Revenue'!$C$5:$BJ5,0)),
_xlpm.number_of_worker, N13,
_xlpm.hourly_rate,$D$4,
_xlpm.6hrs_pershift, 6 ,
_xlpm.waiter_sal, _xlpm.days_per_month * _xlpm.number_of_worker * _xlpm.hourly_rate * _xlpm.6hrs_pershift, 
IF(N$10&gt; 10, _xlpm.waiter_sal, IF(_xlpm.prep_month &gt; 0, _xlpm.waiter_sal,0)))</f>
        <v>18414000</v>
      </c>
      <c r="O15" s="96" t="n">
        <f aca="false">_xlfn.LET(
_xlpm.prep_month, INDEX('⚙️ Other Assumptions'!$B$18:$AK$18,MATCH(O$10,'⚙️ Other Assumptions'!$B$14:$AK$14,0)), 
_xlpm.days_per_month, INDEX('💰 Revenue'!$C$8:$BJ$8,MATCH(O11,'💰 Revenue'!$C$5:$BJ5,0)),
_xlpm.number_of_worker, O13,
_xlpm.hourly_rate,$D$4,
_xlpm.6hrs_pershift, 6 ,
_xlpm.waiter_sal, _xlpm.days_per_month * _xlpm.number_of_worker * _xlpm.hourly_rate * _xlpm.6hrs_pershift, 
IF(O$10&gt; 10, _xlpm.waiter_sal, IF(_xlpm.prep_month &gt; 0, _xlpm.waiter_sal,0)))</f>
        <v>17820000</v>
      </c>
      <c r="P15" s="96" t="n">
        <f aca="false">_xlfn.LET(
_xlpm.prep_month, INDEX('⚙️ Other Assumptions'!$B$18:$AK$18,MATCH(P$10,'⚙️ Other Assumptions'!$B$14:$AK$14,0)), 
_xlpm.days_per_month, INDEX('💰 Revenue'!$C$8:$BJ$8,MATCH(P11,'💰 Revenue'!$C$5:$BJ5,0)),
_xlpm.number_of_worker, P13,
_xlpm.hourly_rate,$D$4,
_xlpm.6hrs_pershift, 6 ,
_xlpm.waiter_sal, _xlpm.days_per_month * _xlpm.number_of_worker * _xlpm.hourly_rate * _xlpm.6hrs_pershift, 
IF(P$10&gt; 10, _xlpm.waiter_sal, IF(_xlpm.prep_month &gt; 0, _xlpm.waiter_sal,0)))</f>
        <v>18414000</v>
      </c>
      <c r="Q15" s="96" t="n">
        <f aca="false">_xlfn.LET(
_xlpm.prep_month, INDEX('⚙️ Other Assumptions'!$B$18:$AK$18,MATCH(Q$10,'⚙️ Other Assumptions'!$B$14:$AK$14,0)), 
_xlpm.days_per_month, INDEX('💰 Revenue'!$C$8:$BJ$8,MATCH(Q11,'💰 Revenue'!$C$5:$BJ5,0)),
_xlpm.number_of_worker, Q13,
_xlpm.hourly_rate,$D$4,
_xlpm.6hrs_pershift, 6 ,
_xlpm.waiter_sal, _xlpm.days_per_month * _xlpm.number_of_worker * _xlpm.hourly_rate * _xlpm.6hrs_pershift, 
IF(Q$10&gt; 10, _xlpm.waiter_sal, IF(_xlpm.prep_month &gt; 0, _xlpm.waiter_sal,0)))</f>
        <v>18414000</v>
      </c>
      <c r="R15" s="96" t="n">
        <f aca="false">_xlfn.LET(
_xlpm.prep_month, INDEX('⚙️ Other Assumptions'!$B$18:$AK$18,MATCH(R$10,'⚙️ Other Assumptions'!$B$14:$AK$14,0)), 
_xlpm.days_per_month, INDEX('💰 Revenue'!$C$8:$BJ$8,MATCH(R11,'💰 Revenue'!$C$5:$BJ5,0)),
_xlpm.number_of_worker, R13,
_xlpm.hourly_rate,$D$4,
_xlpm.6hrs_pershift, 6 ,
_xlpm.waiter_sal, _xlpm.days_per_month * _xlpm.number_of_worker * _xlpm.hourly_rate * _xlpm.6hrs_pershift, 
IF(R$10&gt; 10, _xlpm.waiter_sal, IF(_xlpm.prep_month &gt; 0, _xlpm.waiter_sal,0)))</f>
        <v>22176000</v>
      </c>
      <c r="S15" s="96" t="n">
        <f aca="false">_xlfn.LET(
_xlpm.prep_month, INDEX('⚙️ Other Assumptions'!$B$18:$AK$18,MATCH(S$10,'⚙️ Other Assumptions'!$B$14:$AK$14,0)), 
_xlpm.days_per_month, INDEX('💰 Revenue'!$C$8:$BJ$8,MATCH(S11,'💰 Revenue'!$C$5:$BJ5,0)),
_xlpm.number_of_worker, S13,
_xlpm.hourly_rate,$D$4,
_xlpm.6hrs_pershift, 6 ,
_xlpm.waiter_sal, _xlpm.days_per_month * _xlpm.number_of_worker * _xlpm.hourly_rate * _xlpm.6hrs_pershift, 
IF(S$10&gt; 10, _xlpm.waiter_sal, IF(_xlpm.prep_month &gt; 0, _xlpm.waiter_sal,0)))</f>
        <v>24552000</v>
      </c>
      <c r="T15" s="96" t="n">
        <f aca="false">_xlfn.LET(
_xlpm.prep_month, INDEX('⚙️ Other Assumptions'!$B$18:$AK$18,MATCH(T$10,'⚙️ Other Assumptions'!$B$14:$AK$14,0)), 
_xlpm.days_per_month, INDEX('💰 Revenue'!$C$8:$BJ$8,MATCH(T11,'💰 Revenue'!$C$5:$BJ5,0)),
_xlpm.number_of_worker, T13,
_xlpm.hourly_rate,$D$4,
_xlpm.6hrs_pershift, 6 ,
_xlpm.waiter_sal, _xlpm.days_per_month * _xlpm.number_of_worker * _xlpm.hourly_rate * _xlpm.6hrs_pershift, 
IF(T$10&gt; 10, _xlpm.waiter_sal, IF(_xlpm.prep_month &gt; 0, _xlpm.waiter_sal,0)))</f>
        <v>23760000</v>
      </c>
      <c r="U15" s="96" t="n">
        <f aca="false">_xlfn.LET(
_xlpm.prep_month, INDEX('⚙️ Other Assumptions'!$B$18:$AK$18,MATCH(U$10,'⚙️ Other Assumptions'!$B$14:$AK$14,0)), 
_xlpm.days_per_month, INDEX('💰 Revenue'!$C$8:$BJ$8,MATCH(U11,'💰 Revenue'!$C$5:$BJ5,0)),
_xlpm.number_of_worker, U13,
_xlpm.hourly_rate,$D$4,
_xlpm.6hrs_pershift, 6 ,
_xlpm.waiter_sal, _xlpm.days_per_month * _xlpm.number_of_worker * _xlpm.hourly_rate * _xlpm.6hrs_pershift, 
IF(U$10&gt; 10, _xlpm.waiter_sal, IF(_xlpm.prep_month &gt; 0, _xlpm.waiter_sal,0)))</f>
        <v>24552000</v>
      </c>
      <c r="V15" s="96" t="n">
        <f aca="false">_xlfn.LET(
_xlpm.prep_month, INDEX('⚙️ Other Assumptions'!$B$18:$AK$18,MATCH(V$10,'⚙️ Other Assumptions'!$B$14:$AK$14,0)), 
_xlpm.days_per_month, INDEX('💰 Revenue'!$C$8:$BJ$8,MATCH(V11,'💰 Revenue'!$C$5:$BJ5,0)),
_xlpm.number_of_worker, V13,
_xlpm.hourly_rate,$D$4,
_xlpm.6hrs_pershift, 6 ,
_xlpm.waiter_sal, _xlpm.days_per_month * _xlpm.number_of_worker * _xlpm.hourly_rate * _xlpm.6hrs_pershift, 
IF(V$10&gt; 10, _xlpm.waiter_sal, IF(_xlpm.prep_month &gt; 0, _xlpm.waiter_sal,0)))</f>
        <v>23760000</v>
      </c>
      <c r="W15" s="96" t="n">
        <f aca="false">_xlfn.LET(
_xlpm.prep_month, INDEX('⚙️ Other Assumptions'!$B$18:$AK$18,MATCH(W$10,'⚙️ Other Assumptions'!$B$14:$AK$14,0)), 
_xlpm.days_per_month, INDEX('💰 Revenue'!$C$8:$BJ$8,MATCH(W11,'💰 Revenue'!$C$5:$BJ5,0)),
_xlpm.number_of_worker, W13,
_xlpm.hourly_rate,$D$4,
_xlpm.6hrs_pershift, 6 ,
_xlpm.waiter_sal, _xlpm.days_per_month * _xlpm.number_of_worker * _xlpm.hourly_rate * _xlpm.6hrs_pershift, 
IF(W$10&gt; 10, _xlpm.waiter_sal, IF(_xlpm.prep_month &gt; 0, _xlpm.waiter_sal,0)))</f>
        <v>24552000</v>
      </c>
      <c r="X15" s="96" t="n">
        <f aca="false">_xlfn.LET(
_xlpm.prep_month, INDEX('⚙️ Other Assumptions'!$B$18:$AK$18,MATCH(X$10,'⚙️ Other Assumptions'!$B$14:$AK$14,0)), 
_xlpm.days_per_month, INDEX('💰 Revenue'!$C$8:$BJ$8,MATCH(X11,'💰 Revenue'!$C$5:$BJ5,0)),
_xlpm.number_of_worker, X13,
_xlpm.hourly_rate,$D$4,
_xlpm.6hrs_pershift, 6 ,
_xlpm.waiter_sal, _xlpm.days_per_month * _xlpm.number_of_worker * _xlpm.hourly_rate * _xlpm.6hrs_pershift, 
IF(X$10&gt; 10, _xlpm.waiter_sal, IF(_xlpm.prep_month &gt; 0, _xlpm.waiter_sal,0)))</f>
        <v>24552000</v>
      </c>
      <c r="Y15" s="96" t="n">
        <f aca="false">_xlfn.LET(
_xlpm.prep_month, INDEX('⚙️ Other Assumptions'!$B$18:$AK$18,MATCH(Y$10,'⚙️ Other Assumptions'!$B$14:$AK$14,0)), 
_xlpm.days_per_month, INDEX('💰 Revenue'!$C$8:$BJ$8,MATCH(Y11,'💰 Revenue'!$C$5:$BJ5,0)),
_xlpm.number_of_worker, Y13,
_xlpm.hourly_rate,$D$4,
_xlpm.6hrs_pershift, 6 ,
_xlpm.waiter_sal, _xlpm.days_per_month * _xlpm.number_of_worker * _xlpm.hourly_rate * _xlpm.6hrs_pershift, 
IF(Y$10&gt; 10, _xlpm.waiter_sal, IF(_xlpm.prep_month &gt; 0, _xlpm.waiter_sal,0)))</f>
        <v>23760000</v>
      </c>
      <c r="Z15" s="96" t="n">
        <f aca="false">_xlfn.LET(
_xlpm.prep_month, INDEX('⚙️ Other Assumptions'!$B$18:$AK$18,MATCH(Z$10,'⚙️ Other Assumptions'!$B$14:$AK$14,0)), 
_xlpm.days_per_month, INDEX('💰 Revenue'!$C$8:$BJ$8,MATCH(Z11,'💰 Revenue'!$C$5:$BJ5,0)),
_xlpm.number_of_worker, Z13,
_xlpm.hourly_rate,$D$4,
_xlpm.6hrs_pershift, 6 ,
_xlpm.waiter_sal, _xlpm.days_per_month * _xlpm.number_of_worker * _xlpm.hourly_rate * _xlpm.6hrs_pershift, 
IF(Z$10&gt; 10, _xlpm.waiter_sal, IF(_xlpm.prep_month &gt; 0, _xlpm.waiter_sal,0)))</f>
        <v>24552000</v>
      </c>
      <c r="AA15" s="96" t="n">
        <f aca="false">_xlfn.LET(
_xlpm.prep_month, INDEX('⚙️ Other Assumptions'!$B$18:$AK$18,MATCH(AA$10,'⚙️ Other Assumptions'!$B$14:$AK$14,0)), 
_xlpm.days_per_month, INDEX('💰 Revenue'!$C$8:$BJ$8,MATCH(AA11,'💰 Revenue'!$C$5:$BJ5,0)),
_xlpm.number_of_worker, AA13,
_xlpm.hourly_rate,$D$4,
_xlpm.6hrs_pershift, 6 ,
_xlpm.waiter_sal, _xlpm.days_per_month * _xlpm.number_of_worker * _xlpm.hourly_rate * _xlpm.6hrs_pershift, 
IF(AA$10&gt; 10, _xlpm.waiter_sal, IF(_xlpm.prep_month &gt; 0, _xlpm.waiter_sal,0)))</f>
        <v>23760000</v>
      </c>
      <c r="AB15" s="96" t="n">
        <f aca="false">_xlfn.LET(
_xlpm.prep_month, INDEX('⚙️ Other Assumptions'!$B$18:$AK$18,MATCH(AB$10,'⚙️ Other Assumptions'!$B$14:$AK$14,0)), 
_xlpm.days_per_month, INDEX('💰 Revenue'!$C$8:$BJ$8,MATCH(AB11,'💰 Revenue'!$C$5:$BJ5,0)),
_xlpm.number_of_worker, AB13,
_xlpm.hourly_rate,$D$4,
_xlpm.6hrs_pershift, 6 ,
_xlpm.waiter_sal, _xlpm.days_per_month * _xlpm.number_of_worker * _xlpm.hourly_rate * _xlpm.6hrs_pershift, 
IF(AB$10&gt; 10, _xlpm.waiter_sal, IF(_xlpm.prep_month &gt; 0, _xlpm.waiter_sal,0)))</f>
        <v>24552000</v>
      </c>
      <c r="AC15" s="96" t="n">
        <f aca="false">_xlfn.LET(
_xlpm.prep_month, INDEX('⚙️ Other Assumptions'!$B$18:$AK$18,MATCH(AC$10,'⚙️ Other Assumptions'!$B$14:$AK$14,0)), 
_xlpm.days_per_month, INDEX('💰 Revenue'!$C$8:$BJ$8,MATCH(AC11,'💰 Revenue'!$C$5:$BJ5,0)),
_xlpm.number_of_worker, AC13,
_xlpm.hourly_rate,$D$4,
_xlpm.6hrs_pershift, 6 ,
_xlpm.waiter_sal, _xlpm.days_per_month * _xlpm.number_of_worker * _xlpm.hourly_rate * _xlpm.6hrs_pershift, 
IF(AC$10&gt; 10, _xlpm.waiter_sal, IF(_xlpm.prep_month &gt; 0, _xlpm.waiter_sal,0)))</f>
        <v>24552000</v>
      </c>
      <c r="AD15" s="96" t="n">
        <f aca="false">_xlfn.LET(
_xlpm.prep_month, INDEX('⚙️ Other Assumptions'!$B$18:$AK$18,MATCH(AD$10,'⚙️ Other Assumptions'!$B$14:$AK$14,0)), 
_xlpm.days_per_month, INDEX('💰 Revenue'!$C$8:$BJ$8,MATCH(AD11,'💰 Revenue'!$C$5:$BJ5,0)),
_xlpm.number_of_worker, AD13,
_xlpm.hourly_rate,$D$4,
_xlpm.6hrs_pershift, 6 ,
_xlpm.waiter_sal, _xlpm.days_per_month * _xlpm.number_of_worker * _xlpm.hourly_rate * _xlpm.6hrs_pershift, 
IF(AD$10&gt; 10, _xlpm.waiter_sal, IF(_xlpm.prep_month &gt; 0, _xlpm.waiter_sal,0)))</f>
        <v>22176000</v>
      </c>
      <c r="AE15" s="96" t="n">
        <f aca="false">_xlfn.LET(
_xlpm.prep_month, INDEX('⚙️ Other Assumptions'!$B$18:$AK$18,MATCH(AE$10,'⚙️ Other Assumptions'!$B$14:$AK$14,0)), 
_xlpm.days_per_month, INDEX('💰 Revenue'!$C$8:$BJ$8,MATCH(AE11,'💰 Revenue'!$C$5:$BJ5,0)),
_xlpm.number_of_worker, AE13,
_xlpm.hourly_rate,$D$4,
_xlpm.6hrs_pershift, 6 ,
_xlpm.waiter_sal, _xlpm.days_per_month * _xlpm.number_of_worker * _xlpm.hourly_rate * _xlpm.6hrs_pershift, 
IF(AE$10&gt; 10, _xlpm.waiter_sal, IF(_xlpm.prep_month &gt; 0, _xlpm.waiter_sal,0)))</f>
        <v>24552000</v>
      </c>
      <c r="AF15" s="96" t="n">
        <f aca="false">_xlfn.LET(
_xlpm.prep_month, INDEX('⚙️ Other Assumptions'!$B$18:$AK$18,MATCH(AF$10,'⚙️ Other Assumptions'!$B$14:$AK$14,0)), 
_xlpm.days_per_month, INDEX('💰 Revenue'!$C$8:$BJ$8,MATCH(AF11,'💰 Revenue'!$C$5:$BJ5,0)),
_xlpm.number_of_worker, AF13,
_xlpm.hourly_rate,$D$4,
_xlpm.6hrs_pershift, 6 ,
_xlpm.waiter_sal, _xlpm.days_per_month * _xlpm.number_of_worker * _xlpm.hourly_rate * _xlpm.6hrs_pershift, 
IF(AF$10&gt; 10, _xlpm.waiter_sal, IF(_xlpm.prep_month &gt; 0, _xlpm.waiter_sal,0)))</f>
        <v>23760000</v>
      </c>
      <c r="AG15" s="96" t="n">
        <f aca="false">_xlfn.LET(
_xlpm.prep_month, INDEX('⚙️ Other Assumptions'!$B$18:$AK$18,MATCH(AG$10,'⚙️ Other Assumptions'!$B$14:$AK$14,0)), 
_xlpm.days_per_month, INDEX('💰 Revenue'!$C$8:$BJ$8,MATCH(AG11,'💰 Revenue'!$C$5:$BJ5,0)),
_xlpm.number_of_worker, AG13,
_xlpm.hourly_rate,$D$4,
_xlpm.6hrs_pershift, 6 ,
_xlpm.waiter_sal, _xlpm.days_per_month * _xlpm.number_of_worker * _xlpm.hourly_rate * _xlpm.6hrs_pershift, 
IF(AG$10&gt; 10, _xlpm.waiter_sal, IF(_xlpm.prep_month &gt; 0, _xlpm.waiter_sal,0)))</f>
        <v>24552000</v>
      </c>
      <c r="AH15" s="96" t="n">
        <f aca="false">_xlfn.LET(
_xlpm.prep_month, INDEX('⚙️ Other Assumptions'!$B$18:$AK$18,MATCH(AH$10,'⚙️ Other Assumptions'!$B$14:$AK$14,0)), 
_xlpm.days_per_month, INDEX('💰 Revenue'!$C$8:$BJ$8,MATCH(AH11,'💰 Revenue'!$C$5:$BJ5,0)),
_xlpm.number_of_worker, AH13,
_xlpm.hourly_rate,$D$4,
_xlpm.6hrs_pershift, 6 ,
_xlpm.waiter_sal, _xlpm.days_per_month * _xlpm.number_of_worker * _xlpm.hourly_rate * _xlpm.6hrs_pershift, 
IF(AH$10&gt; 10, _xlpm.waiter_sal, IF(_xlpm.prep_month &gt; 0, _xlpm.waiter_sal,0)))</f>
        <v>23760000</v>
      </c>
      <c r="AI15" s="96" t="n">
        <f aca="false">_xlfn.LET(
_xlpm.prep_month, INDEX('⚙️ Other Assumptions'!$B$18:$AK$18,MATCH(AI$10,'⚙️ Other Assumptions'!$B$14:$AK$14,0)), 
_xlpm.days_per_month, INDEX('💰 Revenue'!$C$8:$BJ$8,MATCH(AI11,'💰 Revenue'!$C$5:$BJ5,0)),
_xlpm.number_of_worker, AI13,
_xlpm.hourly_rate,$D$4,
_xlpm.6hrs_pershift, 6 ,
_xlpm.waiter_sal, _xlpm.days_per_month * _xlpm.number_of_worker * _xlpm.hourly_rate * _xlpm.6hrs_pershift, 
IF(AI$10&gt; 10, _xlpm.waiter_sal, IF(_xlpm.prep_month &gt; 0, _xlpm.waiter_sal,0)))</f>
        <v>24552000</v>
      </c>
      <c r="AJ15" s="96" t="n">
        <f aca="false">_xlfn.LET(
_xlpm.prep_month, INDEX('⚙️ Other Assumptions'!$B$18:$AK$18,MATCH(AJ$10,'⚙️ Other Assumptions'!$B$14:$AK$14,0)), 
_xlpm.days_per_month, INDEX('💰 Revenue'!$C$8:$BJ$8,MATCH(AJ11,'💰 Revenue'!$C$5:$BJ5,0)),
_xlpm.number_of_worker, AJ13,
_xlpm.hourly_rate,$D$4,
_xlpm.6hrs_pershift, 6 ,
_xlpm.waiter_sal, _xlpm.days_per_month * _xlpm.number_of_worker * _xlpm.hourly_rate * _xlpm.6hrs_pershift, 
IF(AJ$10&gt; 10, _xlpm.waiter_sal, IF(_xlpm.prep_month &gt; 0, _xlpm.waiter_sal,0)))</f>
        <v>24552000</v>
      </c>
      <c r="AK15" s="96" t="n">
        <f aca="false">_xlfn.LET(
_xlpm.prep_month, INDEX('⚙️ Other Assumptions'!$B$18:$AK$18,MATCH(AK$10,'⚙️ Other Assumptions'!$B$14:$AK$14,0)), 
_xlpm.days_per_month, INDEX('💰 Revenue'!$C$8:$BJ$8,MATCH(AK11,'💰 Revenue'!$C$5:$BJ5,0)),
_xlpm.number_of_worker, AK13,
_xlpm.hourly_rate,$D$4,
_xlpm.6hrs_pershift, 6 ,
_xlpm.waiter_sal, _xlpm.days_per_month * _xlpm.number_of_worker * _xlpm.hourly_rate * _xlpm.6hrs_pershift, 
IF(AK$10&gt; 10, _xlpm.waiter_sal, IF(_xlpm.prep_month &gt; 0, _xlpm.waiter_sal,0)))</f>
        <v>23760000</v>
      </c>
      <c r="AL15" s="96" t="n">
        <f aca="false">_xlfn.LET(
_xlpm.prep_month, INDEX('⚙️ Other Assumptions'!$B$18:$AK$18,MATCH(AL$10,'⚙️ Other Assumptions'!$B$14:$AK$14,0)), 
_xlpm.days_per_month, INDEX('💰 Revenue'!$C$8:$BJ$8,MATCH(AL11,'💰 Revenue'!$C$5:$BJ5,0)),
_xlpm.number_of_worker, AL13,
_xlpm.hourly_rate,$D$4,
_xlpm.6hrs_pershift, 6 ,
_xlpm.waiter_sal, _xlpm.days_per_month * _xlpm.number_of_worker * _xlpm.hourly_rate * _xlpm.6hrs_pershift, 
IF(AL$10&gt; 10, _xlpm.waiter_sal, IF(_xlpm.prep_month &gt; 0, _xlpm.waiter_sal,0)))</f>
        <v>24552000</v>
      </c>
      <c r="AM15" s="96" t="n">
        <f aca="false">_xlfn.LET(
_xlpm.prep_month, INDEX('⚙️ Other Assumptions'!$B$18:$AK$18,MATCH(AM$10,'⚙️ Other Assumptions'!$B$14:$AK$14,0)), 
_xlpm.days_per_month, INDEX('💰 Revenue'!$C$8:$BJ$8,MATCH(AM11,'💰 Revenue'!$C$5:$BJ5,0)),
_xlpm.number_of_worker, AM13,
_xlpm.hourly_rate,$D$4,
_xlpm.6hrs_pershift, 6 ,
_xlpm.waiter_sal, _xlpm.days_per_month * _xlpm.number_of_worker * _xlpm.hourly_rate * _xlpm.6hrs_pershift, 
IF(AM$10&gt; 10, _xlpm.waiter_sal, IF(_xlpm.prep_month &gt; 0, _xlpm.waiter_sal,0)))</f>
        <v>23760000</v>
      </c>
      <c r="AN15" s="96" t="n">
        <f aca="false">_xlfn.LET(
_xlpm.prep_month, INDEX('⚙️ Other Assumptions'!$B$18:$AK$18,MATCH(AN$10,'⚙️ Other Assumptions'!$B$14:$AK$14,0)), 
_xlpm.days_per_month, INDEX('💰 Revenue'!$C$8:$BJ$8,MATCH(AN11,'💰 Revenue'!$C$5:$BJ5,0)),
_xlpm.number_of_worker, AN13,
_xlpm.hourly_rate,$D$4,
_xlpm.6hrs_pershift, 6 ,
_xlpm.waiter_sal, _xlpm.days_per_month * _xlpm.number_of_worker * _xlpm.hourly_rate * _xlpm.6hrs_pershift, 
IF(AN$10&gt; 10, _xlpm.waiter_sal, IF(_xlpm.prep_month &gt; 0, _xlpm.waiter_sal,0)))</f>
        <v>24552000</v>
      </c>
      <c r="AO15" s="96" t="n">
        <f aca="false">_xlfn.LET(
_xlpm.prep_month, INDEX('⚙️ Other Assumptions'!$B$18:$AK$18,MATCH(AO$10,'⚙️ Other Assumptions'!$B$14:$AK$14,0)), 
_xlpm.days_per_month, INDEX('💰 Revenue'!$C$8:$BJ$8,MATCH(AO11,'💰 Revenue'!$C$5:$BJ5,0)),
_xlpm.number_of_worker, AO13,
_xlpm.hourly_rate,$D$4,
_xlpm.6hrs_pershift, 6 ,
_xlpm.waiter_sal, _xlpm.days_per_month * _xlpm.number_of_worker * _xlpm.hourly_rate * _xlpm.6hrs_pershift, 
IF(AO$10&gt; 10, _xlpm.waiter_sal, IF(_xlpm.prep_month &gt; 0, _xlpm.waiter_sal,0)))</f>
        <v>24552000</v>
      </c>
      <c r="AP15" s="96" t="n">
        <f aca="false">_xlfn.LET(
_xlpm.prep_month, INDEX('⚙️ Other Assumptions'!$B$18:$AK$18,MATCH(AP$10,'⚙️ Other Assumptions'!$B$14:$AK$14,0)), 
_xlpm.days_per_month, INDEX('💰 Revenue'!$C$8:$BJ$8,MATCH(AP11,'💰 Revenue'!$C$5:$BJ5,0)),
_xlpm.number_of_worker, AP13,
_xlpm.hourly_rate,$D$4,
_xlpm.6hrs_pershift, 6 ,
_xlpm.waiter_sal, _xlpm.days_per_month * _xlpm.number_of_worker * _xlpm.hourly_rate * _xlpm.6hrs_pershift, 
IF(AP$10&gt; 10, _xlpm.waiter_sal, IF(_xlpm.prep_month &gt; 0, _xlpm.waiter_sal,0)))</f>
        <v>22176000</v>
      </c>
      <c r="AQ15" s="96" t="n">
        <f aca="false">_xlfn.LET(
_xlpm.prep_month, INDEX('⚙️ Other Assumptions'!$B$18:$AK$18,MATCH(AQ$10,'⚙️ Other Assumptions'!$B$14:$AK$14,0)), 
_xlpm.days_per_month, INDEX('💰 Revenue'!$C$8:$BJ$8,MATCH(AQ11,'💰 Revenue'!$C$5:$BJ5,0)),
_xlpm.number_of_worker, AQ13,
_xlpm.hourly_rate,$D$4,
_xlpm.6hrs_pershift, 6 ,
_xlpm.waiter_sal, _xlpm.days_per_month * _xlpm.number_of_worker * _xlpm.hourly_rate * _xlpm.6hrs_pershift, 
IF(AQ$10&gt; 10, _xlpm.waiter_sal, IF(_xlpm.prep_month &gt; 0, _xlpm.waiter_sal,0)))</f>
        <v>24552000</v>
      </c>
      <c r="AR15" s="96" t="n">
        <f aca="false">_xlfn.LET(
_xlpm.prep_month, INDEX('⚙️ Other Assumptions'!$B$18:$AK$18,MATCH(AR$10,'⚙️ Other Assumptions'!$B$14:$AK$14,0)), 
_xlpm.days_per_month, INDEX('💰 Revenue'!$C$8:$BJ$8,MATCH(AR11,'💰 Revenue'!$C$5:$BJ5,0)),
_xlpm.number_of_worker, AR13,
_xlpm.hourly_rate,$D$4,
_xlpm.6hrs_pershift, 6 ,
_xlpm.waiter_sal, _xlpm.days_per_month * _xlpm.number_of_worker * _xlpm.hourly_rate * _xlpm.6hrs_pershift, 
IF(AR$10&gt; 10, _xlpm.waiter_sal, IF(_xlpm.prep_month &gt; 0, _xlpm.waiter_sal,0)))</f>
        <v>23760000</v>
      </c>
      <c r="AS15" s="96" t="n">
        <f aca="false">_xlfn.LET(
_xlpm.prep_month, INDEX('⚙️ Other Assumptions'!$B$18:$AK$18,MATCH(AS$10,'⚙️ Other Assumptions'!$B$14:$AK$14,0)), 
_xlpm.days_per_month, INDEX('💰 Revenue'!$C$8:$BJ$8,MATCH(AS11,'💰 Revenue'!$C$5:$BJ5,0)),
_xlpm.number_of_worker, AS13,
_xlpm.hourly_rate,$D$4,
_xlpm.6hrs_pershift, 6 ,
_xlpm.waiter_sal, _xlpm.days_per_month * _xlpm.number_of_worker * _xlpm.hourly_rate * _xlpm.6hrs_pershift, 
IF(AS$10&gt; 10, _xlpm.waiter_sal, IF(_xlpm.prep_month &gt; 0, _xlpm.waiter_sal,0)))</f>
        <v>24552000</v>
      </c>
      <c r="AT15" s="96" t="n">
        <f aca="false">_xlfn.LET(
_xlpm.prep_month, INDEX('⚙️ Other Assumptions'!$B$18:$AK$18,MATCH(AT$10,'⚙️ Other Assumptions'!$B$14:$AK$14,0)), 
_xlpm.days_per_month, INDEX('💰 Revenue'!$C$8:$BJ$8,MATCH(AT11,'💰 Revenue'!$C$5:$BJ5,0)),
_xlpm.number_of_worker, AT13,
_xlpm.hourly_rate,$D$4,
_xlpm.6hrs_pershift, 6 ,
_xlpm.waiter_sal, _xlpm.days_per_month * _xlpm.number_of_worker * _xlpm.hourly_rate * _xlpm.6hrs_pershift, 
IF(AT$10&gt; 10, _xlpm.waiter_sal, IF(_xlpm.prep_month &gt; 0, _xlpm.waiter_sal,0)))</f>
        <v>23760000</v>
      </c>
      <c r="AU15" s="96" t="n">
        <f aca="false">_xlfn.LET(
_xlpm.prep_month, INDEX('⚙️ Other Assumptions'!$B$18:$AK$18,MATCH(AU$10,'⚙️ Other Assumptions'!$B$14:$AK$14,0)), 
_xlpm.days_per_month, INDEX('💰 Revenue'!$C$8:$BJ$8,MATCH(AU11,'💰 Revenue'!$C$5:$BJ5,0)),
_xlpm.number_of_worker, AU13,
_xlpm.hourly_rate,$D$4,
_xlpm.6hrs_pershift, 6 ,
_xlpm.waiter_sal, _xlpm.days_per_month * _xlpm.number_of_worker * _xlpm.hourly_rate * _xlpm.6hrs_pershift, 
IF(AU$10&gt; 10, _xlpm.waiter_sal, IF(_xlpm.prep_month &gt; 0, _xlpm.waiter_sal,0)))</f>
        <v>24552000</v>
      </c>
      <c r="AV15" s="96" t="n">
        <f aca="false">_xlfn.LET(
_xlpm.prep_month, INDEX('⚙️ Other Assumptions'!$B$18:$AK$18,MATCH(AV$10,'⚙️ Other Assumptions'!$B$14:$AK$14,0)), 
_xlpm.days_per_month, INDEX('💰 Revenue'!$C$8:$BJ$8,MATCH(AV11,'💰 Revenue'!$C$5:$BJ5,0)),
_xlpm.number_of_worker, AV13,
_xlpm.hourly_rate,$D$4,
_xlpm.6hrs_pershift, 6 ,
_xlpm.waiter_sal, _xlpm.days_per_month * _xlpm.number_of_worker * _xlpm.hourly_rate * _xlpm.6hrs_pershift, 
IF(AV$10&gt; 10, _xlpm.waiter_sal, IF(_xlpm.prep_month &gt; 0, _xlpm.waiter_sal,0)))</f>
        <v>24552000</v>
      </c>
      <c r="AW15" s="96" t="n">
        <f aca="false">_xlfn.LET(
_xlpm.prep_month, INDEX('⚙️ Other Assumptions'!$B$18:$AK$18,MATCH(AW$10,'⚙️ Other Assumptions'!$B$14:$AK$14,0)), 
_xlpm.days_per_month, INDEX('💰 Revenue'!$C$8:$BJ$8,MATCH(AW11,'💰 Revenue'!$C$5:$BJ5,0)),
_xlpm.number_of_worker, AW13,
_xlpm.hourly_rate,$D$4,
_xlpm.6hrs_pershift, 6 ,
_xlpm.waiter_sal, _xlpm.days_per_month * _xlpm.number_of_worker * _xlpm.hourly_rate * _xlpm.6hrs_pershift, 
IF(AW$10&gt; 10, _xlpm.waiter_sal, IF(_xlpm.prep_month &gt; 0, _xlpm.waiter_sal,0)))</f>
        <v>23760000</v>
      </c>
      <c r="AX15" s="96" t="n">
        <f aca="false">_xlfn.LET(
_xlpm.prep_month, INDEX('⚙️ Other Assumptions'!$B$18:$AK$18,MATCH(AX$10,'⚙️ Other Assumptions'!$B$14:$AK$14,0)), 
_xlpm.days_per_month, INDEX('💰 Revenue'!$C$8:$BJ$8,MATCH(AX11,'💰 Revenue'!$C$5:$BJ5,0)),
_xlpm.number_of_worker, AX13,
_xlpm.hourly_rate,$D$4,
_xlpm.6hrs_pershift, 6 ,
_xlpm.waiter_sal, _xlpm.days_per_month * _xlpm.number_of_worker * _xlpm.hourly_rate * _xlpm.6hrs_pershift, 
IF(AX$10&gt; 10, _xlpm.waiter_sal, IF(_xlpm.prep_month &gt; 0, _xlpm.waiter_sal,0)))</f>
        <v>24552000</v>
      </c>
      <c r="AY15" s="96" t="n">
        <f aca="false">_xlfn.LET(
_xlpm.prep_month, INDEX('⚙️ Other Assumptions'!$B$18:$AK$18,MATCH(AY$10,'⚙️ Other Assumptions'!$B$14:$AK$14,0)), 
_xlpm.days_per_month, INDEX('💰 Revenue'!$C$8:$BJ$8,MATCH(AY11,'💰 Revenue'!$C$5:$BJ5,0)),
_xlpm.number_of_worker, AY13,
_xlpm.hourly_rate,$D$4,
_xlpm.6hrs_pershift, 6 ,
_xlpm.waiter_sal, _xlpm.days_per_month * _xlpm.number_of_worker * _xlpm.hourly_rate * _xlpm.6hrs_pershift, 
IF(AY$10&gt; 10, _xlpm.waiter_sal, IF(_xlpm.prep_month &gt; 0, _xlpm.waiter_sal,0)))</f>
        <v>23760000</v>
      </c>
      <c r="AZ15" s="96" t="n">
        <f aca="false">_xlfn.LET(
_xlpm.prep_month, INDEX('⚙️ Other Assumptions'!$B$18:$AK$18,MATCH(AZ$10,'⚙️ Other Assumptions'!$B$14:$AK$14,0)), 
_xlpm.days_per_month, INDEX('💰 Revenue'!$C$8:$BJ$8,MATCH(AZ11,'💰 Revenue'!$C$5:$BJ5,0)),
_xlpm.number_of_worker, AZ13,
_xlpm.hourly_rate,$D$4,
_xlpm.6hrs_pershift, 6 ,
_xlpm.waiter_sal, _xlpm.days_per_month * _xlpm.number_of_worker * _xlpm.hourly_rate * _xlpm.6hrs_pershift, 
IF(AZ$10&gt; 10, _xlpm.waiter_sal, IF(_xlpm.prep_month &gt; 0, _xlpm.waiter_sal,0)))</f>
        <v>24552000</v>
      </c>
      <c r="BA15" s="96" t="n">
        <f aca="false">_xlfn.LET(
_xlpm.prep_month, INDEX('⚙️ Other Assumptions'!$B$18:$AK$18,MATCH(BA$10,'⚙️ Other Assumptions'!$B$14:$AK$14,0)), 
_xlpm.days_per_month, INDEX('💰 Revenue'!$C$8:$BJ$8,MATCH(BA11,'💰 Revenue'!$C$5:$BJ5,0)),
_xlpm.number_of_worker, BA13,
_xlpm.hourly_rate,$D$4,
_xlpm.6hrs_pershift, 6 ,
_xlpm.waiter_sal, _xlpm.days_per_month * _xlpm.number_of_worker * _xlpm.hourly_rate * _xlpm.6hrs_pershift, 
IF(BA$10&gt; 10, _xlpm.waiter_sal, IF(_xlpm.prep_month &gt; 0, _xlpm.waiter_sal,0)))</f>
        <v>24552000</v>
      </c>
      <c r="BB15" s="96" t="n">
        <f aca="false">_xlfn.LET(
_xlpm.prep_month, INDEX('⚙️ Other Assumptions'!$B$18:$AK$18,MATCH(BB$10,'⚙️ Other Assumptions'!$B$14:$AK$14,0)), 
_xlpm.days_per_month, INDEX('💰 Revenue'!$C$8:$BJ$8,MATCH(BB11,'💰 Revenue'!$C$5:$BJ5,0)),
_xlpm.number_of_worker, BB13,
_xlpm.hourly_rate,$D$4,
_xlpm.6hrs_pershift, 6 ,
_xlpm.waiter_sal, _xlpm.days_per_month * _xlpm.number_of_worker * _xlpm.hourly_rate * _xlpm.6hrs_pershift, 
IF(BB$10&gt; 10, _xlpm.waiter_sal, IF(_xlpm.prep_month &gt; 0, _xlpm.waiter_sal,0)))</f>
        <v>22968000</v>
      </c>
      <c r="BC15" s="96" t="n">
        <f aca="false">_xlfn.LET(
_xlpm.prep_month, INDEX('⚙️ Other Assumptions'!$B$18:$AK$18,MATCH(BC$10,'⚙️ Other Assumptions'!$B$14:$AK$14,0)), 
_xlpm.days_per_month, INDEX('💰 Revenue'!$C$8:$BJ$8,MATCH(BC11,'💰 Revenue'!$C$5:$BJ5,0)),
_xlpm.number_of_worker, BC13,
_xlpm.hourly_rate,$D$4,
_xlpm.6hrs_pershift, 6 ,
_xlpm.waiter_sal, _xlpm.days_per_month * _xlpm.number_of_worker * _xlpm.hourly_rate * _xlpm.6hrs_pershift, 
IF(BC$10&gt; 10, _xlpm.waiter_sal, IF(_xlpm.prep_month &gt; 0, _xlpm.waiter_sal,0)))</f>
        <v>24552000</v>
      </c>
      <c r="BD15" s="96" t="n">
        <f aca="false">_xlfn.LET(
_xlpm.prep_month, INDEX('⚙️ Other Assumptions'!$B$18:$AK$18,MATCH(BD$10,'⚙️ Other Assumptions'!$B$14:$AK$14,0)), 
_xlpm.days_per_month, INDEX('💰 Revenue'!$C$8:$BJ$8,MATCH(BD11,'💰 Revenue'!$C$5:$BJ5,0)),
_xlpm.number_of_worker, BD13,
_xlpm.hourly_rate,$D$4,
_xlpm.6hrs_pershift, 6 ,
_xlpm.waiter_sal, _xlpm.days_per_month * _xlpm.number_of_worker * _xlpm.hourly_rate * _xlpm.6hrs_pershift, 
IF(BD$10&gt; 10, _xlpm.waiter_sal, IF(_xlpm.prep_month &gt; 0, _xlpm.waiter_sal,0)))</f>
        <v>23760000</v>
      </c>
      <c r="BE15" s="96" t="n">
        <f aca="false">_xlfn.LET(
_xlpm.prep_month, INDEX('⚙️ Other Assumptions'!$B$18:$AK$18,MATCH(BE$10,'⚙️ Other Assumptions'!$B$14:$AK$14,0)), 
_xlpm.days_per_month, INDEX('💰 Revenue'!$C$8:$BJ$8,MATCH(BE11,'💰 Revenue'!$C$5:$BJ5,0)),
_xlpm.number_of_worker, BE13,
_xlpm.hourly_rate,$D$4,
_xlpm.6hrs_pershift, 6 ,
_xlpm.waiter_sal, _xlpm.days_per_month * _xlpm.number_of_worker * _xlpm.hourly_rate * _xlpm.6hrs_pershift, 
IF(BE$10&gt; 10, _xlpm.waiter_sal, IF(_xlpm.prep_month &gt; 0, _xlpm.waiter_sal,0)))</f>
        <v>24552000</v>
      </c>
      <c r="BF15" s="96" t="n">
        <f aca="false">_xlfn.LET(
_xlpm.prep_month, INDEX('⚙️ Other Assumptions'!$B$18:$AK$18,MATCH(BF$10,'⚙️ Other Assumptions'!$B$14:$AK$14,0)), 
_xlpm.days_per_month, INDEX('💰 Revenue'!$C$8:$BJ$8,MATCH(BF11,'💰 Revenue'!$C$5:$BJ5,0)),
_xlpm.number_of_worker, BF13,
_xlpm.hourly_rate,$D$4,
_xlpm.6hrs_pershift, 6 ,
_xlpm.waiter_sal, _xlpm.days_per_month * _xlpm.number_of_worker * _xlpm.hourly_rate * _xlpm.6hrs_pershift, 
IF(BF$10&gt; 10, _xlpm.waiter_sal, IF(_xlpm.prep_month &gt; 0, _xlpm.waiter_sal,0)))</f>
        <v>23760000</v>
      </c>
      <c r="BG15" s="96" t="n">
        <f aca="false">_xlfn.LET(
_xlpm.prep_month, INDEX('⚙️ Other Assumptions'!$B$18:$AK$18,MATCH(BG$10,'⚙️ Other Assumptions'!$B$14:$AK$14,0)), 
_xlpm.days_per_month, INDEX('💰 Revenue'!$C$8:$BJ$8,MATCH(BG11,'💰 Revenue'!$C$5:$BJ5,0)),
_xlpm.number_of_worker, BG13,
_xlpm.hourly_rate,$D$4,
_xlpm.6hrs_pershift, 6 ,
_xlpm.waiter_sal, _xlpm.days_per_month * _xlpm.number_of_worker * _xlpm.hourly_rate * _xlpm.6hrs_pershift, 
IF(BG$10&gt; 10, _xlpm.waiter_sal, IF(_xlpm.prep_month &gt; 0, _xlpm.waiter_sal,0)))</f>
        <v>24552000</v>
      </c>
      <c r="BH15" s="96" t="n">
        <f aca="false">_xlfn.LET(
_xlpm.prep_month, INDEX('⚙️ Other Assumptions'!$B$18:$AK$18,MATCH(BH$10,'⚙️ Other Assumptions'!$B$14:$AK$14,0)), 
_xlpm.days_per_month, INDEX('💰 Revenue'!$C$8:$BJ$8,MATCH(BH11,'💰 Revenue'!$C$5:$BJ5,0)),
_xlpm.number_of_worker, BH13,
_xlpm.hourly_rate,$D$4,
_xlpm.6hrs_pershift, 6 ,
_xlpm.waiter_sal, _xlpm.days_per_month * _xlpm.number_of_worker * _xlpm.hourly_rate * _xlpm.6hrs_pershift, 
IF(BH$10&gt; 10, _xlpm.waiter_sal, IF(_xlpm.prep_month &gt; 0, _xlpm.waiter_sal,0)))</f>
        <v>24552000</v>
      </c>
      <c r="BI15" s="96" t="n">
        <f aca="false">_xlfn.LET(
_xlpm.prep_month, INDEX('⚙️ Other Assumptions'!$B$18:$AK$18,MATCH(BI$10,'⚙️ Other Assumptions'!$B$14:$AK$14,0)), 
_xlpm.days_per_month, INDEX('💰 Revenue'!$C$8:$BJ$8,MATCH(BI11,'💰 Revenue'!$C$5:$BJ5,0)),
_xlpm.number_of_worker, BI13,
_xlpm.hourly_rate,$D$4,
_xlpm.6hrs_pershift, 6 ,
_xlpm.waiter_sal, _xlpm.days_per_month * _xlpm.number_of_worker * _xlpm.hourly_rate * _xlpm.6hrs_pershift, 
IF(BI$10&gt; 10, _xlpm.waiter_sal, IF(_xlpm.prep_month &gt; 0, _xlpm.waiter_sal,0)))</f>
        <v>23760000</v>
      </c>
    </row>
    <row r="16" customFormat="false" ht="13.8" hidden="false" customHeight="false" outlineLevel="0" collapsed="false">
      <c r="A16" s="95" t="s">
        <v>302</v>
      </c>
      <c r="B16" s="96" t="n">
        <f aca="false">_xlfn.LET( 
_xlpm.prep_month, INDEX('⚙️ Other Assumptions'!$B$18:$AK$18,MATCH(B$10,'⚙️ Other Assumptions'!$B$14:$AK$14,0)), 
_xlpm.security_sal, $C$5*$B$5,
 IF(B$10 &gt; 10, _xlpm.security_sal, IF(_xlpm.prep_month &gt; 0, _xlpm.security_sal,0)))</f>
        <v>0</v>
      </c>
      <c r="C16" s="96" t="n">
        <f aca="false">_xlfn.LET( 
_xlpm.prep_month, INDEX('⚙️ Other Assumptions'!$B$18:$AK$18,MATCH(C$10,'⚙️ Other Assumptions'!$B$14:$AK$14,0)), 
_xlpm.security_sal, $C$5*$B$5,
 IF(C$10 &gt; 10, _xlpm.security_sal, IF(_xlpm.prep_month &gt; 0, _xlpm.security_sal,0)))</f>
        <v>0</v>
      </c>
      <c r="D16" s="96" t="n">
        <f aca="false">_xlfn.LET( 
_xlpm.prep_month, INDEX('⚙️ Other Assumptions'!$B$18:$AK$18,MATCH(D$10,'⚙️ Other Assumptions'!$B$14:$AK$14,0)), 
_xlpm.security_sal, $C$5*$B$5,
 IF(D$10 &gt; 10, _xlpm.security_sal, IF(_xlpm.prep_month &gt; 0, _xlpm.security_sal,0)))</f>
        <v>0</v>
      </c>
      <c r="E16" s="96" t="n">
        <f aca="false">_xlfn.LET( 
_xlpm.prep_month, INDEX('⚙️ Other Assumptions'!$B$18:$AK$18,MATCH(E$10,'⚙️ Other Assumptions'!$B$14:$AK$14,0)), 
_xlpm.security_sal, $C$5*$B$5,
 IF(E$10 &gt; 10, _xlpm.security_sal, IF(_xlpm.prep_month &gt; 0, _xlpm.security_sal,0)))</f>
        <v>0</v>
      </c>
      <c r="F16" s="96" t="n">
        <f aca="false">_xlfn.LET( 
_xlpm.prep_month, INDEX('⚙️ Other Assumptions'!$B$18:$AK$18,MATCH(F$10,'⚙️ Other Assumptions'!$B$14:$AK$14,0)), 
_xlpm.security_sal, $C$5*$B$5,
 IF(F$10 &gt; 10, _xlpm.security_sal, IF(_xlpm.prep_month &gt; 0, _xlpm.security_sal,0)))</f>
        <v>0</v>
      </c>
      <c r="G16" s="96" t="n">
        <f aca="false">_xlfn.LET( 
_xlpm.prep_month, INDEX('⚙️ Other Assumptions'!$B$18:$AK$18,MATCH(G$10,'⚙️ Other Assumptions'!$B$14:$AK$14,0)), 
_xlpm.security_sal, $C$5*$B$5,
 IF(G$10 &gt; 10, _xlpm.security_sal, IF(_xlpm.prep_month &gt; 0, _xlpm.security_sal,0)))</f>
        <v>0</v>
      </c>
      <c r="H16" s="96" t="n">
        <f aca="false">_xlfn.LET( 
_xlpm.prep_month, INDEX('⚙️ Other Assumptions'!$B$18:$AK$18,MATCH(H$10,'⚙️ Other Assumptions'!$B$14:$AK$14,0)), 
_xlpm.security_sal, $C$5*$B$5,
 IF(H$10 &gt; 10, _xlpm.security_sal, IF(_xlpm.prep_month &gt; 0, _xlpm.security_sal,0)))</f>
        <v>0</v>
      </c>
      <c r="I16" s="96" t="n">
        <f aca="false">_xlfn.LET( 
_xlpm.prep_month, INDEX('⚙️ Other Assumptions'!$B$18:$AK$18,MATCH(I$10,'⚙️ Other Assumptions'!$B$14:$AK$14,0)), 
_xlpm.security_sal, $C$5*$B$5,
 IF(I$10 &gt; 10, _xlpm.security_sal, IF(_xlpm.prep_month &gt; 0, _xlpm.security_sal,0)))</f>
        <v>0</v>
      </c>
      <c r="J16" s="96" t="n">
        <f aca="false">_xlfn.LET( 
_xlpm.prep_month, INDEX('⚙️ Other Assumptions'!$B$18:$AK$18,MATCH(J$10,'⚙️ Other Assumptions'!$B$14:$AK$14,0)), 
_xlpm.security_sal, $C$5*$B$5,
 IF(J$10 &gt; 10, _xlpm.security_sal, IF(_xlpm.prep_month &gt; 0, _xlpm.security_sal,0)))</f>
        <v>0</v>
      </c>
      <c r="K16" s="96" t="n">
        <f aca="false">_xlfn.LET( 
_xlpm.prep_month, INDEX('⚙️ Other Assumptions'!$B$18:$AK$18,MATCH(K$10,'⚙️ Other Assumptions'!$B$14:$AK$14,0)), 
_xlpm.security_sal, $C$5*$B$5,
 IF(K$10 &gt; 10, _xlpm.security_sal, IF(_xlpm.prep_month &gt; 0, _xlpm.security_sal,0)))</f>
        <v>0</v>
      </c>
      <c r="L16" s="96" t="n">
        <f aca="false">_xlfn.LET( 
_xlpm.prep_month, INDEX('⚙️ Other Assumptions'!$B$18:$AK$18,MATCH(L$10,'⚙️ Other Assumptions'!$B$14:$AK$14,0)), 
_xlpm.security_sal, $C$5*$B$5,
 IF(L$10 &gt; 10, _xlpm.security_sal, IF(_xlpm.prep_month &gt; 0, _xlpm.security_sal,0)))</f>
        <v>0</v>
      </c>
      <c r="M16" s="96" t="n">
        <f aca="false">_xlfn.LET( 
_xlpm.prep_month, INDEX('⚙️ Other Assumptions'!$B$18:$AK$18,MATCH(M$10,'⚙️ Other Assumptions'!$B$14:$AK$14,0)), 
_xlpm.security_sal, $C$5*$B$5,
 IF(M$10 &gt; 10, _xlpm.security_sal, IF(_xlpm.prep_month &gt; 0, _xlpm.security_sal,0)))</f>
        <v>0</v>
      </c>
      <c r="N16" s="96" t="n">
        <f aca="false">_xlfn.LET( 
_xlpm.prep_month, INDEX('⚙️ Other Assumptions'!$B$18:$AK$18,MATCH(N$10,'⚙️ Other Assumptions'!$B$14:$AK$14,0)), 
_xlpm.security_sal, $C$5*$B$5,
 IF(N$10 &gt; 10, _xlpm.security_sal, IF(_xlpm.prep_month &gt; 0, _xlpm.security_sal,0)))</f>
        <v>0</v>
      </c>
      <c r="O16" s="96" t="n">
        <f aca="false">_xlfn.LET( 
_xlpm.prep_month, INDEX('⚙️ Other Assumptions'!$B$18:$AK$18,MATCH(O$10,'⚙️ Other Assumptions'!$B$14:$AK$14,0)), 
_xlpm.security_sal, $C$5*$B$5,
 IF(O$10 &gt; 10, _xlpm.security_sal, IF(_xlpm.prep_month &gt; 0, _xlpm.security_sal,0)))</f>
        <v>0</v>
      </c>
      <c r="P16" s="96" t="n">
        <f aca="false">_xlfn.LET( 
_xlpm.prep_month, INDEX('⚙️ Other Assumptions'!$B$18:$AK$18,MATCH(P$10,'⚙️ Other Assumptions'!$B$14:$AK$14,0)), 
_xlpm.security_sal, $C$5*$B$5,
 IF(P$10 &gt; 10, _xlpm.security_sal, IF(_xlpm.prep_month &gt; 0, _xlpm.security_sal,0)))</f>
        <v>0</v>
      </c>
      <c r="Q16" s="96" t="n">
        <f aca="false">_xlfn.LET( 
_xlpm.prep_month, INDEX('⚙️ Other Assumptions'!$B$18:$AK$18,MATCH(Q$10,'⚙️ Other Assumptions'!$B$14:$AK$14,0)), 
_xlpm.security_sal, $C$5*$B$5,
 IF(Q$10 &gt; 10, _xlpm.security_sal, IF(_xlpm.prep_month &gt; 0, _xlpm.security_sal,0)))</f>
        <v>0</v>
      </c>
      <c r="R16" s="96" t="n">
        <f aca="false">_xlfn.LET( 
_xlpm.prep_month, INDEX('⚙️ Other Assumptions'!$B$18:$AK$18,MATCH(R$10,'⚙️ Other Assumptions'!$B$14:$AK$14,0)), 
_xlpm.security_sal, $C$5*$B$5,
 IF(R$10 &gt; 10, _xlpm.security_sal, IF(_xlpm.prep_month &gt; 0, _xlpm.security_sal,0)))</f>
        <v>0</v>
      </c>
      <c r="S16" s="96" t="n">
        <f aca="false">_xlfn.LET( 
_xlpm.prep_month, INDEX('⚙️ Other Assumptions'!$B$18:$AK$18,MATCH(S$10,'⚙️ Other Assumptions'!$B$14:$AK$14,0)), 
_xlpm.security_sal, $C$5*$B$5,
 IF(S$10 &gt; 10, _xlpm.security_sal, IF(_xlpm.prep_month &gt; 0, _xlpm.security_sal,0)))</f>
        <v>0</v>
      </c>
      <c r="T16" s="96" t="n">
        <f aca="false">_xlfn.LET( 
_xlpm.prep_month, INDEX('⚙️ Other Assumptions'!$B$18:$AK$18,MATCH(T$10,'⚙️ Other Assumptions'!$B$14:$AK$14,0)), 
_xlpm.security_sal, $C$5*$B$5,
 IF(T$10 &gt; 10, _xlpm.security_sal, IF(_xlpm.prep_month &gt; 0, _xlpm.security_sal,0)))</f>
        <v>0</v>
      </c>
      <c r="U16" s="96" t="n">
        <f aca="false">_xlfn.LET( 
_xlpm.prep_month, INDEX('⚙️ Other Assumptions'!$B$18:$AK$18,MATCH(U$10,'⚙️ Other Assumptions'!$B$14:$AK$14,0)), 
_xlpm.security_sal, $C$5*$B$5,
 IF(U$10 &gt; 10, _xlpm.security_sal, IF(_xlpm.prep_month &gt; 0, _xlpm.security_sal,0)))</f>
        <v>0</v>
      </c>
      <c r="V16" s="96" t="n">
        <f aca="false">_xlfn.LET( 
_xlpm.prep_month, INDEX('⚙️ Other Assumptions'!$B$18:$AK$18,MATCH(V$10,'⚙️ Other Assumptions'!$B$14:$AK$14,0)), 
_xlpm.security_sal, $C$5*$B$5,
 IF(V$10 &gt; 10, _xlpm.security_sal, IF(_xlpm.prep_month &gt; 0, _xlpm.security_sal,0)))</f>
        <v>0</v>
      </c>
      <c r="W16" s="96" t="n">
        <f aca="false">_xlfn.LET( 
_xlpm.prep_month, INDEX('⚙️ Other Assumptions'!$B$18:$AK$18,MATCH(W$10,'⚙️ Other Assumptions'!$B$14:$AK$14,0)), 
_xlpm.security_sal, $C$5*$B$5,
 IF(W$10 &gt; 10, _xlpm.security_sal, IF(_xlpm.prep_month &gt; 0, _xlpm.security_sal,0)))</f>
        <v>0</v>
      </c>
      <c r="X16" s="96" t="n">
        <f aca="false">_xlfn.LET( 
_xlpm.prep_month, INDEX('⚙️ Other Assumptions'!$B$18:$AK$18,MATCH(X$10,'⚙️ Other Assumptions'!$B$14:$AK$14,0)), 
_xlpm.security_sal, $C$5*$B$5,
 IF(X$10 &gt; 10, _xlpm.security_sal, IF(_xlpm.prep_month &gt; 0, _xlpm.security_sal,0)))</f>
        <v>0</v>
      </c>
      <c r="Y16" s="96" t="n">
        <f aca="false">_xlfn.LET( 
_xlpm.prep_month, INDEX('⚙️ Other Assumptions'!$B$18:$AK$18,MATCH(Y$10,'⚙️ Other Assumptions'!$B$14:$AK$14,0)), 
_xlpm.security_sal, $C$5*$B$5,
 IF(Y$10 &gt; 10, _xlpm.security_sal, IF(_xlpm.prep_month &gt; 0, _xlpm.security_sal,0)))</f>
        <v>0</v>
      </c>
      <c r="Z16" s="96" t="n">
        <f aca="false">_xlfn.LET( 
_xlpm.prep_month, INDEX('⚙️ Other Assumptions'!$B$18:$AK$18,MATCH(Z$10,'⚙️ Other Assumptions'!$B$14:$AK$14,0)), 
_xlpm.security_sal, $C$5*$B$5,
 IF(Z$10 &gt; 10, _xlpm.security_sal, IF(_xlpm.prep_month &gt; 0, _xlpm.security_sal,0)))</f>
        <v>0</v>
      </c>
      <c r="AA16" s="96" t="n">
        <f aca="false">_xlfn.LET( 
_xlpm.prep_month, INDEX('⚙️ Other Assumptions'!$B$18:$AK$18,MATCH(AA$10,'⚙️ Other Assumptions'!$B$14:$AK$14,0)), 
_xlpm.security_sal, $C$5*$B$5,
 IF(AA$10 &gt; 10, _xlpm.security_sal, IF(_xlpm.prep_month &gt; 0, _xlpm.security_sal,0)))</f>
        <v>0</v>
      </c>
      <c r="AB16" s="96" t="n">
        <f aca="false">_xlfn.LET( 
_xlpm.prep_month, INDEX('⚙️ Other Assumptions'!$B$18:$AK$18,MATCH(AB$10,'⚙️ Other Assumptions'!$B$14:$AK$14,0)), 
_xlpm.security_sal, $C$5*$B$5,
 IF(AB$10 &gt; 10, _xlpm.security_sal, IF(_xlpm.prep_month &gt; 0, _xlpm.security_sal,0)))</f>
        <v>0</v>
      </c>
      <c r="AC16" s="96" t="n">
        <f aca="false">_xlfn.LET( 
_xlpm.prep_month, INDEX('⚙️ Other Assumptions'!$B$18:$AK$18,MATCH(AC$10,'⚙️ Other Assumptions'!$B$14:$AK$14,0)), 
_xlpm.security_sal, $C$5*$B$5,
 IF(AC$10 &gt; 10, _xlpm.security_sal, IF(_xlpm.prep_month &gt; 0, _xlpm.security_sal,0)))</f>
        <v>0</v>
      </c>
      <c r="AD16" s="96" t="n">
        <f aca="false">_xlfn.LET( 
_xlpm.prep_month, INDEX('⚙️ Other Assumptions'!$B$18:$AK$18,MATCH(AD$10,'⚙️ Other Assumptions'!$B$14:$AK$14,0)), 
_xlpm.security_sal, $C$5*$B$5,
 IF(AD$10 &gt; 10, _xlpm.security_sal, IF(_xlpm.prep_month &gt; 0, _xlpm.security_sal,0)))</f>
        <v>0</v>
      </c>
      <c r="AE16" s="96" t="n">
        <f aca="false">_xlfn.LET( 
_xlpm.prep_month, INDEX('⚙️ Other Assumptions'!$B$18:$AK$18,MATCH(AE$10,'⚙️ Other Assumptions'!$B$14:$AK$14,0)), 
_xlpm.security_sal, $C$5*$B$5,
 IF(AE$10 &gt; 10, _xlpm.security_sal, IF(_xlpm.prep_month &gt; 0, _xlpm.security_sal,0)))</f>
        <v>0</v>
      </c>
      <c r="AF16" s="96" t="n">
        <f aca="false">_xlfn.LET( 
_xlpm.prep_month, INDEX('⚙️ Other Assumptions'!$B$18:$AK$18,MATCH(AF$10,'⚙️ Other Assumptions'!$B$14:$AK$14,0)), 
_xlpm.security_sal, $C$5*$B$5,
 IF(AF$10 &gt; 10, _xlpm.security_sal, IF(_xlpm.prep_month &gt; 0, _xlpm.security_sal,0)))</f>
        <v>0</v>
      </c>
      <c r="AG16" s="96" t="n">
        <f aca="false">_xlfn.LET( 
_xlpm.prep_month, INDEX('⚙️ Other Assumptions'!$B$18:$AK$18,MATCH(AG$10,'⚙️ Other Assumptions'!$B$14:$AK$14,0)), 
_xlpm.security_sal, $C$5*$B$5,
 IF(AG$10 &gt; 10, _xlpm.security_sal, IF(_xlpm.prep_month &gt; 0, _xlpm.security_sal,0)))</f>
        <v>0</v>
      </c>
      <c r="AH16" s="96" t="n">
        <f aca="false">_xlfn.LET( 
_xlpm.prep_month, INDEX('⚙️ Other Assumptions'!$B$18:$AK$18,MATCH(AH$10,'⚙️ Other Assumptions'!$B$14:$AK$14,0)), 
_xlpm.security_sal, $C$5*$B$5,
 IF(AH$10 &gt; 10, _xlpm.security_sal, IF(_xlpm.prep_month &gt; 0, _xlpm.security_sal,0)))</f>
        <v>0</v>
      </c>
      <c r="AI16" s="96" t="n">
        <f aca="false">_xlfn.LET( 
_xlpm.prep_month, INDEX('⚙️ Other Assumptions'!$B$18:$AK$18,MATCH(AI$10,'⚙️ Other Assumptions'!$B$14:$AK$14,0)), 
_xlpm.security_sal, $C$5*$B$5,
 IF(AI$10 &gt; 10, _xlpm.security_sal, IF(_xlpm.prep_month &gt; 0, _xlpm.security_sal,0)))</f>
        <v>0</v>
      </c>
      <c r="AJ16" s="96" t="n">
        <f aca="false">_xlfn.LET( 
_xlpm.prep_month, INDEX('⚙️ Other Assumptions'!$B$18:$AK$18,MATCH(AJ$10,'⚙️ Other Assumptions'!$B$14:$AK$14,0)), 
_xlpm.security_sal, $C$5*$B$5,
 IF(AJ$10 &gt; 10, _xlpm.security_sal, IF(_xlpm.prep_month &gt; 0, _xlpm.security_sal,0)))</f>
        <v>0</v>
      </c>
      <c r="AK16" s="96" t="n">
        <f aca="false">_xlfn.LET( 
_xlpm.prep_month, INDEX('⚙️ Other Assumptions'!$B$18:$AK$18,MATCH(AK$10,'⚙️ Other Assumptions'!$B$14:$AK$14,0)), 
_xlpm.security_sal, $C$5*$B$5,
 IF(AK$10 &gt; 10, _xlpm.security_sal, IF(_xlpm.prep_month &gt; 0, _xlpm.security_sal,0)))</f>
        <v>0</v>
      </c>
      <c r="AL16" s="96" t="n">
        <f aca="false">_xlfn.LET( 
_xlpm.prep_month, INDEX('⚙️ Other Assumptions'!$B$18:$AK$18,MATCH(AL$10,'⚙️ Other Assumptions'!$B$14:$AK$14,0)), 
_xlpm.security_sal, $C$5*$B$5,
 IF(AL$10 &gt; 10, _xlpm.security_sal, IF(_xlpm.prep_month &gt; 0, _xlpm.security_sal,0)))</f>
        <v>0</v>
      </c>
      <c r="AM16" s="96" t="n">
        <f aca="false">_xlfn.LET( 
_xlpm.prep_month, INDEX('⚙️ Other Assumptions'!$B$18:$AK$18,MATCH(AM$10,'⚙️ Other Assumptions'!$B$14:$AK$14,0)), 
_xlpm.security_sal, $C$5*$B$5,
 IF(AM$10 &gt; 10, _xlpm.security_sal, IF(_xlpm.prep_month &gt; 0, _xlpm.security_sal,0)))</f>
        <v>0</v>
      </c>
      <c r="AN16" s="96" t="n">
        <f aca="false">_xlfn.LET( 
_xlpm.prep_month, INDEX('⚙️ Other Assumptions'!$B$18:$AK$18,MATCH(AN$10,'⚙️ Other Assumptions'!$B$14:$AK$14,0)), 
_xlpm.security_sal, $C$5*$B$5,
 IF(AN$10 &gt; 10, _xlpm.security_sal, IF(_xlpm.prep_month &gt; 0, _xlpm.security_sal,0)))</f>
        <v>0</v>
      </c>
      <c r="AO16" s="96" t="n">
        <f aca="false">_xlfn.LET( 
_xlpm.prep_month, INDEX('⚙️ Other Assumptions'!$B$18:$AK$18,MATCH(AO$10,'⚙️ Other Assumptions'!$B$14:$AK$14,0)), 
_xlpm.security_sal, $C$5*$B$5,
 IF(AO$10 &gt; 10, _xlpm.security_sal, IF(_xlpm.prep_month &gt; 0, _xlpm.security_sal,0)))</f>
        <v>0</v>
      </c>
      <c r="AP16" s="96" t="n">
        <f aca="false">_xlfn.LET( 
_xlpm.prep_month, INDEX('⚙️ Other Assumptions'!$B$18:$AK$18,MATCH(AP$10,'⚙️ Other Assumptions'!$B$14:$AK$14,0)), 
_xlpm.security_sal, $C$5*$B$5,
 IF(AP$10 &gt; 10, _xlpm.security_sal, IF(_xlpm.prep_month &gt; 0, _xlpm.security_sal,0)))</f>
        <v>0</v>
      </c>
      <c r="AQ16" s="96" t="n">
        <f aca="false">_xlfn.LET( 
_xlpm.prep_month, INDEX('⚙️ Other Assumptions'!$B$18:$AK$18,MATCH(AQ$10,'⚙️ Other Assumptions'!$B$14:$AK$14,0)), 
_xlpm.security_sal, $C$5*$B$5,
 IF(AQ$10 &gt; 10, _xlpm.security_sal, IF(_xlpm.prep_month &gt; 0, _xlpm.security_sal,0)))</f>
        <v>0</v>
      </c>
      <c r="AR16" s="96" t="n">
        <f aca="false">_xlfn.LET( 
_xlpm.prep_month, INDEX('⚙️ Other Assumptions'!$B$18:$AK$18,MATCH(AR$10,'⚙️ Other Assumptions'!$B$14:$AK$14,0)), 
_xlpm.security_sal, $C$5*$B$5,
 IF(AR$10 &gt; 10, _xlpm.security_sal, IF(_xlpm.prep_month &gt; 0, _xlpm.security_sal,0)))</f>
        <v>0</v>
      </c>
      <c r="AS16" s="96" t="n">
        <f aca="false">_xlfn.LET( 
_xlpm.prep_month, INDEX('⚙️ Other Assumptions'!$B$18:$AK$18,MATCH(AS$10,'⚙️ Other Assumptions'!$B$14:$AK$14,0)), 
_xlpm.security_sal, $C$5*$B$5,
 IF(AS$10 &gt; 10, _xlpm.security_sal, IF(_xlpm.prep_month &gt; 0, _xlpm.security_sal,0)))</f>
        <v>0</v>
      </c>
      <c r="AT16" s="96" t="n">
        <f aca="false">_xlfn.LET( 
_xlpm.prep_month, INDEX('⚙️ Other Assumptions'!$B$18:$AK$18,MATCH(AT$10,'⚙️ Other Assumptions'!$B$14:$AK$14,0)), 
_xlpm.security_sal, $C$5*$B$5,
 IF(AT$10 &gt; 10, _xlpm.security_sal, IF(_xlpm.prep_month &gt; 0, _xlpm.security_sal,0)))</f>
        <v>0</v>
      </c>
      <c r="AU16" s="96" t="n">
        <f aca="false">_xlfn.LET( 
_xlpm.prep_month, INDEX('⚙️ Other Assumptions'!$B$18:$AK$18,MATCH(AU$10,'⚙️ Other Assumptions'!$B$14:$AK$14,0)), 
_xlpm.security_sal, $C$5*$B$5,
 IF(AU$10 &gt; 10, _xlpm.security_sal, IF(_xlpm.prep_month &gt; 0, _xlpm.security_sal,0)))</f>
        <v>0</v>
      </c>
      <c r="AV16" s="96" t="n">
        <f aca="false">_xlfn.LET( 
_xlpm.prep_month, INDEX('⚙️ Other Assumptions'!$B$18:$AK$18,MATCH(AV$10,'⚙️ Other Assumptions'!$B$14:$AK$14,0)), 
_xlpm.security_sal, $C$5*$B$5,
 IF(AV$10 &gt; 10, _xlpm.security_sal, IF(_xlpm.prep_month &gt; 0, _xlpm.security_sal,0)))</f>
        <v>0</v>
      </c>
      <c r="AW16" s="96" t="n">
        <f aca="false">_xlfn.LET( 
_xlpm.prep_month, INDEX('⚙️ Other Assumptions'!$B$18:$AK$18,MATCH(AW$10,'⚙️ Other Assumptions'!$B$14:$AK$14,0)), 
_xlpm.security_sal, $C$5*$B$5,
 IF(AW$10 &gt; 10, _xlpm.security_sal, IF(_xlpm.prep_month &gt; 0, _xlpm.security_sal,0)))</f>
        <v>0</v>
      </c>
      <c r="AX16" s="96" t="n">
        <f aca="false">_xlfn.LET( 
_xlpm.prep_month, INDEX('⚙️ Other Assumptions'!$B$18:$AK$18,MATCH(AX$10,'⚙️ Other Assumptions'!$B$14:$AK$14,0)), 
_xlpm.security_sal, $C$5*$B$5,
 IF(AX$10 &gt; 10, _xlpm.security_sal, IF(_xlpm.prep_month &gt; 0, _xlpm.security_sal,0)))</f>
        <v>0</v>
      </c>
      <c r="AY16" s="96" t="n">
        <f aca="false">_xlfn.LET( 
_xlpm.prep_month, INDEX('⚙️ Other Assumptions'!$B$18:$AK$18,MATCH(AY$10,'⚙️ Other Assumptions'!$B$14:$AK$14,0)), 
_xlpm.security_sal, $C$5*$B$5,
 IF(AY$10 &gt; 10, _xlpm.security_sal, IF(_xlpm.prep_month &gt; 0, _xlpm.security_sal,0)))</f>
        <v>0</v>
      </c>
      <c r="AZ16" s="96" t="n">
        <f aca="false">_xlfn.LET( 
_xlpm.prep_month, INDEX('⚙️ Other Assumptions'!$B$18:$AK$18,MATCH(AZ$10,'⚙️ Other Assumptions'!$B$14:$AK$14,0)), 
_xlpm.security_sal, $C$5*$B$5,
 IF(AZ$10 &gt; 10, _xlpm.security_sal, IF(_xlpm.prep_month &gt; 0, _xlpm.security_sal,0)))</f>
        <v>0</v>
      </c>
      <c r="BA16" s="96" t="n">
        <f aca="false">_xlfn.LET( 
_xlpm.prep_month, INDEX('⚙️ Other Assumptions'!$B$18:$AK$18,MATCH(BA$10,'⚙️ Other Assumptions'!$B$14:$AK$14,0)), 
_xlpm.security_sal, $C$5*$B$5,
 IF(BA$10 &gt; 10, _xlpm.security_sal, IF(_xlpm.prep_month &gt; 0, _xlpm.security_sal,0)))</f>
        <v>0</v>
      </c>
      <c r="BB16" s="96" t="n">
        <f aca="false">_xlfn.LET( 
_xlpm.prep_month, INDEX('⚙️ Other Assumptions'!$B$18:$AK$18,MATCH(BB$10,'⚙️ Other Assumptions'!$B$14:$AK$14,0)), 
_xlpm.security_sal, $C$5*$B$5,
 IF(BB$10 &gt; 10, _xlpm.security_sal, IF(_xlpm.prep_month &gt; 0, _xlpm.security_sal,0)))</f>
        <v>0</v>
      </c>
      <c r="BC16" s="96" t="n">
        <f aca="false">_xlfn.LET( 
_xlpm.prep_month, INDEX('⚙️ Other Assumptions'!$B$18:$AK$18,MATCH(BC$10,'⚙️ Other Assumptions'!$B$14:$AK$14,0)), 
_xlpm.security_sal, $C$5*$B$5,
 IF(BC$10 &gt; 10, _xlpm.security_sal, IF(_xlpm.prep_month &gt; 0, _xlpm.security_sal,0)))</f>
        <v>0</v>
      </c>
      <c r="BD16" s="96" t="n">
        <f aca="false">_xlfn.LET( 
_xlpm.prep_month, INDEX('⚙️ Other Assumptions'!$B$18:$AK$18,MATCH(BD$10,'⚙️ Other Assumptions'!$B$14:$AK$14,0)), 
_xlpm.security_sal, $C$5*$B$5,
 IF(BD$10 &gt; 10, _xlpm.security_sal, IF(_xlpm.prep_month &gt; 0, _xlpm.security_sal,0)))</f>
        <v>0</v>
      </c>
      <c r="BE16" s="96" t="n">
        <f aca="false">_xlfn.LET( 
_xlpm.prep_month, INDEX('⚙️ Other Assumptions'!$B$18:$AK$18,MATCH(BE$10,'⚙️ Other Assumptions'!$B$14:$AK$14,0)), 
_xlpm.security_sal, $C$5*$B$5,
 IF(BE$10 &gt; 10, _xlpm.security_sal, IF(_xlpm.prep_month &gt; 0, _xlpm.security_sal,0)))</f>
        <v>0</v>
      </c>
      <c r="BF16" s="96" t="n">
        <f aca="false">_xlfn.LET( 
_xlpm.prep_month, INDEX('⚙️ Other Assumptions'!$B$18:$AK$18,MATCH(BF$10,'⚙️ Other Assumptions'!$B$14:$AK$14,0)), 
_xlpm.security_sal, $C$5*$B$5,
 IF(BF$10 &gt; 10, _xlpm.security_sal, IF(_xlpm.prep_month &gt; 0, _xlpm.security_sal,0)))</f>
        <v>0</v>
      </c>
      <c r="BG16" s="96" t="n">
        <f aca="false">_xlfn.LET( 
_xlpm.prep_month, INDEX('⚙️ Other Assumptions'!$B$18:$AK$18,MATCH(BG$10,'⚙️ Other Assumptions'!$B$14:$AK$14,0)), 
_xlpm.security_sal, $C$5*$B$5,
 IF(BG$10 &gt; 10, _xlpm.security_sal, IF(_xlpm.prep_month &gt; 0, _xlpm.security_sal,0)))</f>
        <v>0</v>
      </c>
      <c r="BH16" s="96" t="n">
        <f aca="false">_xlfn.LET( 
_xlpm.prep_month, INDEX('⚙️ Other Assumptions'!$B$18:$AK$18,MATCH(BH$10,'⚙️ Other Assumptions'!$B$14:$AK$14,0)), 
_xlpm.security_sal, $C$5*$B$5,
 IF(BH$10 &gt; 10, _xlpm.security_sal, IF(_xlpm.prep_month &gt; 0, _xlpm.security_sal,0)))</f>
        <v>0</v>
      </c>
      <c r="BI16" s="96" t="n">
        <f aca="false">_xlfn.LET( 
_xlpm.prep_month, INDEX('⚙️ Other Assumptions'!$B$18:$AK$18,MATCH(BI$10,'⚙️ Other Assumptions'!$B$14:$AK$14,0)), 
_xlpm.security_sal, $C$5*$B$5,
 IF(BI$10 &gt; 10, _xlpm.security_sal, IF(_xlpm.prep_month &gt; 0, _xlpm.security_sal,0)))</f>
        <v>0</v>
      </c>
    </row>
    <row r="17" customFormat="false" ht="13.8" hidden="false" customHeight="false" outlineLevel="0" collapsed="false">
      <c r="A17" s="95" t="s">
        <v>303</v>
      </c>
      <c r="B17" s="96" t="n">
        <f aca="false">_xlfn.LET(
_xlpm.prep_month, INDEX('⚙️ Other Assumptions'!$B$18:$AK$18,MATCH(B$10,'⚙️ Other Assumptions'!$B$14:$AK$14,0)),
IF(B10 &gt; 10, $C$6, IF(_xlpm.prep_month &gt;0, $C$6,0)))</f>
        <v>0</v>
      </c>
      <c r="C17" s="96" t="n">
        <f aca="false">_xlfn.LET(
_xlpm.prep_month, INDEX('⚙️ Other Assumptions'!$B$18:$AK$18,MATCH(C$10,'⚙️ Other Assumptions'!$B$14:$AK$14,0)),
IF(C10 &gt; 10, $C$6, IF(_xlpm.prep_month &gt;0, $C$6,0)))</f>
        <v>0</v>
      </c>
      <c r="D17" s="96" t="n">
        <f aca="false">_xlfn.LET(
_xlpm.prep_month, INDEX('⚙️ Other Assumptions'!$B$18:$AK$18,MATCH(D$10,'⚙️ Other Assumptions'!$B$14:$AK$14,0)),
IF(D10 &gt; 10, $C$6, IF(_xlpm.prep_month &gt;0, $C$6,0)))</f>
        <v>4000000</v>
      </c>
      <c r="E17" s="96" t="n">
        <f aca="false">_xlfn.LET(
_xlpm.prep_month, INDEX('⚙️ Other Assumptions'!$B$18:$AK$18,MATCH(E$10,'⚙️ Other Assumptions'!$B$14:$AK$14,0)),
IF(E10 &gt; 10, $C$6, IF(_xlpm.prep_month &gt;0, $C$6,0)))</f>
        <v>4000000</v>
      </c>
      <c r="F17" s="96" t="n">
        <f aca="false">_xlfn.LET(
_xlpm.prep_month, INDEX('⚙️ Other Assumptions'!$B$18:$AK$18,MATCH(F$10,'⚙️ Other Assumptions'!$B$14:$AK$14,0)),
IF(F10 &gt; 10, $C$6, IF(_xlpm.prep_month &gt;0, $C$6,0)))</f>
        <v>4000000</v>
      </c>
      <c r="G17" s="96" t="n">
        <f aca="false">_xlfn.LET(
_xlpm.prep_month, INDEX('⚙️ Other Assumptions'!$B$18:$AK$18,MATCH(G$10,'⚙️ Other Assumptions'!$B$14:$AK$14,0)),
IF(G10 &gt; 10, $C$6, IF(_xlpm.prep_month &gt;0, $C$6,0)))</f>
        <v>4000000</v>
      </c>
      <c r="H17" s="96" t="n">
        <f aca="false">_xlfn.LET(
_xlpm.prep_month, INDEX('⚙️ Other Assumptions'!$B$18:$AK$18,MATCH(H$10,'⚙️ Other Assumptions'!$B$14:$AK$14,0)),
IF(H10 &gt; 10, $C$6, IF(_xlpm.prep_month &gt;0, $C$6,0)))</f>
        <v>4000000</v>
      </c>
      <c r="I17" s="96" t="n">
        <f aca="false">_xlfn.LET(
_xlpm.prep_month, INDEX('⚙️ Other Assumptions'!$B$18:$AK$18,MATCH(I$10,'⚙️ Other Assumptions'!$B$14:$AK$14,0)),
IF(I10 &gt; 10, $C$6, IF(_xlpm.prep_month &gt;0, $C$6,0)))</f>
        <v>4000000</v>
      </c>
      <c r="J17" s="96" t="n">
        <f aca="false">_xlfn.LET(
_xlpm.prep_month, INDEX('⚙️ Other Assumptions'!$B$18:$AK$18,MATCH(J$10,'⚙️ Other Assumptions'!$B$14:$AK$14,0)),
IF(J10 &gt; 10, $C$6, IF(_xlpm.prep_month &gt;0, $C$6,0)))</f>
        <v>4000000</v>
      </c>
      <c r="K17" s="96" t="n">
        <f aca="false">_xlfn.LET(
_xlpm.prep_month, INDEX('⚙️ Other Assumptions'!$B$18:$AK$18,MATCH(K$10,'⚙️ Other Assumptions'!$B$14:$AK$14,0)),
IF(K10 &gt; 10, $C$6, IF(_xlpm.prep_month &gt;0, $C$6,0)))</f>
        <v>4000000</v>
      </c>
      <c r="L17" s="96" t="n">
        <f aca="false">_xlfn.LET(
_xlpm.prep_month, INDEX('⚙️ Other Assumptions'!$B$18:$AK$18,MATCH(L$10,'⚙️ Other Assumptions'!$B$14:$AK$14,0)),
IF(L10 &gt; 10, $C$6, IF(_xlpm.prep_month &gt;0, $C$6,0)))</f>
        <v>4000000</v>
      </c>
      <c r="M17" s="96" t="n">
        <f aca="false">_xlfn.LET(
_xlpm.prep_month, INDEX('⚙️ Other Assumptions'!$B$18:$AK$18,MATCH(M$10,'⚙️ Other Assumptions'!$B$14:$AK$14,0)),
IF(M10 &gt; 10, $C$6, IF(_xlpm.prep_month &gt;0, $C$6,0)))</f>
        <v>4000000</v>
      </c>
      <c r="N17" s="96" t="n">
        <f aca="false">_xlfn.LET(
_xlpm.prep_month, INDEX('⚙️ Other Assumptions'!$B$18:$AK$18,MATCH(N$10,'⚙️ Other Assumptions'!$B$14:$AK$14,0)),
IF(N10 &gt; 10, $C$6, IF(_xlpm.prep_month &gt;0, $C$6,0)))</f>
        <v>4000000</v>
      </c>
      <c r="O17" s="96" t="n">
        <f aca="false">_xlfn.LET(
_xlpm.prep_month, INDEX('⚙️ Other Assumptions'!$B$18:$AK$18,MATCH(O$10,'⚙️ Other Assumptions'!$B$14:$AK$14,0)),
IF(O10 &gt; 10, $C$6, IF(_xlpm.prep_month &gt;0, $C$6,0)))</f>
        <v>4000000</v>
      </c>
      <c r="P17" s="96" t="n">
        <f aca="false">_xlfn.LET(
_xlpm.prep_month, INDEX('⚙️ Other Assumptions'!$B$18:$AK$18,MATCH(P$10,'⚙️ Other Assumptions'!$B$14:$AK$14,0)),
IF(P10 &gt; 10, $C$6, IF(_xlpm.prep_month &gt;0, $C$6,0)))</f>
        <v>4000000</v>
      </c>
      <c r="Q17" s="96" t="n">
        <f aca="false">_xlfn.LET(
_xlpm.prep_month, INDEX('⚙️ Other Assumptions'!$B$18:$AK$18,MATCH(Q$10,'⚙️ Other Assumptions'!$B$14:$AK$14,0)),
IF(Q10 &gt; 10, $C$6, IF(_xlpm.prep_month &gt;0, $C$6,0)))</f>
        <v>4000000</v>
      </c>
      <c r="R17" s="96" t="n">
        <f aca="false">_xlfn.LET(
_xlpm.prep_month, INDEX('⚙️ Other Assumptions'!$B$18:$AK$18,MATCH(R$10,'⚙️ Other Assumptions'!$B$14:$AK$14,0)),
IF(R10 &gt; 10, $C$6, IF(_xlpm.prep_month &gt;0, $C$6,0)))</f>
        <v>4000000</v>
      </c>
      <c r="S17" s="96" t="n">
        <f aca="false">_xlfn.LET(
_xlpm.prep_month, INDEX('⚙️ Other Assumptions'!$B$18:$AK$18,MATCH(S$10,'⚙️ Other Assumptions'!$B$14:$AK$14,0)),
IF(S10 &gt; 10, $C$6, IF(_xlpm.prep_month &gt;0, $C$6,0)))</f>
        <v>4000000</v>
      </c>
      <c r="T17" s="96" t="n">
        <f aca="false">_xlfn.LET(
_xlpm.prep_month, INDEX('⚙️ Other Assumptions'!$B$18:$AK$18,MATCH(T$10,'⚙️ Other Assumptions'!$B$14:$AK$14,0)),
IF(T10 &gt; 10, $C$6, IF(_xlpm.prep_month &gt;0, $C$6,0)))</f>
        <v>4000000</v>
      </c>
      <c r="U17" s="96" t="n">
        <f aca="false">_xlfn.LET(
_xlpm.prep_month, INDEX('⚙️ Other Assumptions'!$B$18:$AK$18,MATCH(U$10,'⚙️ Other Assumptions'!$B$14:$AK$14,0)),
IF(U10 &gt; 10, $C$6, IF(_xlpm.prep_month &gt;0, $C$6,0)))</f>
        <v>4000000</v>
      </c>
      <c r="V17" s="96" t="n">
        <f aca="false">_xlfn.LET(
_xlpm.prep_month, INDEX('⚙️ Other Assumptions'!$B$18:$AK$18,MATCH(V$10,'⚙️ Other Assumptions'!$B$14:$AK$14,0)),
IF(V10 &gt; 10, $C$6, IF(_xlpm.prep_month &gt;0, $C$6,0)))</f>
        <v>4000000</v>
      </c>
      <c r="W17" s="96" t="n">
        <f aca="false">_xlfn.LET(
_xlpm.prep_month, INDEX('⚙️ Other Assumptions'!$B$18:$AK$18,MATCH(W$10,'⚙️ Other Assumptions'!$B$14:$AK$14,0)),
IF(W10 &gt; 10, $C$6, IF(_xlpm.prep_month &gt;0, $C$6,0)))</f>
        <v>4000000</v>
      </c>
      <c r="X17" s="96" t="n">
        <f aca="false">_xlfn.LET(
_xlpm.prep_month, INDEX('⚙️ Other Assumptions'!$B$18:$AK$18,MATCH(X$10,'⚙️ Other Assumptions'!$B$14:$AK$14,0)),
IF(X10 &gt; 10, $C$6, IF(_xlpm.prep_month &gt;0, $C$6,0)))</f>
        <v>4000000</v>
      </c>
      <c r="Y17" s="96" t="n">
        <f aca="false">_xlfn.LET(
_xlpm.prep_month, INDEX('⚙️ Other Assumptions'!$B$18:$AK$18,MATCH(Y$10,'⚙️ Other Assumptions'!$B$14:$AK$14,0)),
IF(Y10 &gt; 10, $C$6, IF(_xlpm.prep_month &gt;0, $C$6,0)))</f>
        <v>4000000</v>
      </c>
      <c r="Z17" s="96" t="n">
        <f aca="false">_xlfn.LET(
_xlpm.prep_month, INDEX('⚙️ Other Assumptions'!$B$18:$AK$18,MATCH(Z$10,'⚙️ Other Assumptions'!$B$14:$AK$14,0)),
IF(Z10 &gt; 10, $C$6, IF(_xlpm.prep_month &gt;0, $C$6,0)))</f>
        <v>4000000</v>
      </c>
      <c r="AA17" s="96" t="n">
        <f aca="false">_xlfn.LET(
_xlpm.prep_month, INDEX('⚙️ Other Assumptions'!$B$18:$AK$18,MATCH(AA$10,'⚙️ Other Assumptions'!$B$14:$AK$14,0)),
IF(AA10 &gt; 10, $C$6, IF(_xlpm.prep_month &gt;0, $C$6,0)))</f>
        <v>4000000</v>
      </c>
      <c r="AB17" s="96" t="n">
        <f aca="false">_xlfn.LET(
_xlpm.prep_month, INDEX('⚙️ Other Assumptions'!$B$18:$AK$18,MATCH(AB$10,'⚙️ Other Assumptions'!$B$14:$AK$14,0)),
IF(AB10 &gt; 10, $C$6, IF(_xlpm.prep_month &gt;0, $C$6,0)))</f>
        <v>4000000</v>
      </c>
      <c r="AC17" s="96" t="n">
        <f aca="false">_xlfn.LET(
_xlpm.prep_month, INDEX('⚙️ Other Assumptions'!$B$18:$AK$18,MATCH(AC$10,'⚙️ Other Assumptions'!$B$14:$AK$14,0)),
IF(AC10 &gt; 10, $C$6, IF(_xlpm.prep_month &gt;0, $C$6,0)))</f>
        <v>4000000</v>
      </c>
      <c r="AD17" s="96" t="n">
        <f aca="false">_xlfn.LET(
_xlpm.prep_month, INDEX('⚙️ Other Assumptions'!$B$18:$AK$18,MATCH(AD$10,'⚙️ Other Assumptions'!$B$14:$AK$14,0)),
IF(AD10 &gt; 10, $C$6, IF(_xlpm.prep_month &gt;0, $C$6,0)))</f>
        <v>4000000</v>
      </c>
      <c r="AE17" s="96" t="n">
        <f aca="false">_xlfn.LET(
_xlpm.prep_month, INDEX('⚙️ Other Assumptions'!$B$18:$AK$18,MATCH(AE$10,'⚙️ Other Assumptions'!$B$14:$AK$14,0)),
IF(AE10 &gt; 10, $C$6, IF(_xlpm.prep_month &gt;0, $C$6,0)))</f>
        <v>4000000</v>
      </c>
      <c r="AF17" s="96" t="n">
        <f aca="false">_xlfn.LET(
_xlpm.prep_month, INDEX('⚙️ Other Assumptions'!$B$18:$AK$18,MATCH(AF$10,'⚙️ Other Assumptions'!$B$14:$AK$14,0)),
IF(AF10 &gt; 10, $C$6, IF(_xlpm.prep_month &gt;0, $C$6,0)))</f>
        <v>4000000</v>
      </c>
      <c r="AG17" s="96" t="n">
        <f aca="false">_xlfn.LET(
_xlpm.prep_month, INDEX('⚙️ Other Assumptions'!$B$18:$AK$18,MATCH(AG$10,'⚙️ Other Assumptions'!$B$14:$AK$14,0)),
IF(AG10 &gt; 10, $C$6, IF(_xlpm.prep_month &gt;0, $C$6,0)))</f>
        <v>4000000</v>
      </c>
      <c r="AH17" s="96" t="n">
        <f aca="false">_xlfn.LET(
_xlpm.prep_month, INDEX('⚙️ Other Assumptions'!$B$18:$AK$18,MATCH(AH$10,'⚙️ Other Assumptions'!$B$14:$AK$14,0)),
IF(AH10 &gt; 10, $C$6, IF(_xlpm.prep_month &gt;0, $C$6,0)))</f>
        <v>4000000</v>
      </c>
      <c r="AI17" s="96" t="n">
        <f aca="false">_xlfn.LET(
_xlpm.prep_month, INDEX('⚙️ Other Assumptions'!$B$18:$AK$18,MATCH(AI$10,'⚙️ Other Assumptions'!$B$14:$AK$14,0)),
IF(AI10 &gt; 10, $C$6, IF(_xlpm.prep_month &gt;0, $C$6,0)))</f>
        <v>4000000</v>
      </c>
      <c r="AJ17" s="96" t="n">
        <f aca="false">_xlfn.LET(
_xlpm.prep_month, INDEX('⚙️ Other Assumptions'!$B$18:$AK$18,MATCH(AJ$10,'⚙️ Other Assumptions'!$B$14:$AK$14,0)),
IF(AJ10 &gt; 10, $C$6, IF(_xlpm.prep_month &gt;0, $C$6,0)))</f>
        <v>4000000</v>
      </c>
      <c r="AK17" s="96" t="n">
        <f aca="false">_xlfn.LET(
_xlpm.prep_month, INDEX('⚙️ Other Assumptions'!$B$18:$AK$18,MATCH(AK$10,'⚙️ Other Assumptions'!$B$14:$AK$14,0)),
IF(AK10 &gt; 10, $C$6, IF(_xlpm.prep_month &gt;0, $C$6,0)))</f>
        <v>4000000</v>
      </c>
      <c r="AL17" s="96" t="n">
        <f aca="false">_xlfn.LET(
_xlpm.prep_month, INDEX('⚙️ Other Assumptions'!$B$18:$AK$18,MATCH(AL$10,'⚙️ Other Assumptions'!$B$14:$AK$14,0)),
IF(AL10 &gt; 10, $C$6, IF(_xlpm.prep_month &gt;0, $C$6,0)))</f>
        <v>4000000</v>
      </c>
      <c r="AM17" s="96" t="n">
        <f aca="false">_xlfn.LET(
_xlpm.prep_month, INDEX('⚙️ Other Assumptions'!$B$18:$AK$18,MATCH(AM$10,'⚙️ Other Assumptions'!$B$14:$AK$14,0)),
IF(AM10 &gt; 10, $C$6, IF(_xlpm.prep_month &gt;0, $C$6,0)))</f>
        <v>4000000</v>
      </c>
      <c r="AN17" s="96" t="n">
        <f aca="false">_xlfn.LET(
_xlpm.prep_month, INDEX('⚙️ Other Assumptions'!$B$18:$AK$18,MATCH(AN$10,'⚙️ Other Assumptions'!$B$14:$AK$14,0)),
IF(AN10 &gt; 10, $C$6, IF(_xlpm.prep_month &gt;0, $C$6,0)))</f>
        <v>4000000</v>
      </c>
      <c r="AO17" s="96" t="n">
        <f aca="false">_xlfn.LET(
_xlpm.prep_month, INDEX('⚙️ Other Assumptions'!$B$18:$AK$18,MATCH(AO$10,'⚙️ Other Assumptions'!$B$14:$AK$14,0)),
IF(AO10 &gt; 10, $C$6, IF(_xlpm.prep_month &gt;0, $C$6,0)))</f>
        <v>4000000</v>
      </c>
      <c r="AP17" s="96" t="n">
        <f aca="false">_xlfn.LET(
_xlpm.prep_month, INDEX('⚙️ Other Assumptions'!$B$18:$AK$18,MATCH(AP$10,'⚙️ Other Assumptions'!$B$14:$AK$14,0)),
IF(AP10 &gt; 10, $C$6, IF(_xlpm.prep_month &gt;0, $C$6,0)))</f>
        <v>4000000</v>
      </c>
      <c r="AQ17" s="96" t="n">
        <f aca="false">_xlfn.LET(
_xlpm.prep_month, INDEX('⚙️ Other Assumptions'!$B$18:$AK$18,MATCH(AQ$10,'⚙️ Other Assumptions'!$B$14:$AK$14,0)),
IF(AQ10 &gt; 10, $C$6, IF(_xlpm.prep_month &gt;0, $C$6,0)))</f>
        <v>4000000</v>
      </c>
      <c r="AR17" s="96" t="n">
        <f aca="false">_xlfn.LET(
_xlpm.prep_month, INDEX('⚙️ Other Assumptions'!$B$18:$AK$18,MATCH(AR$10,'⚙️ Other Assumptions'!$B$14:$AK$14,0)),
IF(AR10 &gt; 10, $C$6, IF(_xlpm.prep_month &gt;0, $C$6,0)))</f>
        <v>4000000</v>
      </c>
      <c r="AS17" s="96" t="n">
        <f aca="false">_xlfn.LET(
_xlpm.prep_month, INDEX('⚙️ Other Assumptions'!$B$18:$AK$18,MATCH(AS$10,'⚙️ Other Assumptions'!$B$14:$AK$14,0)),
IF(AS10 &gt; 10, $C$6, IF(_xlpm.prep_month &gt;0, $C$6,0)))</f>
        <v>4000000</v>
      </c>
      <c r="AT17" s="96" t="n">
        <f aca="false">_xlfn.LET(
_xlpm.prep_month, INDEX('⚙️ Other Assumptions'!$B$18:$AK$18,MATCH(AT$10,'⚙️ Other Assumptions'!$B$14:$AK$14,0)),
IF(AT10 &gt; 10, $C$6, IF(_xlpm.prep_month &gt;0, $C$6,0)))</f>
        <v>4000000</v>
      </c>
      <c r="AU17" s="96" t="n">
        <f aca="false">_xlfn.LET(
_xlpm.prep_month, INDEX('⚙️ Other Assumptions'!$B$18:$AK$18,MATCH(AU$10,'⚙️ Other Assumptions'!$B$14:$AK$14,0)),
IF(AU10 &gt; 10, $C$6, IF(_xlpm.prep_month &gt;0, $C$6,0)))</f>
        <v>4000000</v>
      </c>
      <c r="AV17" s="96" t="n">
        <f aca="false">_xlfn.LET(
_xlpm.prep_month, INDEX('⚙️ Other Assumptions'!$B$18:$AK$18,MATCH(AV$10,'⚙️ Other Assumptions'!$B$14:$AK$14,0)),
IF(AV10 &gt; 10, $C$6, IF(_xlpm.prep_month &gt;0, $C$6,0)))</f>
        <v>4000000</v>
      </c>
      <c r="AW17" s="96" t="n">
        <f aca="false">_xlfn.LET(
_xlpm.prep_month, INDEX('⚙️ Other Assumptions'!$B$18:$AK$18,MATCH(AW$10,'⚙️ Other Assumptions'!$B$14:$AK$14,0)),
IF(AW10 &gt; 10, $C$6, IF(_xlpm.prep_month &gt;0, $C$6,0)))</f>
        <v>4000000</v>
      </c>
      <c r="AX17" s="96" t="n">
        <f aca="false">_xlfn.LET(
_xlpm.prep_month, INDEX('⚙️ Other Assumptions'!$B$18:$AK$18,MATCH(AX$10,'⚙️ Other Assumptions'!$B$14:$AK$14,0)),
IF(AX10 &gt; 10, $C$6, IF(_xlpm.prep_month &gt;0, $C$6,0)))</f>
        <v>4000000</v>
      </c>
      <c r="AY17" s="96" t="n">
        <f aca="false">_xlfn.LET(
_xlpm.prep_month, INDEX('⚙️ Other Assumptions'!$B$18:$AK$18,MATCH(AY$10,'⚙️ Other Assumptions'!$B$14:$AK$14,0)),
IF(AY10 &gt; 10, $C$6, IF(_xlpm.prep_month &gt;0, $C$6,0)))</f>
        <v>4000000</v>
      </c>
      <c r="AZ17" s="96" t="n">
        <f aca="false">_xlfn.LET(
_xlpm.prep_month, INDEX('⚙️ Other Assumptions'!$B$18:$AK$18,MATCH(AZ$10,'⚙️ Other Assumptions'!$B$14:$AK$14,0)),
IF(AZ10 &gt; 10, $C$6, IF(_xlpm.prep_month &gt;0, $C$6,0)))</f>
        <v>4000000</v>
      </c>
      <c r="BA17" s="96" t="n">
        <f aca="false">_xlfn.LET(
_xlpm.prep_month, INDEX('⚙️ Other Assumptions'!$B$18:$AK$18,MATCH(BA$10,'⚙️ Other Assumptions'!$B$14:$AK$14,0)),
IF(BA10 &gt; 10, $C$6, IF(_xlpm.prep_month &gt;0, $C$6,0)))</f>
        <v>4000000</v>
      </c>
      <c r="BB17" s="96" t="n">
        <f aca="false">_xlfn.LET(
_xlpm.prep_month, INDEX('⚙️ Other Assumptions'!$B$18:$AK$18,MATCH(BB$10,'⚙️ Other Assumptions'!$B$14:$AK$14,0)),
IF(BB10 &gt; 10, $C$6, IF(_xlpm.prep_month &gt;0, $C$6,0)))</f>
        <v>4000000</v>
      </c>
      <c r="BC17" s="96" t="n">
        <f aca="false">_xlfn.LET(
_xlpm.prep_month, INDEX('⚙️ Other Assumptions'!$B$18:$AK$18,MATCH(BC$10,'⚙️ Other Assumptions'!$B$14:$AK$14,0)),
IF(BC10 &gt; 10, $C$6, IF(_xlpm.prep_month &gt;0, $C$6,0)))</f>
        <v>4000000</v>
      </c>
      <c r="BD17" s="96" t="n">
        <f aca="false">_xlfn.LET(
_xlpm.prep_month, INDEX('⚙️ Other Assumptions'!$B$18:$AK$18,MATCH(BD$10,'⚙️ Other Assumptions'!$B$14:$AK$14,0)),
IF(BD10 &gt; 10, $C$6, IF(_xlpm.prep_month &gt;0, $C$6,0)))</f>
        <v>4000000</v>
      </c>
      <c r="BE17" s="96" t="n">
        <f aca="false">_xlfn.LET(
_xlpm.prep_month, INDEX('⚙️ Other Assumptions'!$B$18:$AK$18,MATCH(BE$10,'⚙️ Other Assumptions'!$B$14:$AK$14,0)),
IF(BE10 &gt; 10, $C$6, IF(_xlpm.prep_month &gt;0, $C$6,0)))</f>
        <v>4000000</v>
      </c>
      <c r="BF17" s="96" t="n">
        <f aca="false">_xlfn.LET(
_xlpm.prep_month, INDEX('⚙️ Other Assumptions'!$B$18:$AK$18,MATCH(BF$10,'⚙️ Other Assumptions'!$B$14:$AK$14,0)),
IF(BF10 &gt; 10, $C$6, IF(_xlpm.prep_month &gt;0, $C$6,0)))</f>
        <v>4000000</v>
      </c>
      <c r="BG17" s="96" t="n">
        <f aca="false">_xlfn.LET(
_xlpm.prep_month, INDEX('⚙️ Other Assumptions'!$B$18:$AK$18,MATCH(BG$10,'⚙️ Other Assumptions'!$B$14:$AK$14,0)),
IF(BG10 &gt; 10, $C$6, IF(_xlpm.prep_month &gt;0, $C$6,0)))</f>
        <v>4000000</v>
      </c>
      <c r="BH17" s="96" t="n">
        <f aca="false">_xlfn.LET(
_xlpm.prep_month, INDEX('⚙️ Other Assumptions'!$B$18:$AK$18,MATCH(BH$10,'⚙️ Other Assumptions'!$B$14:$AK$14,0)),
IF(BH10 &gt; 10, $C$6, IF(_xlpm.prep_month &gt;0, $C$6,0)))</f>
        <v>4000000</v>
      </c>
      <c r="BI17" s="96" t="n">
        <f aca="false">_xlfn.LET(
_xlpm.prep_month, INDEX('⚙️ Other Assumptions'!$B$18:$AK$18,MATCH(BI$10,'⚙️ Other Assumptions'!$B$14:$AK$14,0)),
IF(BI10 &gt; 10, $C$6, IF(_xlpm.prep_month &gt;0, $C$6,0)))</f>
        <v>4000000</v>
      </c>
    </row>
    <row r="18" customFormat="false" ht="13.8" hidden="false" customHeight="false" outlineLevel="0" collapsed="false">
      <c r="A18" s="97" t="s">
        <v>304</v>
      </c>
      <c r="B18" s="96" t="n">
        <f aca="false">SUM(B15:B17,B12)</f>
        <v>0</v>
      </c>
      <c r="C18" s="96" t="n">
        <f aca="false">SUM(C15:C17,C12)</f>
        <v>0</v>
      </c>
      <c r="D18" s="96" t="n">
        <f aca="false">SUM(D15:D17,D12)</f>
        <v>28276000</v>
      </c>
      <c r="E18" s="96" t="n">
        <f aca="false">SUM(E15:E17,E12)</f>
        <v>28276000</v>
      </c>
      <c r="F18" s="96" t="n">
        <f aca="false">SUM(F15:F17,F12)</f>
        <v>33226000</v>
      </c>
      <c r="G18" s="96" t="n">
        <f aca="false">SUM(G15:G17,G12)</f>
        <v>34414000</v>
      </c>
      <c r="H18" s="96" t="n">
        <f aca="false">SUM(H15:H17,H12)</f>
        <v>33820000</v>
      </c>
      <c r="I18" s="96" t="n">
        <f aca="false">SUM(I15:I17,I12)</f>
        <v>34414000</v>
      </c>
      <c r="J18" s="96" t="n">
        <f aca="false">SUM(J15:J17,J12)</f>
        <v>33820000</v>
      </c>
      <c r="K18" s="96" t="n">
        <f aca="false">SUM(K15:K17,K12)</f>
        <v>34414000</v>
      </c>
      <c r="L18" s="96" t="n">
        <f aca="false">SUM(L15:L17,L12)</f>
        <v>34414000</v>
      </c>
      <c r="M18" s="96" t="n">
        <f aca="false">SUM(M15:M17,M12)</f>
        <v>33820000</v>
      </c>
      <c r="N18" s="96" t="n">
        <f aca="false">SUM(N15:N17,N12)</f>
        <v>34414000</v>
      </c>
      <c r="O18" s="96" t="n">
        <f aca="false">SUM(O15:O17,O12)</f>
        <v>33820000</v>
      </c>
      <c r="P18" s="96" t="n">
        <f aca="false">SUM(P15:P17,P12)</f>
        <v>34414000</v>
      </c>
      <c r="Q18" s="96" t="n">
        <f aca="false">SUM(Q15:Q17,Q12)</f>
        <v>34414000</v>
      </c>
      <c r="R18" s="96" t="n">
        <f aca="false">SUM(R15:R17,R12)</f>
        <v>38176000</v>
      </c>
      <c r="S18" s="96" t="n">
        <f aca="false">SUM(S15:S17,S12)</f>
        <v>40552000</v>
      </c>
      <c r="T18" s="96" t="n">
        <f aca="false">SUM(T15:T17,T12)</f>
        <v>39760000</v>
      </c>
      <c r="U18" s="96" t="n">
        <f aca="false">SUM(U15:U17,U12)</f>
        <v>40552000</v>
      </c>
      <c r="V18" s="96" t="n">
        <f aca="false">SUM(V15:V17,V12)</f>
        <v>39760000</v>
      </c>
      <c r="W18" s="96" t="n">
        <f aca="false">SUM(W15:W17,W12)</f>
        <v>40552000</v>
      </c>
      <c r="X18" s="96" t="n">
        <f aca="false">SUM(X15:X17,X12)</f>
        <v>40552000</v>
      </c>
      <c r="Y18" s="96" t="n">
        <f aca="false">SUM(Y15:Y17,Y12)</f>
        <v>39760000</v>
      </c>
      <c r="Z18" s="96" t="n">
        <f aca="false">SUM(Z15:Z17,Z12)</f>
        <v>40552000</v>
      </c>
      <c r="AA18" s="96" t="n">
        <f aca="false">SUM(AA15:AA17,AA12)</f>
        <v>39760000</v>
      </c>
      <c r="AB18" s="96" t="n">
        <f aca="false">SUM(AB15:AB17,AB12)</f>
        <v>40552000</v>
      </c>
      <c r="AC18" s="96" t="n">
        <f aca="false">SUM(AC15:AC17,AC12)</f>
        <v>40552000</v>
      </c>
      <c r="AD18" s="96" t="n">
        <f aca="false">SUM(AD15:AD17,AD12)</f>
        <v>38176000</v>
      </c>
      <c r="AE18" s="96" t="n">
        <f aca="false">SUM(AE15:AE17,AE12)</f>
        <v>40552000</v>
      </c>
      <c r="AF18" s="96" t="n">
        <f aca="false">SUM(AF15:AF17,AF12)</f>
        <v>39760000</v>
      </c>
      <c r="AG18" s="96" t="n">
        <f aca="false">SUM(AG15:AG17,AG12)</f>
        <v>40552000</v>
      </c>
      <c r="AH18" s="96" t="n">
        <f aca="false">SUM(AH15:AH17,AH12)</f>
        <v>39760000</v>
      </c>
      <c r="AI18" s="96" t="n">
        <f aca="false">SUM(AI15:AI17,AI12)</f>
        <v>40552000</v>
      </c>
      <c r="AJ18" s="96" t="n">
        <f aca="false">SUM(AJ15:AJ17,AJ12)</f>
        <v>40552000</v>
      </c>
      <c r="AK18" s="96" t="n">
        <f aca="false">SUM(AK15:AK17,AK12)</f>
        <v>39760000</v>
      </c>
      <c r="AL18" s="96" t="n">
        <f aca="false">SUM(AL15:AL17,AL12)</f>
        <v>40552000</v>
      </c>
      <c r="AM18" s="96" t="n">
        <f aca="false">SUM(AM15:AM17,AM12)</f>
        <v>39760000</v>
      </c>
      <c r="AN18" s="96" t="n">
        <f aca="false">SUM(AN15:AN17,AN12)</f>
        <v>40552000</v>
      </c>
      <c r="AO18" s="96" t="n">
        <f aca="false">SUM(AO15:AO17,AO12)</f>
        <v>40552000</v>
      </c>
      <c r="AP18" s="96" t="n">
        <f aca="false">SUM(AP15:AP17,AP12)</f>
        <v>38176000</v>
      </c>
      <c r="AQ18" s="96" t="n">
        <f aca="false">SUM(AQ15:AQ17,AQ12)</f>
        <v>40552000</v>
      </c>
      <c r="AR18" s="96" t="n">
        <f aca="false">SUM(AR15:AR17,AR12)</f>
        <v>39760000</v>
      </c>
      <c r="AS18" s="96" t="n">
        <f aca="false">SUM(AS15:AS17,AS12)</f>
        <v>40552000</v>
      </c>
      <c r="AT18" s="96" t="n">
        <f aca="false">SUM(AT15:AT17,AT12)</f>
        <v>39760000</v>
      </c>
      <c r="AU18" s="96" t="n">
        <f aca="false">SUM(AU15:AU17,AU12)</f>
        <v>40552000</v>
      </c>
      <c r="AV18" s="96" t="n">
        <f aca="false">SUM(AV15:AV17,AV12)</f>
        <v>40552000</v>
      </c>
      <c r="AW18" s="96" t="n">
        <f aca="false">SUM(AW15:AW17,AW12)</f>
        <v>39760000</v>
      </c>
      <c r="AX18" s="96" t="n">
        <f aca="false">SUM(AX15:AX17,AX12)</f>
        <v>40552000</v>
      </c>
      <c r="AY18" s="96" t="n">
        <f aca="false">SUM(AY15:AY17,AY12)</f>
        <v>39760000</v>
      </c>
      <c r="AZ18" s="96" t="n">
        <f aca="false">SUM(AZ15:AZ17,AZ12)</f>
        <v>40552000</v>
      </c>
      <c r="BA18" s="96" t="n">
        <f aca="false">SUM(BA15:BA17,BA12)</f>
        <v>40552000</v>
      </c>
      <c r="BB18" s="96" t="n">
        <f aca="false">SUM(BB15:BB17,BB12)</f>
        <v>38968000</v>
      </c>
      <c r="BC18" s="96" t="n">
        <f aca="false">SUM(BC15:BC17,BC12)</f>
        <v>40552000</v>
      </c>
      <c r="BD18" s="96" t="n">
        <f aca="false">SUM(BD15:BD17,BD12)</f>
        <v>39760000</v>
      </c>
      <c r="BE18" s="96" t="n">
        <f aca="false">SUM(BE15:BE17,BE12)</f>
        <v>40552000</v>
      </c>
      <c r="BF18" s="96" t="n">
        <f aca="false">SUM(BF15:BF17,BF12)</f>
        <v>39760000</v>
      </c>
      <c r="BG18" s="96" t="n">
        <f aca="false">SUM(BG15:BG17,BG12)</f>
        <v>40552000</v>
      </c>
      <c r="BH18" s="96" t="n">
        <f aca="false">SUM(BH15:BH17,BH12)</f>
        <v>40552000</v>
      </c>
      <c r="BI18" s="96" t="n">
        <f aca="false">SUM(BI15:BI17,BI12)</f>
        <v>39760000</v>
      </c>
    </row>
    <row r="19" customFormat="false" ht="13.8" hidden="false" customHeight="false" outlineLevel="0" collapsed="false">
      <c r="C19" s="98"/>
      <c r="D19" s="98"/>
      <c r="AI19" s="98"/>
    </row>
    <row r="21" customFormat="false" ht="13.8" hidden="false" customHeight="false" outlineLevel="0" collapsed="false">
      <c r="B21" s="99"/>
    </row>
    <row r="1048576" customFormat="false" ht="12.8" hidden="false" customHeight="false" outlineLevel="0" collapsed="false"/>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148C"/>
    <pageSetUpPr fitToPage="false"/>
  </sheetPr>
  <dimension ref="A1:BJ50"/>
  <sheetViews>
    <sheetView showFormulas="false" showGridLines="false" showRowColHeaders="true" showZeros="true" rightToLeft="false" tabSelected="false" showOutlineSymbols="true" defaultGridColor="true" view="normal" topLeftCell="A1" colorId="64" zoomScale="120" zoomScaleNormal="120" zoomScalePageLayoutView="100" workbookViewId="0">
      <pane xSplit="2" ySplit="3" topLeftCell="C13" activePane="bottomRight" state="frozen"/>
      <selection pane="topLeft" activeCell="A1" activeCellId="0" sqref="A1"/>
      <selection pane="topRight" activeCell="C1" activeCellId="0" sqref="C1"/>
      <selection pane="bottomLeft" activeCell="A13" activeCellId="0" sqref="A13"/>
      <selection pane="bottomRight" activeCell="I32" activeCellId="0" sqref="I32"/>
    </sheetView>
  </sheetViews>
  <sheetFormatPr defaultColWidth="8.71484375" defaultRowHeight="12.8" customHeight="false" zeroHeight="false" outlineLevelRow="0" outlineLevelCol="0"/>
  <cols>
    <col collapsed="false" customWidth="true" hidden="false" outlineLevel="0" max="1" min="1" style="4" width="36"/>
    <col collapsed="false" customWidth="true" hidden="false" outlineLevel="0" max="2" min="2" style="4" width="17"/>
    <col collapsed="false" customWidth="true" hidden="false" outlineLevel="0" max="7" min="3" style="4" width="12.34"/>
    <col collapsed="false" customWidth="true" hidden="false" outlineLevel="0" max="24" min="8" style="4" width="12.24"/>
    <col collapsed="false" customWidth="true" hidden="false" outlineLevel="0" max="62" min="25" style="4" width="11.79"/>
  </cols>
  <sheetData>
    <row r="1" customFormat="false" ht="30" hidden="false" customHeight="true" outlineLevel="0" collapsed="false">
      <c r="A1" s="54" t="s">
        <v>305</v>
      </c>
      <c r="B1" s="54"/>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row>
    <row r="2" customFormat="false" ht="15.75" hidden="true" customHeight="true" outlineLevel="0" collapsed="false">
      <c r="A2" s="74"/>
      <c r="B2" s="57" t="s">
        <v>250</v>
      </c>
      <c r="C2" s="75" t="s">
        <v>251</v>
      </c>
      <c r="D2" s="75"/>
      <c r="E2" s="75"/>
      <c r="F2" s="75"/>
      <c r="G2" s="75"/>
      <c r="H2" s="75"/>
      <c r="I2" s="75"/>
      <c r="J2" s="75"/>
      <c r="K2" s="75"/>
      <c r="L2" s="75"/>
      <c r="M2" s="75"/>
      <c r="N2" s="75"/>
      <c r="O2" s="75" t="s">
        <v>252</v>
      </c>
      <c r="P2" s="75"/>
      <c r="Q2" s="75"/>
      <c r="R2" s="75"/>
      <c r="S2" s="75"/>
      <c r="T2" s="75"/>
      <c r="U2" s="75"/>
      <c r="V2" s="75"/>
      <c r="W2" s="75"/>
      <c r="X2" s="75"/>
      <c r="Y2" s="75"/>
      <c r="Z2" s="75"/>
      <c r="AA2" s="75" t="s">
        <v>253</v>
      </c>
      <c r="AB2" s="75"/>
      <c r="AC2" s="75"/>
      <c r="AD2" s="75"/>
      <c r="AE2" s="75"/>
      <c r="AF2" s="75"/>
      <c r="AG2" s="75"/>
      <c r="AH2" s="75"/>
      <c r="AI2" s="75"/>
      <c r="AJ2" s="75"/>
      <c r="AK2" s="75"/>
      <c r="AL2" s="75"/>
      <c r="AM2" s="71"/>
    </row>
    <row r="3" customFormat="false" ht="15.75" hidden="false" customHeight="true" outlineLevel="0" collapsed="false">
      <c r="A3" s="74"/>
      <c r="B3" s="57"/>
      <c r="C3" s="75" t="s">
        <v>107</v>
      </c>
      <c r="D3" s="75" t="s">
        <v>306</v>
      </c>
      <c r="E3" s="75" t="s">
        <v>307</v>
      </c>
      <c r="F3" s="75" t="s">
        <v>308</v>
      </c>
      <c r="G3" s="75" t="s">
        <v>309</v>
      </c>
      <c r="H3" s="75" t="s">
        <v>310</v>
      </c>
      <c r="I3" s="75" t="s">
        <v>133</v>
      </c>
      <c r="J3" s="75" t="s">
        <v>311</v>
      </c>
      <c r="K3" s="75" t="s">
        <v>312</v>
      </c>
      <c r="L3" s="75" t="s">
        <v>313</v>
      </c>
      <c r="M3" s="75" t="s">
        <v>314</v>
      </c>
      <c r="N3" s="75" t="s">
        <v>315</v>
      </c>
      <c r="O3" s="75" t="s">
        <v>316</v>
      </c>
      <c r="P3" s="75" t="s">
        <v>317</v>
      </c>
      <c r="Q3" s="75" t="s">
        <v>318</v>
      </c>
      <c r="R3" s="75" t="s">
        <v>319</v>
      </c>
      <c r="S3" s="75" t="s">
        <v>320</v>
      </c>
      <c r="T3" s="75" t="s">
        <v>321</v>
      </c>
      <c r="U3" s="75" t="s">
        <v>322</v>
      </c>
      <c r="V3" s="75" t="s">
        <v>323</v>
      </c>
      <c r="W3" s="75" t="s">
        <v>324</v>
      </c>
      <c r="X3" s="75" t="s">
        <v>325</v>
      </c>
      <c r="Y3" s="75" t="s">
        <v>326</v>
      </c>
      <c r="Z3" s="75" t="s">
        <v>327</v>
      </c>
      <c r="AA3" s="75" t="s">
        <v>328</v>
      </c>
      <c r="AB3" s="75" t="s">
        <v>329</v>
      </c>
      <c r="AC3" s="75" t="s">
        <v>330</v>
      </c>
      <c r="AD3" s="75" t="s">
        <v>331</v>
      </c>
      <c r="AE3" s="75" t="s">
        <v>332</v>
      </c>
      <c r="AF3" s="75" t="s">
        <v>333</v>
      </c>
      <c r="AG3" s="75" t="s">
        <v>334</v>
      </c>
      <c r="AH3" s="75" t="s">
        <v>335</v>
      </c>
      <c r="AI3" s="75" t="s">
        <v>336</v>
      </c>
      <c r="AJ3" s="75" t="s">
        <v>337</v>
      </c>
      <c r="AK3" s="75" t="s">
        <v>338</v>
      </c>
      <c r="AL3" s="75" t="s">
        <v>339</v>
      </c>
      <c r="AM3" s="75" t="s">
        <v>340</v>
      </c>
      <c r="AN3" s="100" t="s">
        <v>341</v>
      </c>
      <c r="AO3" s="100" t="s">
        <v>342</v>
      </c>
      <c r="AP3" s="100" t="s">
        <v>343</v>
      </c>
      <c r="AQ3" s="100" t="s">
        <v>344</v>
      </c>
      <c r="AR3" s="100" t="s">
        <v>345</v>
      </c>
      <c r="AS3" s="100" t="s">
        <v>346</v>
      </c>
      <c r="AT3" s="100" t="s">
        <v>347</v>
      </c>
      <c r="AU3" s="100" t="s">
        <v>348</v>
      </c>
      <c r="AV3" s="100" t="s">
        <v>349</v>
      </c>
      <c r="AW3" s="100" t="s">
        <v>350</v>
      </c>
      <c r="AX3" s="100" t="s">
        <v>351</v>
      </c>
      <c r="AY3" s="100" t="s">
        <v>352</v>
      </c>
      <c r="AZ3" s="100" t="s">
        <v>353</v>
      </c>
      <c r="BA3" s="100" t="s">
        <v>354</v>
      </c>
      <c r="BB3" s="100" t="s">
        <v>355</v>
      </c>
      <c r="BC3" s="100" t="s">
        <v>356</v>
      </c>
      <c r="BD3" s="100" t="s">
        <v>357</v>
      </c>
      <c r="BE3" s="100" t="s">
        <v>358</v>
      </c>
      <c r="BF3" s="100" t="s">
        <v>359</v>
      </c>
      <c r="BG3" s="100" t="s">
        <v>360</v>
      </c>
      <c r="BH3" s="100" t="s">
        <v>361</v>
      </c>
      <c r="BI3" s="100" t="s">
        <v>362</v>
      </c>
      <c r="BJ3" s="100" t="s">
        <v>363</v>
      </c>
    </row>
    <row r="4" customFormat="false" ht="21.75" hidden="false" customHeight="true" outlineLevel="0" collapsed="false">
      <c r="A4" s="56" t="s">
        <v>224</v>
      </c>
      <c r="B4" s="76" t="s">
        <v>254</v>
      </c>
      <c r="C4" s="58" t="n">
        <f aca="false">'⚙️ Assumptions'!B6</f>
        <v>46661</v>
      </c>
      <c r="D4" s="58" t="n">
        <f aca="false">EDATE($C$4,'💰 Revenue'!D2)</f>
        <v>46692</v>
      </c>
      <c r="E4" s="58" t="n">
        <f aca="false">EDATE($C$4,'💰 Revenue'!E2)</f>
        <v>46722</v>
      </c>
      <c r="F4" s="58" t="n">
        <f aca="false">EDATE($C$4,'💰 Revenue'!F2)</f>
        <v>46753</v>
      </c>
      <c r="G4" s="58" t="n">
        <f aca="false">EDATE($C$4,'💰 Revenue'!G2)</f>
        <v>46784</v>
      </c>
      <c r="H4" s="58" t="n">
        <f aca="false">EDATE($C$4,'💰 Revenue'!H2)</f>
        <v>46813</v>
      </c>
      <c r="I4" s="58" t="n">
        <f aca="false">EDATE($C$4,'💰 Revenue'!I2)</f>
        <v>46844</v>
      </c>
      <c r="J4" s="58" t="n">
        <f aca="false">EDATE($C$4,'💰 Revenue'!J2)</f>
        <v>46874</v>
      </c>
      <c r="K4" s="58" t="n">
        <f aca="false">EDATE($C$4,'💰 Revenue'!K2)</f>
        <v>46905</v>
      </c>
      <c r="L4" s="58" t="n">
        <f aca="false">EDATE($C$4,'💰 Revenue'!L2)</f>
        <v>46935</v>
      </c>
      <c r="M4" s="58" t="n">
        <f aca="false">EDATE($C$4,'💰 Revenue'!M2)</f>
        <v>46966</v>
      </c>
      <c r="N4" s="58" t="n">
        <f aca="false">EDATE($C$4,'💰 Revenue'!N2)</f>
        <v>46997</v>
      </c>
      <c r="O4" s="58" t="n">
        <f aca="false">EDATE($C$4,'💰 Revenue'!O2)</f>
        <v>47027</v>
      </c>
      <c r="P4" s="58" t="n">
        <f aca="false">EDATE($C$4,'💰 Revenue'!P2)</f>
        <v>47058</v>
      </c>
      <c r="Q4" s="58" t="n">
        <f aca="false">EDATE($C$4,'💰 Revenue'!Q2)</f>
        <v>47088</v>
      </c>
      <c r="R4" s="58" t="n">
        <f aca="false">EDATE($C$4,'💰 Revenue'!R2)</f>
        <v>47119</v>
      </c>
      <c r="S4" s="58" t="n">
        <f aca="false">EDATE($C$4,'💰 Revenue'!S2)</f>
        <v>47150</v>
      </c>
      <c r="T4" s="58" t="n">
        <f aca="false">EDATE($C$4,'💰 Revenue'!T2)</f>
        <v>47178</v>
      </c>
      <c r="U4" s="58" t="n">
        <f aca="false">EDATE($C$4,'💰 Revenue'!U2)</f>
        <v>47209</v>
      </c>
      <c r="V4" s="58" t="n">
        <f aca="false">EDATE($C$4,'💰 Revenue'!V2)</f>
        <v>47239</v>
      </c>
      <c r="W4" s="58" t="n">
        <f aca="false">EDATE($C$4,'💰 Revenue'!W2)</f>
        <v>47270</v>
      </c>
      <c r="X4" s="58" t="n">
        <f aca="false">EDATE($C$4,'💰 Revenue'!X2)</f>
        <v>47300</v>
      </c>
      <c r="Y4" s="58" t="n">
        <f aca="false">EDATE($C$4,'💰 Revenue'!Y2)</f>
        <v>47331</v>
      </c>
      <c r="Z4" s="58" t="n">
        <f aca="false">EDATE($C$4,'💰 Revenue'!Z2)</f>
        <v>47362</v>
      </c>
      <c r="AA4" s="58" t="n">
        <f aca="false">EDATE($C$4,'💰 Revenue'!AA2)</f>
        <v>47392</v>
      </c>
      <c r="AB4" s="58" t="n">
        <f aca="false">EDATE($C$4,'💰 Revenue'!AB2)</f>
        <v>47423</v>
      </c>
      <c r="AC4" s="58" t="n">
        <f aca="false">EDATE($C$4,'💰 Revenue'!AC2)</f>
        <v>47453</v>
      </c>
      <c r="AD4" s="58" t="n">
        <f aca="false">EDATE($C$4,'💰 Revenue'!AD2)</f>
        <v>47484</v>
      </c>
      <c r="AE4" s="58" t="n">
        <f aca="false">EDATE($C$4,'💰 Revenue'!AE2)</f>
        <v>47515</v>
      </c>
      <c r="AF4" s="58" t="n">
        <f aca="false">EDATE($C$4,'💰 Revenue'!AF2)</f>
        <v>47543</v>
      </c>
      <c r="AG4" s="58" t="n">
        <f aca="false">EDATE($C$4,'💰 Revenue'!AG2)</f>
        <v>47574</v>
      </c>
      <c r="AH4" s="58" t="n">
        <f aca="false">EDATE($C$4,'💰 Revenue'!AH2)</f>
        <v>47604</v>
      </c>
      <c r="AI4" s="58" t="n">
        <f aca="false">EDATE($C$4,'💰 Revenue'!AI2)</f>
        <v>47635</v>
      </c>
      <c r="AJ4" s="58" t="n">
        <f aca="false">EDATE($C$4,'💰 Revenue'!AJ2)</f>
        <v>47665</v>
      </c>
      <c r="AK4" s="58" t="n">
        <f aca="false">EDATE($C$4,'💰 Revenue'!AK2)</f>
        <v>47696</v>
      </c>
      <c r="AL4" s="58" t="n">
        <f aca="false">EDATE($C$4,'💰 Revenue'!AL2)</f>
        <v>47727</v>
      </c>
      <c r="AM4" s="58" t="n">
        <f aca="false">EDATE($C$4,'💰 Revenue'!AM2)</f>
        <v>47757</v>
      </c>
      <c r="AN4" s="58" t="n">
        <f aca="false">EDATE($C$4,'💰 Revenue'!AN2)</f>
        <v>47788</v>
      </c>
      <c r="AO4" s="58" t="n">
        <f aca="false">EDATE($C$4,'💰 Revenue'!AO2)</f>
        <v>47818</v>
      </c>
      <c r="AP4" s="58" t="n">
        <f aca="false">EDATE($C$4,'💰 Revenue'!AP2)</f>
        <v>47849</v>
      </c>
      <c r="AQ4" s="58" t="n">
        <f aca="false">EDATE($C$4,'💰 Revenue'!AQ2)</f>
        <v>47880</v>
      </c>
      <c r="AR4" s="58" t="n">
        <f aca="false">EDATE($C$4,'💰 Revenue'!AR2)</f>
        <v>47908</v>
      </c>
      <c r="AS4" s="58" t="n">
        <f aca="false">EDATE($C$4,'💰 Revenue'!AS2)</f>
        <v>47939</v>
      </c>
      <c r="AT4" s="58" t="n">
        <f aca="false">EDATE($C$4,'💰 Revenue'!AT2)</f>
        <v>47969</v>
      </c>
      <c r="AU4" s="58" t="n">
        <f aca="false">EDATE($C$4,'💰 Revenue'!AU2)</f>
        <v>48000</v>
      </c>
      <c r="AV4" s="58" t="n">
        <f aca="false">EDATE($C$4,'💰 Revenue'!AV2)</f>
        <v>48030</v>
      </c>
      <c r="AW4" s="58" t="n">
        <f aca="false">EDATE($C$4,'💰 Revenue'!AW2)</f>
        <v>48061</v>
      </c>
      <c r="AX4" s="58" t="n">
        <f aca="false">EDATE($C$4,'💰 Revenue'!AX2)</f>
        <v>48092</v>
      </c>
      <c r="AY4" s="58" t="n">
        <f aca="false">EDATE($C$4,'💰 Revenue'!AY2)</f>
        <v>48122</v>
      </c>
      <c r="AZ4" s="58" t="n">
        <f aca="false">EDATE($C$4,'💰 Revenue'!AZ2)</f>
        <v>48153</v>
      </c>
      <c r="BA4" s="58" t="n">
        <f aca="false">EDATE($C$4,'💰 Revenue'!BA2)</f>
        <v>48183</v>
      </c>
      <c r="BB4" s="58" t="n">
        <f aca="false">EDATE($C$4,'💰 Revenue'!BB2)</f>
        <v>48214</v>
      </c>
      <c r="BC4" s="58" t="n">
        <f aca="false">EDATE($C$4,'💰 Revenue'!BC2)</f>
        <v>48245</v>
      </c>
      <c r="BD4" s="58" t="n">
        <f aca="false">EDATE($C$4,'💰 Revenue'!BD2)</f>
        <v>48274</v>
      </c>
      <c r="BE4" s="58" t="n">
        <f aca="false">EDATE($C$4,'💰 Revenue'!BE2)</f>
        <v>48305</v>
      </c>
      <c r="BF4" s="58" t="n">
        <f aca="false">EDATE($C$4,'💰 Revenue'!BF2)</f>
        <v>48335</v>
      </c>
      <c r="BG4" s="58" t="n">
        <f aca="false">EDATE($C$4,'💰 Revenue'!BG2)</f>
        <v>48366</v>
      </c>
      <c r="BH4" s="58" t="n">
        <f aca="false">EDATE($C$4,'💰 Revenue'!BH2)</f>
        <v>48396</v>
      </c>
      <c r="BI4" s="58" t="n">
        <f aca="false">EDATE($C$4,'💰 Revenue'!BI2)</f>
        <v>48427</v>
      </c>
      <c r="BJ4" s="58" t="n">
        <f aca="false">EDATE($C$4,'💰 Revenue'!BJ2)</f>
        <v>48458</v>
      </c>
    </row>
    <row r="5" customFormat="false" ht="13.5" hidden="false" customHeight="true" outlineLevel="0" collapsed="false">
      <c r="A5" s="59" t="s">
        <v>364</v>
      </c>
      <c r="B5" s="59"/>
      <c r="C5" s="59"/>
      <c r="D5" s="59"/>
      <c r="E5" s="59"/>
      <c r="F5" s="59"/>
      <c r="G5" s="59"/>
      <c r="H5" s="59"/>
      <c r="I5" s="59"/>
      <c r="J5" s="59"/>
      <c r="K5" s="59"/>
      <c r="L5" s="59"/>
      <c r="M5" s="59"/>
      <c r="N5" s="59"/>
      <c r="O5" s="59"/>
      <c r="P5" s="59"/>
      <c r="Q5" s="59"/>
      <c r="R5" s="59"/>
      <c r="S5" s="59"/>
      <c r="T5" s="59"/>
      <c r="U5" s="59"/>
      <c r="V5" s="59"/>
      <c r="W5" s="59"/>
      <c r="X5" s="59"/>
      <c r="Y5" s="59"/>
      <c r="Z5" s="59"/>
      <c r="AA5" s="59"/>
      <c r="AB5" s="59"/>
      <c r="AC5" s="59"/>
      <c r="AD5" s="59"/>
      <c r="AE5" s="59"/>
      <c r="AF5" s="59"/>
      <c r="AG5" s="59"/>
      <c r="AH5" s="59"/>
      <c r="AI5" s="59"/>
      <c r="AJ5" s="59"/>
      <c r="AK5" s="59"/>
      <c r="AL5" s="59"/>
      <c r="AM5" s="59"/>
    </row>
    <row r="6" customFormat="false" ht="13.5" hidden="false" customHeight="true" outlineLevel="0" collapsed="false">
      <c r="A6" s="66" t="s">
        <v>234</v>
      </c>
      <c r="B6" s="67" t="n">
        <f aca="false">SUM(C6:BJ6)</f>
        <v>23683668750</v>
      </c>
      <c r="C6" s="101" t="n">
        <f aca="false">'💰 Revenue'!C14</f>
        <v>0</v>
      </c>
      <c r="D6" s="101" t="n">
        <f aca="false">'💰 Revenue'!D14</f>
        <v>0</v>
      </c>
      <c r="E6" s="101" t="n">
        <f aca="false">'💰 Revenue'!E14</f>
        <v>188325000</v>
      </c>
      <c r="F6" s="101" t="n">
        <f aca="false">'💰 Revenue'!F14</f>
        <v>251100000</v>
      </c>
      <c r="G6" s="101" t="n">
        <f aca="false">'💰 Revenue'!G14</f>
        <v>194118750</v>
      </c>
      <c r="H6" s="101" t="n">
        <f aca="false">'💰 Revenue'!H14</f>
        <v>265050000</v>
      </c>
      <c r="I6" s="101" t="n">
        <f aca="false">'💰 Revenue'!I14</f>
        <v>349312500</v>
      </c>
      <c r="J6" s="101" t="n">
        <f aca="false">'💰 Revenue'!J14</f>
        <v>366187500</v>
      </c>
      <c r="K6" s="101" t="n">
        <f aca="false">'💰 Revenue'!K14</f>
        <v>405000000</v>
      </c>
      <c r="L6" s="101" t="n">
        <f aca="false">'💰 Revenue'!L14</f>
        <v>401062500</v>
      </c>
      <c r="M6" s="101" t="n">
        <f aca="false">'💰 Revenue'!M14</f>
        <v>348750000</v>
      </c>
      <c r="N6" s="101" t="n">
        <f aca="false">'💰 Revenue'!N14</f>
        <v>320625000</v>
      </c>
      <c r="O6" s="101" t="n">
        <f aca="false">'💰 Revenue'!O14</f>
        <v>331312500</v>
      </c>
      <c r="P6" s="101" t="n">
        <f aca="false">'💰 Revenue'!P14</f>
        <v>354375000</v>
      </c>
      <c r="Q6" s="101" t="n">
        <f aca="false">'💰 Revenue'!Q14</f>
        <v>418500000</v>
      </c>
      <c r="R6" s="101" t="n">
        <f aca="false">'💰 Revenue'!R14</f>
        <v>418500000</v>
      </c>
      <c r="S6" s="101" t="n">
        <f aca="false">'💰 Revenue'!S14</f>
        <v>321300000</v>
      </c>
      <c r="T6" s="101" t="n">
        <f aca="false">'💰 Revenue'!T14</f>
        <v>397575000</v>
      </c>
      <c r="U6" s="101" t="n">
        <f aca="false">'💰 Revenue'!U14</f>
        <v>465750000</v>
      </c>
      <c r="V6" s="101" t="n">
        <f aca="false">'💰 Revenue'!V14</f>
        <v>439425000</v>
      </c>
      <c r="W6" s="101" t="n">
        <f aca="false">'💰 Revenue'!W14</f>
        <v>486000000</v>
      </c>
      <c r="X6" s="101" t="n">
        <f aca="false">'💰 Revenue'!X14</f>
        <v>481275000</v>
      </c>
      <c r="Y6" s="101" t="n">
        <f aca="false">'💰 Revenue'!Y14</f>
        <v>418500000</v>
      </c>
      <c r="Z6" s="101" t="n">
        <f aca="false">'💰 Revenue'!Z14</f>
        <v>384750000</v>
      </c>
      <c r="AA6" s="101" t="n">
        <f aca="false">'💰 Revenue'!AA14</f>
        <v>397575000</v>
      </c>
      <c r="AB6" s="101" t="n">
        <f aca="false">'💰 Revenue'!AB14</f>
        <v>425250000</v>
      </c>
      <c r="AC6" s="101" t="n">
        <f aca="false">'💰 Revenue'!AC14</f>
        <v>502200000</v>
      </c>
      <c r="AD6" s="101" t="n">
        <f aca="false">'💰 Revenue'!AD14</f>
        <v>502200000</v>
      </c>
      <c r="AE6" s="101" t="n">
        <f aca="false">'💰 Revenue'!AE14</f>
        <v>321300000</v>
      </c>
      <c r="AF6" s="101" t="n">
        <f aca="false">'💰 Revenue'!AF14</f>
        <v>397575000</v>
      </c>
      <c r="AG6" s="101" t="n">
        <f aca="false">'💰 Revenue'!AG14</f>
        <v>465750000</v>
      </c>
      <c r="AH6" s="101" t="n">
        <f aca="false">'💰 Revenue'!AH14</f>
        <v>439425000</v>
      </c>
      <c r="AI6" s="101" t="n">
        <f aca="false">'💰 Revenue'!AI14</f>
        <v>486000000</v>
      </c>
      <c r="AJ6" s="101" t="n">
        <f aca="false">'💰 Revenue'!AJ14</f>
        <v>481275000</v>
      </c>
      <c r="AK6" s="101" t="n">
        <f aca="false">'💰 Revenue'!AK14</f>
        <v>418500000</v>
      </c>
      <c r="AL6" s="101" t="n">
        <f aca="false">'💰 Revenue'!AL14</f>
        <v>384750000</v>
      </c>
      <c r="AM6" s="101" t="n">
        <f aca="false">'💰 Revenue'!AM14</f>
        <v>397575000</v>
      </c>
      <c r="AN6" s="101" t="n">
        <f aca="false">'💰 Revenue'!AN14</f>
        <v>425250000</v>
      </c>
      <c r="AO6" s="101" t="n">
        <f aca="false">'💰 Revenue'!AO14</f>
        <v>502200000</v>
      </c>
      <c r="AP6" s="101" t="n">
        <f aca="false">'💰 Revenue'!AP14</f>
        <v>502200000</v>
      </c>
      <c r="AQ6" s="101" t="n">
        <f aca="false">'💰 Revenue'!AQ14</f>
        <v>321300000</v>
      </c>
      <c r="AR6" s="101" t="n">
        <f aca="false">'💰 Revenue'!AR14</f>
        <v>397575000</v>
      </c>
      <c r="AS6" s="101" t="n">
        <f aca="false">'💰 Revenue'!AS14</f>
        <v>465750000</v>
      </c>
      <c r="AT6" s="101" t="n">
        <f aca="false">'💰 Revenue'!AT14</f>
        <v>439425000</v>
      </c>
      <c r="AU6" s="101" t="n">
        <f aca="false">'💰 Revenue'!AU14</f>
        <v>486000000</v>
      </c>
      <c r="AV6" s="101" t="n">
        <f aca="false">'💰 Revenue'!AV14</f>
        <v>481275000</v>
      </c>
      <c r="AW6" s="101" t="n">
        <f aca="false">'💰 Revenue'!AW14</f>
        <v>418500000</v>
      </c>
      <c r="AX6" s="101" t="n">
        <f aca="false">'💰 Revenue'!AX14</f>
        <v>384750000</v>
      </c>
      <c r="AY6" s="101" t="n">
        <f aca="false">'💰 Revenue'!AY14</f>
        <v>397575000</v>
      </c>
      <c r="AZ6" s="101" t="n">
        <f aca="false">'💰 Revenue'!AZ14</f>
        <v>425250000</v>
      </c>
      <c r="BA6" s="101" t="n">
        <f aca="false">'💰 Revenue'!BA14</f>
        <v>502200000</v>
      </c>
      <c r="BB6" s="101" t="n">
        <f aca="false">'💰 Revenue'!BB14</f>
        <v>502200000</v>
      </c>
      <c r="BC6" s="101" t="n">
        <f aca="false">'💰 Revenue'!BC14</f>
        <v>332775000</v>
      </c>
      <c r="BD6" s="101" t="n">
        <f aca="false">'💰 Revenue'!BD14</f>
        <v>397575000</v>
      </c>
      <c r="BE6" s="101" t="n">
        <f aca="false">'💰 Revenue'!BE14</f>
        <v>465750000</v>
      </c>
      <c r="BF6" s="101" t="n">
        <f aca="false">'💰 Revenue'!BF14</f>
        <v>439425000</v>
      </c>
      <c r="BG6" s="101" t="n">
        <f aca="false">'💰 Revenue'!BG14</f>
        <v>486000000</v>
      </c>
      <c r="BH6" s="101" t="n">
        <f aca="false">'💰 Revenue'!BH14</f>
        <v>481275000</v>
      </c>
      <c r="BI6" s="101" t="n">
        <f aca="false">'💰 Revenue'!BI14</f>
        <v>418500000</v>
      </c>
      <c r="BJ6" s="101" t="n">
        <f aca="false">'💰 Revenue'!BJ14</f>
        <v>384750000</v>
      </c>
    </row>
    <row r="7" customFormat="false" ht="13.5" hidden="false" customHeight="true" outlineLevel="0" collapsed="false">
      <c r="A7" s="37" t="s">
        <v>365</v>
      </c>
      <c r="B7" s="68" t="n">
        <f aca="false">SUM(C7:AL7)</f>
        <v>0</v>
      </c>
      <c r="C7" s="68" t="n">
        <f aca="false">-('💰 Revenue'!C17+'💰 Revenue'!C18)</f>
        <v>-0</v>
      </c>
      <c r="D7" s="68" t="n">
        <f aca="false">-('💰 Revenue'!D17+'💰 Revenue'!D18)</f>
        <v>-0</v>
      </c>
      <c r="E7" s="68" t="n">
        <f aca="false">-('💰 Revenue'!E17+'💰 Revenue'!E18)</f>
        <v>-0</v>
      </c>
      <c r="F7" s="68" t="n">
        <f aca="false">-('💰 Revenue'!F17+'💰 Revenue'!F18)</f>
        <v>-0</v>
      </c>
      <c r="G7" s="68" t="n">
        <f aca="false">-('💰 Revenue'!G17+'💰 Revenue'!G18)</f>
        <v>-0</v>
      </c>
      <c r="H7" s="68" t="n">
        <f aca="false">-('💰 Revenue'!H17+'💰 Revenue'!H18)</f>
        <v>-0</v>
      </c>
      <c r="I7" s="68" t="n">
        <f aca="false">-('💰 Revenue'!I17+'💰 Revenue'!I18)</f>
        <v>-0</v>
      </c>
      <c r="J7" s="68" t="n">
        <f aca="false">-('💰 Revenue'!J17+'💰 Revenue'!J18)</f>
        <v>-0</v>
      </c>
      <c r="K7" s="68" t="n">
        <f aca="false">-('💰 Revenue'!K17+'💰 Revenue'!K18)</f>
        <v>-0</v>
      </c>
      <c r="L7" s="68" t="n">
        <f aca="false">-('💰 Revenue'!L17+'💰 Revenue'!L18)</f>
        <v>-0</v>
      </c>
      <c r="M7" s="68" t="n">
        <f aca="false">-('💰 Revenue'!M17+'💰 Revenue'!M18)</f>
        <v>-0</v>
      </c>
      <c r="N7" s="68" t="n">
        <f aca="false">-('💰 Revenue'!N17+'💰 Revenue'!N18)</f>
        <v>-0</v>
      </c>
      <c r="O7" s="68" t="n">
        <f aca="false">-('💰 Revenue'!O17+'💰 Revenue'!O18)</f>
        <v>-0</v>
      </c>
      <c r="P7" s="68" t="n">
        <f aca="false">-('💰 Revenue'!P17+'💰 Revenue'!P18)</f>
        <v>-0</v>
      </c>
      <c r="Q7" s="68" t="n">
        <f aca="false">-('💰 Revenue'!Q17+'💰 Revenue'!Q18)</f>
        <v>-0</v>
      </c>
      <c r="R7" s="68" t="n">
        <f aca="false">-('💰 Revenue'!R17+'💰 Revenue'!R18)</f>
        <v>-0</v>
      </c>
      <c r="S7" s="68" t="n">
        <f aca="false">-('💰 Revenue'!S17+'💰 Revenue'!S18)</f>
        <v>-0</v>
      </c>
      <c r="T7" s="68" t="n">
        <f aca="false">-('💰 Revenue'!T17+'💰 Revenue'!T18)</f>
        <v>-0</v>
      </c>
      <c r="U7" s="68" t="n">
        <f aca="false">-('💰 Revenue'!U17+'💰 Revenue'!U18)</f>
        <v>-0</v>
      </c>
      <c r="V7" s="68" t="n">
        <f aca="false">-('💰 Revenue'!V17+'💰 Revenue'!V18)</f>
        <v>-0</v>
      </c>
      <c r="W7" s="68" t="n">
        <f aca="false">-('💰 Revenue'!W17+'💰 Revenue'!W18)</f>
        <v>-0</v>
      </c>
      <c r="X7" s="68" t="n">
        <f aca="false">-('💰 Revenue'!X17+'💰 Revenue'!X18)</f>
        <v>-0</v>
      </c>
      <c r="Y7" s="68" t="n">
        <f aca="false">-('💰 Revenue'!Y17+'💰 Revenue'!Y18)</f>
        <v>-0</v>
      </c>
      <c r="Z7" s="68" t="n">
        <f aca="false">-('💰 Revenue'!Z17+'💰 Revenue'!Z18)</f>
        <v>-0</v>
      </c>
      <c r="AA7" s="68" t="n">
        <f aca="false">-('💰 Revenue'!AA17+'💰 Revenue'!AA18)</f>
        <v>-0</v>
      </c>
      <c r="AB7" s="68" t="n">
        <f aca="false">-('💰 Revenue'!AB17+'💰 Revenue'!AB18)</f>
        <v>-0</v>
      </c>
      <c r="AC7" s="68" t="n">
        <f aca="false">-('💰 Revenue'!AC17+'💰 Revenue'!AC18)</f>
        <v>-0</v>
      </c>
      <c r="AD7" s="68" t="n">
        <f aca="false">-('💰 Revenue'!AD17+'💰 Revenue'!AD18)</f>
        <v>-0</v>
      </c>
      <c r="AE7" s="68" t="n">
        <f aca="false">-('💰 Revenue'!AE17+'💰 Revenue'!AE18)</f>
        <v>-0</v>
      </c>
      <c r="AF7" s="68" t="n">
        <f aca="false">-('💰 Revenue'!AF17+'💰 Revenue'!AF18)</f>
        <v>-0</v>
      </c>
      <c r="AG7" s="68" t="n">
        <f aca="false">-('💰 Revenue'!AG17+'💰 Revenue'!AG18)</f>
        <v>-0</v>
      </c>
      <c r="AH7" s="68" t="n">
        <f aca="false">-('💰 Revenue'!AH17+'💰 Revenue'!AH18)</f>
        <v>-0</v>
      </c>
      <c r="AI7" s="68" t="n">
        <f aca="false">-('💰 Revenue'!AI17+'💰 Revenue'!AI18)</f>
        <v>-0</v>
      </c>
      <c r="AJ7" s="68" t="n">
        <f aca="false">-('💰 Revenue'!AJ17+'💰 Revenue'!AJ18)</f>
        <v>-0</v>
      </c>
      <c r="AK7" s="68" t="n">
        <f aca="false">-('💰 Revenue'!AK17+'💰 Revenue'!AK18)</f>
        <v>-0</v>
      </c>
      <c r="AL7" s="68" t="n">
        <f aca="false">-('💰 Revenue'!AL17+'💰 Revenue'!AL18)</f>
        <v>-0</v>
      </c>
      <c r="AM7" s="68" t="n">
        <f aca="false">-('💰 Revenue'!AM17+'💰 Revenue'!AM18)</f>
        <v>-0</v>
      </c>
      <c r="AN7" s="68" t="n">
        <f aca="false">-('💰 Revenue'!AN17+'💰 Revenue'!AN18)</f>
        <v>-0</v>
      </c>
      <c r="AO7" s="68" t="n">
        <f aca="false">-('💰 Revenue'!AO17+'💰 Revenue'!AO18)</f>
        <v>-0</v>
      </c>
      <c r="AP7" s="68" t="n">
        <f aca="false">-('💰 Revenue'!AP17+'💰 Revenue'!AP18)</f>
        <v>-0</v>
      </c>
      <c r="AQ7" s="68" t="n">
        <f aca="false">-('💰 Revenue'!AQ17+'💰 Revenue'!AQ18)</f>
        <v>-0</v>
      </c>
      <c r="AR7" s="68" t="n">
        <f aca="false">-('💰 Revenue'!AR17+'💰 Revenue'!AR18)</f>
        <v>-0</v>
      </c>
      <c r="AS7" s="68" t="n">
        <f aca="false">-('💰 Revenue'!AS17+'💰 Revenue'!AS18)</f>
        <v>-0</v>
      </c>
      <c r="AT7" s="68" t="n">
        <f aca="false">-('💰 Revenue'!AT17+'💰 Revenue'!AT18)</f>
        <v>-0</v>
      </c>
      <c r="AU7" s="68" t="n">
        <f aca="false">-('💰 Revenue'!AU17+'💰 Revenue'!AU18)</f>
        <v>-0</v>
      </c>
      <c r="AV7" s="68" t="n">
        <f aca="false">-('💰 Revenue'!AV17+'💰 Revenue'!AV18)</f>
        <v>-0</v>
      </c>
      <c r="AW7" s="68" t="n">
        <f aca="false">-('💰 Revenue'!AW17+'💰 Revenue'!AW18)</f>
        <v>-0</v>
      </c>
      <c r="AX7" s="68" t="n">
        <f aca="false">-('💰 Revenue'!AX17+'💰 Revenue'!AX18)</f>
        <v>-0</v>
      </c>
      <c r="AY7" s="68" t="n">
        <f aca="false">-('💰 Revenue'!AY17+'💰 Revenue'!AY18)</f>
        <v>-0</v>
      </c>
      <c r="AZ7" s="68" t="n">
        <f aca="false">-('💰 Revenue'!AZ17+'💰 Revenue'!AZ18)</f>
        <v>-0</v>
      </c>
      <c r="BA7" s="68" t="n">
        <f aca="false">-('💰 Revenue'!BA17+'💰 Revenue'!BA18)</f>
        <v>-0</v>
      </c>
      <c r="BB7" s="68" t="n">
        <f aca="false">-('💰 Revenue'!BB17+'💰 Revenue'!BB18)</f>
        <v>-0</v>
      </c>
      <c r="BC7" s="68" t="n">
        <f aca="false">-('💰 Revenue'!BC17+'💰 Revenue'!BC18)</f>
        <v>-0</v>
      </c>
      <c r="BD7" s="68" t="n">
        <f aca="false">-('💰 Revenue'!BD17+'💰 Revenue'!BD18)</f>
        <v>-0</v>
      </c>
      <c r="BE7" s="68" t="n">
        <f aca="false">-('💰 Revenue'!BE17+'💰 Revenue'!BE18)</f>
        <v>-0</v>
      </c>
      <c r="BF7" s="68" t="n">
        <f aca="false">-('💰 Revenue'!BF17+'💰 Revenue'!BF18)</f>
        <v>-0</v>
      </c>
      <c r="BG7" s="68" t="n">
        <f aca="false">-('💰 Revenue'!BG17+'💰 Revenue'!BG18)</f>
        <v>-0</v>
      </c>
      <c r="BH7" s="68" t="n">
        <f aca="false">-('💰 Revenue'!BH17+'💰 Revenue'!BH18)</f>
        <v>-0</v>
      </c>
      <c r="BI7" s="68" t="n">
        <f aca="false">-('💰 Revenue'!BI17+'💰 Revenue'!BI18)</f>
        <v>-0</v>
      </c>
      <c r="BJ7" s="68" t="n">
        <f aca="false">-('💰 Revenue'!BJ17+'💰 Revenue'!BJ18)</f>
        <v>-0</v>
      </c>
    </row>
    <row r="8" customFormat="false" ht="13.5" hidden="false" customHeight="true" outlineLevel="0" collapsed="false">
      <c r="A8" s="69" t="s">
        <v>366</v>
      </c>
      <c r="B8" s="70" t="n">
        <f aca="false">SUM(C8:BJ8)</f>
        <v>23683668750</v>
      </c>
      <c r="C8" s="70" t="n">
        <f aca="false">'💰 Revenue'!C19</f>
        <v>0</v>
      </c>
      <c r="D8" s="70" t="n">
        <f aca="false">'💰 Revenue'!D19</f>
        <v>0</v>
      </c>
      <c r="E8" s="70" t="n">
        <f aca="false">'💰 Revenue'!E19</f>
        <v>188325000</v>
      </c>
      <c r="F8" s="70" t="n">
        <f aca="false">'💰 Revenue'!F19</f>
        <v>251100000</v>
      </c>
      <c r="G8" s="70" t="n">
        <f aca="false">'💰 Revenue'!G19</f>
        <v>194118750</v>
      </c>
      <c r="H8" s="70" t="n">
        <f aca="false">'💰 Revenue'!H19</f>
        <v>265050000</v>
      </c>
      <c r="I8" s="70" t="n">
        <f aca="false">'💰 Revenue'!I19</f>
        <v>349312500</v>
      </c>
      <c r="J8" s="70" t="n">
        <f aca="false">'💰 Revenue'!J19</f>
        <v>366187500</v>
      </c>
      <c r="K8" s="70" t="n">
        <f aca="false">'💰 Revenue'!K19</f>
        <v>405000000</v>
      </c>
      <c r="L8" s="70" t="n">
        <f aca="false">'💰 Revenue'!L19</f>
        <v>401062500</v>
      </c>
      <c r="M8" s="70" t="n">
        <f aca="false">'💰 Revenue'!M19</f>
        <v>348750000</v>
      </c>
      <c r="N8" s="70" t="n">
        <f aca="false">'💰 Revenue'!N19</f>
        <v>320625000</v>
      </c>
      <c r="O8" s="70" t="n">
        <f aca="false">'💰 Revenue'!O19</f>
        <v>331312500</v>
      </c>
      <c r="P8" s="70" t="n">
        <f aca="false">'💰 Revenue'!P19</f>
        <v>354375000</v>
      </c>
      <c r="Q8" s="70" t="n">
        <f aca="false">'💰 Revenue'!Q19</f>
        <v>418500000</v>
      </c>
      <c r="R8" s="70" t="n">
        <f aca="false">'💰 Revenue'!R19</f>
        <v>418500000</v>
      </c>
      <c r="S8" s="70" t="n">
        <f aca="false">'💰 Revenue'!S19</f>
        <v>321300000</v>
      </c>
      <c r="T8" s="70" t="n">
        <f aca="false">'💰 Revenue'!T19</f>
        <v>397575000</v>
      </c>
      <c r="U8" s="70" t="n">
        <f aca="false">'💰 Revenue'!U19</f>
        <v>465750000</v>
      </c>
      <c r="V8" s="70" t="n">
        <f aca="false">'💰 Revenue'!V19</f>
        <v>439425000</v>
      </c>
      <c r="W8" s="70" t="n">
        <f aca="false">'💰 Revenue'!W19</f>
        <v>486000000</v>
      </c>
      <c r="X8" s="70" t="n">
        <f aca="false">'💰 Revenue'!X19</f>
        <v>481275000</v>
      </c>
      <c r="Y8" s="70" t="n">
        <f aca="false">'💰 Revenue'!Y19</f>
        <v>418500000</v>
      </c>
      <c r="Z8" s="70" t="n">
        <f aca="false">'💰 Revenue'!Z19</f>
        <v>384750000</v>
      </c>
      <c r="AA8" s="70" t="n">
        <f aca="false">'💰 Revenue'!AA19</f>
        <v>397575000</v>
      </c>
      <c r="AB8" s="70" t="n">
        <f aca="false">'💰 Revenue'!AB19</f>
        <v>425250000</v>
      </c>
      <c r="AC8" s="70" t="n">
        <f aca="false">'💰 Revenue'!AC19</f>
        <v>502200000</v>
      </c>
      <c r="AD8" s="70" t="n">
        <f aca="false">'💰 Revenue'!AD19</f>
        <v>502200000</v>
      </c>
      <c r="AE8" s="70" t="n">
        <f aca="false">'💰 Revenue'!AE19</f>
        <v>321300000</v>
      </c>
      <c r="AF8" s="70" t="n">
        <f aca="false">'💰 Revenue'!AF19</f>
        <v>397575000</v>
      </c>
      <c r="AG8" s="70" t="n">
        <f aca="false">'💰 Revenue'!AG19</f>
        <v>465750000</v>
      </c>
      <c r="AH8" s="70" t="n">
        <f aca="false">'💰 Revenue'!AH19</f>
        <v>439425000</v>
      </c>
      <c r="AI8" s="70" t="n">
        <f aca="false">'💰 Revenue'!AI19</f>
        <v>486000000</v>
      </c>
      <c r="AJ8" s="70" t="n">
        <f aca="false">'💰 Revenue'!AJ19</f>
        <v>481275000</v>
      </c>
      <c r="AK8" s="70" t="n">
        <f aca="false">'💰 Revenue'!AK19</f>
        <v>418500000</v>
      </c>
      <c r="AL8" s="70" t="n">
        <f aca="false">'💰 Revenue'!AL19</f>
        <v>384750000</v>
      </c>
      <c r="AM8" s="70" t="n">
        <f aca="false">'💰 Revenue'!AM19</f>
        <v>397575000</v>
      </c>
      <c r="AN8" s="70" t="n">
        <f aca="false">'💰 Revenue'!AN19</f>
        <v>425250000</v>
      </c>
      <c r="AO8" s="70" t="n">
        <f aca="false">'💰 Revenue'!AO19</f>
        <v>502200000</v>
      </c>
      <c r="AP8" s="70" t="n">
        <f aca="false">'💰 Revenue'!AP19</f>
        <v>502200000</v>
      </c>
      <c r="AQ8" s="70" t="n">
        <f aca="false">'💰 Revenue'!AQ19</f>
        <v>321300000</v>
      </c>
      <c r="AR8" s="70" t="n">
        <f aca="false">'💰 Revenue'!AR19</f>
        <v>397575000</v>
      </c>
      <c r="AS8" s="70" t="n">
        <f aca="false">'💰 Revenue'!AS19</f>
        <v>465750000</v>
      </c>
      <c r="AT8" s="70" t="n">
        <f aca="false">'💰 Revenue'!AT19</f>
        <v>439425000</v>
      </c>
      <c r="AU8" s="70" t="n">
        <f aca="false">'💰 Revenue'!AU19</f>
        <v>486000000</v>
      </c>
      <c r="AV8" s="70" t="n">
        <f aca="false">'💰 Revenue'!AV19</f>
        <v>481275000</v>
      </c>
      <c r="AW8" s="70" t="n">
        <f aca="false">'💰 Revenue'!AW19</f>
        <v>418500000</v>
      </c>
      <c r="AX8" s="70" t="n">
        <f aca="false">'💰 Revenue'!AX19</f>
        <v>384750000</v>
      </c>
      <c r="AY8" s="70" t="n">
        <f aca="false">'💰 Revenue'!AY19</f>
        <v>397575000</v>
      </c>
      <c r="AZ8" s="70" t="n">
        <f aca="false">'💰 Revenue'!AZ19</f>
        <v>425250000</v>
      </c>
      <c r="BA8" s="70" t="n">
        <f aca="false">'💰 Revenue'!BA19</f>
        <v>502200000</v>
      </c>
      <c r="BB8" s="70" t="n">
        <f aca="false">'💰 Revenue'!BB19</f>
        <v>502200000</v>
      </c>
      <c r="BC8" s="70" t="n">
        <f aca="false">'💰 Revenue'!BC19</f>
        <v>332775000</v>
      </c>
      <c r="BD8" s="70" t="n">
        <f aca="false">'💰 Revenue'!BD19</f>
        <v>397575000</v>
      </c>
      <c r="BE8" s="70" t="n">
        <f aca="false">'💰 Revenue'!BE19</f>
        <v>465750000</v>
      </c>
      <c r="BF8" s="70" t="n">
        <f aca="false">'💰 Revenue'!BF19</f>
        <v>439425000</v>
      </c>
      <c r="BG8" s="70" t="n">
        <f aca="false">'💰 Revenue'!BG19</f>
        <v>486000000</v>
      </c>
      <c r="BH8" s="70" t="n">
        <f aca="false">'💰 Revenue'!BH19</f>
        <v>481275000</v>
      </c>
      <c r="BI8" s="70" t="n">
        <f aca="false">'💰 Revenue'!BI19</f>
        <v>418500000</v>
      </c>
      <c r="BJ8" s="70" t="n">
        <f aca="false">'💰 Revenue'!BJ19</f>
        <v>384750000</v>
      </c>
    </row>
    <row r="9" customFormat="false" ht="13.5" hidden="false" customHeight="true" outlineLevel="0" collapsed="false">
      <c r="A9" s="59" t="s">
        <v>367</v>
      </c>
      <c r="B9" s="59"/>
      <c r="C9" s="59"/>
      <c r="D9" s="59"/>
      <c r="E9" s="59"/>
      <c r="F9" s="59"/>
      <c r="G9" s="59"/>
      <c r="H9" s="59"/>
      <c r="I9" s="59"/>
      <c r="J9" s="59"/>
      <c r="K9" s="59"/>
      <c r="L9" s="59"/>
      <c r="M9" s="59"/>
      <c r="N9" s="59"/>
      <c r="O9" s="59"/>
      <c r="P9" s="59"/>
      <c r="Q9" s="59"/>
      <c r="R9" s="59"/>
      <c r="S9" s="59"/>
      <c r="T9" s="59"/>
      <c r="U9" s="59"/>
      <c r="V9" s="59"/>
      <c r="W9" s="59"/>
      <c r="X9" s="59"/>
      <c r="Y9" s="59"/>
      <c r="Z9" s="59"/>
      <c r="AA9" s="59"/>
      <c r="AB9" s="59"/>
      <c r="AC9" s="59"/>
      <c r="AD9" s="59"/>
      <c r="AE9" s="59"/>
      <c r="AF9" s="59"/>
      <c r="AG9" s="59"/>
      <c r="AH9" s="59"/>
      <c r="AI9" s="59"/>
      <c r="AJ9" s="59"/>
      <c r="AK9" s="59"/>
      <c r="AL9" s="59"/>
      <c r="AM9" s="59"/>
    </row>
    <row r="10" customFormat="false" ht="13.5" hidden="false" customHeight="true" outlineLevel="0" collapsed="false">
      <c r="A10" s="38" t="s">
        <v>368</v>
      </c>
      <c r="B10" s="60" t="n">
        <f aca="false">SUM(C10:BJ10)</f>
        <v>5672928150</v>
      </c>
      <c r="C10" s="60" t="n">
        <f aca="false">'📦 COGS &amp; OpEx'!C6</f>
        <v>0</v>
      </c>
      <c r="D10" s="60" t="n">
        <f aca="false">'📦 COGS &amp; OpEx'!D6</f>
        <v>0</v>
      </c>
      <c r="E10" s="60" t="n">
        <f aca="false">'📦 COGS &amp; OpEx'!E6</f>
        <v>52731000</v>
      </c>
      <c r="F10" s="60" t="n">
        <f aca="false">'📦 COGS &amp; OpEx'!F6</f>
        <v>66290400</v>
      </c>
      <c r="G10" s="60" t="n">
        <f aca="false">'📦 COGS &amp; OpEx'!G6</f>
        <v>51247350</v>
      </c>
      <c r="H10" s="60" t="n">
        <f aca="false">'📦 COGS &amp; OpEx'!H6</f>
        <v>69973200</v>
      </c>
      <c r="I10" s="60" t="n">
        <f aca="false">'📦 COGS &amp; OpEx'!I6</f>
        <v>92218500</v>
      </c>
      <c r="J10" s="60" t="n">
        <f aca="false">'📦 COGS &amp; OpEx'!J6</f>
        <v>96673500</v>
      </c>
      <c r="K10" s="60" t="n">
        <f aca="false">'📦 COGS &amp; OpEx'!K6</f>
        <v>106920000</v>
      </c>
      <c r="L10" s="60" t="n">
        <f aca="false">'📦 COGS &amp; OpEx'!L6</f>
        <v>105880500</v>
      </c>
      <c r="M10" s="60" t="n">
        <f aca="false">'📦 COGS &amp; OpEx'!M6</f>
        <v>92070000</v>
      </c>
      <c r="N10" s="60" t="n">
        <f aca="false">'📦 COGS &amp; OpEx'!N6</f>
        <v>84645000</v>
      </c>
      <c r="O10" s="60" t="n">
        <f aca="false">'📦 COGS &amp; OpEx'!O6</f>
        <v>87466500</v>
      </c>
      <c r="P10" s="60" t="n">
        <f aca="false">'📦 COGS &amp; OpEx'!P6</f>
        <v>93555000</v>
      </c>
      <c r="Q10" s="60" t="n">
        <f aca="false">'📦 COGS &amp; OpEx'!Q6</f>
        <v>110484000</v>
      </c>
      <c r="R10" s="60" t="n">
        <f aca="false">'📦 COGS &amp; OpEx'!R6</f>
        <v>100440000</v>
      </c>
      <c r="S10" s="60" t="n">
        <f aca="false">'📦 COGS &amp; OpEx'!S6</f>
        <v>77112000</v>
      </c>
      <c r="T10" s="60" t="n">
        <f aca="false">'📦 COGS &amp; OpEx'!T6</f>
        <v>95418000</v>
      </c>
      <c r="U10" s="60" t="n">
        <f aca="false">'📦 COGS &amp; OpEx'!U6</f>
        <v>111780000</v>
      </c>
      <c r="V10" s="60" t="n">
        <f aca="false">'📦 COGS &amp; OpEx'!V6</f>
        <v>105462000</v>
      </c>
      <c r="W10" s="60" t="n">
        <f aca="false">'📦 COGS &amp; OpEx'!W6</f>
        <v>116640000</v>
      </c>
      <c r="X10" s="60" t="n">
        <f aca="false">'📦 COGS &amp; OpEx'!X6</f>
        <v>115506000</v>
      </c>
      <c r="Y10" s="60" t="n">
        <f aca="false">'📦 COGS &amp; OpEx'!Y6</f>
        <v>100440000</v>
      </c>
      <c r="Z10" s="60" t="n">
        <f aca="false">'📦 COGS &amp; OpEx'!Z6</f>
        <v>92340000</v>
      </c>
      <c r="AA10" s="60" t="n">
        <f aca="false">'📦 COGS &amp; OpEx'!AA6</f>
        <v>95418000</v>
      </c>
      <c r="AB10" s="60" t="n">
        <f aca="false">'📦 COGS &amp; OpEx'!AB6</f>
        <v>102060000</v>
      </c>
      <c r="AC10" s="60" t="n">
        <f aca="false">'📦 COGS &amp; OpEx'!AC6</f>
        <v>120528000</v>
      </c>
      <c r="AD10" s="60" t="n">
        <f aca="false">'📦 COGS &amp; OpEx'!AD6</f>
        <v>116510400</v>
      </c>
      <c r="AE10" s="60" t="n">
        <f aca="false">'📦 COGS &amp; OpEx'!AE6</f>
        <v>74541600</v>
      </c>
      <c r="AF10" s="60" t="n">
        <f aca="false">'📦 COGS &amp; OpEx'!AF6</f>
        <v>92237400</v>
      </c>
      <c r="AG10" s="60" t="n">
        <f aca="false">'📦 COGS &amp; OpEx'!AG6</f>
        <v>108054000</v>
      </c>
      <c r="AH10" s="60" t="n">
        <f aca="false">'📦 COGS &amp; OpEx'!AH6</f>
        <v>101946600</v>
      </c>
      <c r="AI10" s="60" t="n">
        <f aca="false">'📦 COGS &amp; OpEx'!AI6</f>
        <v>112752000</v>
      </c>
      <c r="AJ10" s="60" t="n">
        <f aca="false">'📦 COGS &amp; OpEx'!AJ6</f>
        <v>111655800</v>
      </c>
      <c r="AK10" s="60" t="n">
        <f aca="false">'📦 COGS &amp; OpEx'!AK6</f>
        <v>97092000</v>
      </c>
      <c r="AL10" s="60" t="n">
        <f aca="false">'📦 COGS &amp; OpEx'!AL6</f>
        <v>89262000</v>
      </c>
      <c r="AM10" s="60" t="n">
        <f aca="false">'📦 COGS &amp; OpEx'!AM6</f>
        <v>92237400</v>
      </c>
      <c r="AN10" s="60" t="n">
        <f aca="false">'📦 COGS &amp; OpEx'!AN6</f>
        <v>98658000</v>
      </c>
      <c r="AO10" s="60" t="n">
        <f aca="false">'📦 COGS &amp; OpEx'!AO6</f>
        <v>116510400</v>
      </c>
      <c r="AP10" s="60" t="n">
        <f aca="false">'📦 COGS &amp; OpEx'!AP6</f>
        <v>116510400</v>
      </c>
      <c r="AQ10" s="60" t="n">
        <f aca="false">'📦 COGS &amp; OpEx'!AQ6</f>
        <v>74541600</v>
      </c>
      <c r="AR10" s="60" t="n">
        <f aca="false">'📦 COGS &amp; OpEx'!AR6</f>
        <v>92237400</v>
      </c>
      <c r="AS10" s="60" t="n">
        <f aca="false">'📦 COGS &amp; OpEx'!AS6</f>
        <v>108054000</v>
      </c>
      <c r="AT10" s="60" t="n">
        <f aca="false">'📦 COGS &amp; OpEx'!AT6</f>
        <v>101946600</v>
      </c>
      <c r="AU10" s="60" t="n">
        <f aca="false">'📦 COGS &amp; OpEx'!AU6</f>
        <v>112752000</v>
      </c>
      <c r="AV10" s="60" t="n">
        <f aca="false">'📦 COGS &amp; OpEx'!AV6</f>
        <v>111655800</v>
      </c>
      <c r="AW10" s="60" t="n">
        <f aca="false">'📦 COGS &amp; OpEx'!AW6</f>
        <v>97092000</v>
      </c>
      <c r="AX10" s="60" t="n">
        <f aca="false">'📦 COGS &amp; OpEx'!AX6</f>
        <v>89262000</v>
      </c>
      <c r="AY10" s="60" t="n">
        <f aca="false">'📦 COGS &amp; OpEx'!AY6</f>
        <v>92237400</v>
      </c>
      <c r="AZ10" s="60" t="n">
        <f aca="false">'📦 COGS &amp; OpEx'!AZ6</f>
        <v>98658000</v>
      </c>
      <c r="BA10" s="60" t="n">
        <f aca="false">'📦 COGS &amp; OpEx'!BA6</f>
        <v>116510400</v>
      </c>
      <c r="BB10" s="60" t="n">
        <f aca="false">'📦 COGS &amp; OpEx'!BB6</f>
        <v>116510400</v>
      </c>
      <c r="BC10" s="60" t="n">
        <f aca="false">'📦 COGS &amp; OpEx'!BC6</f>
        <v>77203800</v>
      </c>
      <c r="BD10" s="60" t="n">
        <f aca="false">'📦 COGS &amp; OpEx'!BD6</f>
        <v>92237400</v>
      </c>
      <c r="BE10" s="60" t="n">
        <f aca="false">'📦 COGS &amp; OpEx'!BE6</f>
        <v>108054000</v>
      </c>
      <c r="BF10" s="60" t="n">
        <f aca="false">'📦 COGS &amp; OpEx'!BF6</f>
        <v>101946600</v>
      </c>
      <c r="BG10" s="60" t="n">
        <f aca="false">'📦 COGS &amp; OpEx'!BG6</f>
        <v>112752000</v>
      </c>
      <c r="BH10" s="60" t="n">
        <f aca="false">'📦 COGS &amp; OpEx'!BH6</f>
        <v>111655800</v>
      </c>
      <c r="BI10" s="60" t="n">
        <f aca="false">'📦 COGS &amp; OpEx'!BI6</f>
        <v>97092000</v>
      </c>
      <c r="BJ10" s="60" t="n">
        <f aca="false">'📦 COGS &amp; OpEx'!BJ6</f>
        <v>89262000</v>
      </c>
    </row>
    <row r="11" customFormat="false" ht="13.5" hidden="false" customHeight="true" outlineLevel="0" collapsed="false">
      <c r="A11" s="66" t="s">
        <v>258</v>
      </c>
      <c r="B11" s="67" t="n">
        <f aca="false">SUM(C11:BJ11)</f>
        <v>5672928150</v>
      </c>
      <c r="C11" s="67" t="n">
        <f aca="false">'📦 COGS &amp; OpEx'!C7</f>
        <v>0</v>
      </c>
      <c r="D11" s="67" t="n">
        <f aca="false">'📦 COGS &amp; OpEx'!D7</f>
        <v>0</v>
      </c>
      <c r="E11" s="67" t="n">
        <f aca="false">'📦 COGS &amp; OpEx'!E7</f>
        <v>52731000</v>
      </c>
      <c r="F11" s="67" t="n">
        <f aca="false">'📦 COGS &amp; OpEx'!F7</f>
        <v>66290400</v>
      </c>
      <c r="G11" s="67" t="n">
        <f aca="false">'📦 COGS &amp; OpEx'!G7</f>
        <v>51247350</v>
      </c>
      <c r="H11" s="67" t="n">
        <f aca="false">'📦 COGS &amp; OpEx'!H7</f>
        <v>69973200</v>
      </c>
      <c r="I11" s="67" t="n">
        <f aca="false">'📦 COGS &amp; OpEx'!I7</f>
        <v>92218500</v>
      </c>
      <c r="J11" s="67" t="n">
        <f aca="false">'📦 COGS &amp; OpEx'!J7</f>
        <v>96673500</v>
      </c>
      <c r="K11" s="67" t="n">
        <f aca="false">'📦 COGS &amp; OpEx'!K7</f>
        <v>106920000</v>
      </c>
      <c r="L11" s="67" t="n">
        <f aca="false">'📦 COGS &amp; OpEx'!L7</f>
        <v>105880500</v>
      </c>
      <c r="M11" s="67" t="n">
        <f aca="false">'📦 COGS &amp; OpEx'!M7</f>
        <v>92070000</v>
      </c>
      <c r="N11" s="67" t="n">
        <f aca="false">'📦 COGS &amp; OpEx'!N7</f>
        <v>84645000</v>
      </c>
      <c r="O11" s="67" t="n">
        <f aca="false">'📦 COGS &amp; OpEx'!O7</f>
        <v>87466500</v>
      </c>
      <c r="P11" s="67" t="n">
        <f aca="false">'📦 COGS &amp; OpEx'!P7</f>
        <v>93555000</v>
      </c>
      <c r="Q11" s="67" t="n">
        <f aca="false">'📦 COGS &amp; OpEx'!Q7</f>
        <v>110484000</v>
      </c>
      <c r="R11" s="67" t="n">
        <f aca="false">'📦 COGS &amp; OpEx'!R7</f>
        <v>100440000</v>
      </c>
      <c r="S11" s="67" t="n">
        <f aca="false">'📦 COGS &amp; OpEx'!S7</f>
        <v>77112000</v>
      </c>
      <c r="T11" s="67" t="n">
        <f aca="false">'📦 COGS &amp; OpEx'!T7</f>
        <v>95418000</v>
      </c>
      <c r="U11" s="67" t="n">
        <f aca="false">'📦 COGS &amp; OpEx'!U7</f>
        <v>111780000</v>
      </c>
      <c r="V11" s="67" t="n">
        <f aca="false">'📦 COGS &amp; OpEx'!V7</f>
        <v>105462000</v>
      </c>
      <c r="W11" s="67" t="n">
        <f aca="false">'📦 COGS &amp; OpEx'!W7</f>
        <v>116640000</v>
      </c>
      <c r="X11" s="67" t="n">
        <f aca="false">'📦 COGS &amp; OpEx'!X7</f>
        <v>115506000</v>
      </c>
      <c r="Y11" s="67" t="n">
        <f aca="false">'📦 COGS &amp; OpEx'!Y7</f>
        <v>100440000</v>
      </c>
      <c r="Z11" s="67" t="n">
        <f aca="false">'📦 COGS &amp; OpEx'!Z7</f>
        <v>92340000</v>
      </c>
      <c r="AA11" s="67" t="n">
        <f aca="false">'📦 COGS &amp; OpEx'!AA7</f>
        <v>95418000</v>
      </c>
      <c r="AB11" s="67" t="n">
        <f aca="false">'📦 COGS &amp; OpEx'!AB7</f>
        <v>102060000</v>
      </c>
      <c r="AC11" s="67" t="n">
        <f aca="false">'📦 COGS &amp; OpEx'!AC7</f>
        <v>120528000</v>
      </c>
      <c r="AD11" s="67" t="n">
        <f aca="false">'📦 COGS &amp; OpEx'!AD7</f>
        <v>116510400</v>
      </c>
      <c r="AE11" s="67" t="n">
        <f aca="false">'📦 COGS &amp; OpEx'!AE7</f>
        <v>74541600</v>
      </c>
      <c r="AF11" s="67" t="n">
        <f aca="false">'📦 COGS &amp; OpEx'!AF7</f>
        <v>92237400</v>
      </c>
      <c r="AG11" s="67" t="n">
        <f aca="false">'📦 COGS &amp; OpEx'!AG7</f>
        <v>108054000</v>
      </c>
      <c r="AH11" s="67" t="n">
        <f aca="false">'📦 COGS &amp; OpEx'!AH7</f>
        <v>101946600</v>
      </c>
      <c r="AI11" s="67" t="n">
        <f aca="false">'📦 COGS &amp; OpEx'!AI7</f>
        <v>112752000</v>
      </c>
      <c r="AJ11" s="67" t="n">
        <f aca="false">'📦 COGS &amp; OpEx'!AJ7</f>
        <v>111655800</v>
      </c>
      <c r="AK11" s="67" t="n">
        <f aca="false">'📦 COGS &amp; OpEx'!AK7</f>
        <v>97092000</v>
      </c>
      <c r="AL11" s="67" t="n">
        <f aca="false">'📦 COGS &amp; OpEx'!AL7</f>
        <v>89262000</v>
      </c>
      <c r="AM11" s="67" t="n">
        <f aca="false">'📦 COGS &amp; OpEx'!AM7</f>
        <v>92237400</v>
      </c>
      <c r="AN11" s="67" t="n">
        <f aca="false">'📦 COGS &amp; OpEx'!AN7</f>
        <v>98658000</v>
      </c>
      <c r="AO11" s="67" t="n">
        <f aca="false">'📦 COGS &amp; OpEx'!AO7</f>
        <v>116510400</v>
      </c>
      <c r="AP11" s="67" t="n">
        <f aca="false">'📦 COGS &amp; OpEx'!AP7</f>
        <v>116510400</v>
      </c>
      <c r="AQ11" s="67" t="n">
        <f aca="false">'📦 COGS &amp; OpEx'!AQ7</f>
        <v>74541600</v>
      </c>
      <c r="AR11" s="67" t="n">
        <f aca="false">'📦 COGS &amp; OpEx'!AR7</f>
        <v>92237400</v>
      </c>
      <c r="AS11" s="67" t="n">
        <f aca="false">'📦 COGS &amp; OpEx'!AS7</f>
        <v>108054000</v>
      </c>
      <c r="AT11" s="67" t="n">
        <f aca="false">'📦 COGS &amp; OpEx'!AT7</f>
        <v>101946600</v>
      </c>
      <c r="AU11" s="67" t="n">
        <f aca="false">'📦 COGS &amp; OpEx'!AU7</f>
        <v>112752000</v>
      </c>
      <c r="AV11" s="67" t="n">
        <f aca="false">'📦 COGS &amp; OpEx'!AV7</f>
        <v>111655800</v>
      </c>
      <c r="AW11" s="67" t="n">
        <f aca="false">'📦 COGS &amp; OpEx'!AW7</f>
        <v>97092000</v>
      </c>
      <c r="AX11" s="67" t="n">
        <f aca="false">'📦 COGS &amp; OpEx'!AX7</f>
        <v>89262000</v>
      </c>
      <c r="AY11" s="67" t="n">
        <f aca="false">'📦 COGS &amp; OpEx'!AY7</f>
        <v>92237400</v>
      </c>
      <c r="AZ11" s="67" t="n">
        <f aca="false">'📦 COGS &amp; OpEx'!AZ7</f>
        <v>98658000</v>
      </c>
      <c r="BA11" s="67" t="n">
        <f aca="false">'📦 COGS &amp; OpEx'!BA7</f>
        <v>116510400</v>
      </c>
      <c r="BB11" s="67" t="n">
        <f aca="false">'📦 COGS &amp; OpEx'!BB7</f>
        <v>116510400</v>
      </c>
      <c r="BC11" s="67" t="n">
        <f aca="false">'📦 COGS &amp; OpEx'!BC7</f>
        <v>77203800</v>
      </c>
      <c r="BD11" s="67" t="n">
        <f aca="false">'📦 COGS &amp; OpEx'!BD7</f>
        <v>92237400</v>
      </c>
      <c r="BE11" s="67" t="n">
        <f aca="false">'📦 COGS &amp; OpEx'!BE7</f>
        <v>108054000</v>
      </c>
      <c r="BF11" s="67" t="n">
        <f aca="false">'📦 COGS &amp; OpEx'!BF7</f>
        <v>101946600</v>
      </c>
      <c r="BG11" s="67" t="n">
        <f aca="false">'📦 COGS &amp; OpEx'!BG7</f>
        <v>112752000</v>
      </c>
      <c r="BH11" s="67" t="n">
        <f aca="false">'📦 COGS &amp; OpEx'!BH7</f>
        <v>111655800</v>
      </c>
      <c r="BI11" s="67" t="n">
        <f aca="false">'📦 COGS &amp; OpEx'!BI7</f>
        <v>97092000</v>
      </c>
      <c r="BJ11" s="67" t="n">
        <f aca="false">'📦 COGS &amp; OpEx'!BJ7</f>
        <v>89262000</v>
      </c>
    </row>
    <row r="12" customFormat="false" ht="13.5" hidden="false" customHeight="true" outlineLevel="0" collapsed="false">
      <c r="A12" s="66" t="s">
        <v>369</v>
      </c>
      <c r="B12" s="67" t="n">
        <f aca="false">SUM(C12:BJ12)</f>
        <v>18010740600</v>
      </c>
      <c r="C12" s="67" t="n">
        <f aca="false">C8-C11</f>
        <v>0</v>
      </c>
      <c r="D12" s="67" t="n">
        <f aca="false">D8-D11</f>
        <v>0</v>
      </c>
      <c r="E12" s="67" t="n">
        <f aca="false">E8-E11</f>
        <v>135594000</v>
      </c>
      <c r="F12" s="67" t="n">
        <f aca="false">F8-F11</f>
        <v>184809600</v>
      </c>
      <c r="G12" s="67" t="n">
        <f aca="false">G8-G11</f>
        <v>142871400</v>
      </c>
      <c r="H12" s="67" t="n">
        <f aca="false">H8-H11</f>
        <v>195076800</v>
      </c>
      <c r="I12" s="67" t="n">
        <f aca="false">I8-I11</f>
        <v>257094000</v>
      </c>
      <c r="J12" s="67" t="n">
        <f aca="false">J8-J11</f>
        <v>269514000</v>
      </c>
      <c r="K12" s="67" t="n">
        <f aca="false">K8-K11</f>
        <v>298080000</v>
      </c>
      <c r="L12" s="67" t="n">
        <f aca="false">L8-L11</f>
        <v>295182000</v>
      </c>
      <c r="M12" s="67" t="n">
        <f aca="false">M8-M11</f>
        <v>256680000</v>
      </c>
      <c r="N12" s="67" t="n">
        <f aca="false">N8-N11</f>
        <v>235980000</v>
      </c>
      <c r="O12" s="67" t="n">
        <f aca="false">O8-O11</f>
        <v>243846000</v>
      </c>
      <c r="P12" s="67" t="n">
        <f aca="false">P8-P11</f>
        <v>260820000</v>
      </c>
      <c r="Q12" s="67" t="n">
        <f aca="false">Q8-Q11</f>
        <v>308016000</v>
      </c>
      <c r="R12" s="67" t="n">
        <f aca="false">R8-R11</f>
        <v>318060000</v>
      </c>
      <c r="S12" s="67" t="n">
        <f aca="false">S8-S11</f>
        <v>244188000</v>
      </c>
      <c r="T12" s="67" t="n">
        <f aca="false">T8-T11</f>
        <v>302157000</v>
      </c>
      <c r="U12" s="67" t="n">
        <f aca="false">U8-U11</f>
        <v>353970000</v>
      </c>
      <c r="V12" s="67" t="n">
        <f aca="false">V8-V11</f>
        <v>333963000</v>
      </c>
      <c r="W12" s="67" t="n">
        <f aca="false">W8-W11</f>
        <v>369360000</v>
      </c>
      <c r="X12" s="67" t="n">
        <f aca="false">X8-X11</f>
        <v>365769000</v>
      </c>
      <c r="Y12" s="67" t="n">
        <f aca="false">Y8-Y11</f>
        <v>318060000</v>
      </c>
      <c r="Z12" s="67" t="n">
        <f aca="false">Z8-Z11</f>
        <v>292410000</v>
      </c>
      <c r="AA12" s="67" t="n">
        <f aca="false">AA8-AA11</f>
        <v>302157000</v>
      </c>
      <c r="AB12" s="67" t="n">
        <f aca="false">AB8-AB11</f>
        <v>323190000</v>
      </c>
      <c r="AC12" s="67" t="n">
        <f aca="false">AC8-AC11</f>
        <v>381672000</v>
      </c>
      <c r="AD12" s="67" t="n">
        <f aca="false">AD8-AD11</f>
        <v>385689600</v>
      </c>
      <c r="AE12" s="67" t="n">
        <f aca="false">AE8-AE11</f>
        <v>246758400</v>
      </c>
      <c r="AF12" s="67" t="n">
        <f aca="false">AF8-AF11</f>
        <v>305337600</v>
      </c>
      <c r="AG12" s="67" t="n">
        <f aca="false">AG8-AG11</f>
        <v>357696000</v>
      </c>
      <c r="AH12" s="67" t="n">
        <f aca="false">AH8-AH11</f>
        <v>337478400</v>
      </c>
      <c r="AI12" s="67" t="n">
        <f aca="false">AI8-AI11</f>
        <v>373248000</v>
      </c>
      <c r="AJ12" s="67" t="n">
        <f aca="false">AJ8-AJ11</f>
        <v>369619200</v>
      </c>
      <c r="AK12" s="67" t="n">
        <f aca="false">AK8-AK11</f>
        <v>321408000</v>
      </c>
      <c r="AL12" s="67" t="n">
        <f aca="false">AL8-AL11</f>
        <v>295488000</v>
      </c>
      <c r="AM12" s="67" t="n">
        <f aca="false">AM8-AM11</f>
        <v>305337600</v>
      </c>
      <c r="AN12" s="67" t="n">
        <f aca="false">AN8-AN11</f>
        <v>326592000</v>
      </c>
      <c r="AO12" s="67" t="n">
        <f aca="false">AO8-AO11</f>
        <v>385689600</v>
      </c>
      <c r="AP12" s="67" t="n">
        <f aca="false">AP8-AP11</f>
        <v>385689600</v>
      </c>
      <c r="AQ12" s="67" t="n">
        <f aca="false">AQ8-AQ11</f>
        <v>246758400</v>
      </c>
      <c r="AR12" s="67" t="n">
        <f aca="false">AR8-AR11</f>
        <v>305337600</v>
      </c>
      <c r="AS12" s="67" t="n">
        <f aca="false">AS8-AS11</f>
        <v>357696000</v>
      </c>
      <c r="AT12" s="67" t="n">
        <f aca="false">AT8-AT11</f>
        <v>337478400</v>
      </c>
      <c r="AU12" s="67" t="n">
        <f aca="false">AU8-AU11</f>
        <v>373248000</v>
      </c>
      <c r="AV12" s="67" t="n">
        <f aca="false">AV8-AV11</f>
        <v>369619200</v>
      </c>
      <c r="AW12" s="67" t="n">
        <f aca="false">AW8-AW11</f>
        <v>321408000</v>
      </c>
      <c r="AX12" s="67" t="n">
        <f aca="false">AX8-AX11</f>
        <v>295488000</v>
      </c>
      <c r="AY12" s="67" t="n">
        <f aca="false">AY8-AY11</f>
        <v>305337600</v>
      </c>
      <c r="AZ12" s="67" t="n">
        <f aca="false">AZ8-AZ11</f>
        <v>326592000</v>
      </c>
      <c r="BA12" s="67" t="n">
        <f aca="false">BA8-BA11</f>
        <v>385689600</v>
      </c>
      <c r="BB12" s="67" t="n">
        <f aca="false">BB8-BB11</f>
        <v>385689600</v>
      </c>
      <c r="BC12" s="67" t="n">
        <f aca="false">BC8-BC11</f>
        <v>255571200</v>
      </c>
      <c r="BD12" s="67" t="n">
        <f aca="false">BD8-BD11</f>
        <v>305337600</v>
      </c>
      <c r="BE12" s="67" t="n">
        <f aca="false">BE8-BE11</f>
        <v>357696000</v>
      </c>
      <c r="BF12" s="67" t="n">
        <f aca="false">BF8-BF11</f>
        <v>337478400</v>
      </c>
      <c r="BG12" s="67" t="n">
        <f aca="false">BG8-BG11</f>
        <v>373248000</v>
      </c>
      <c r="BH12" s="67" t="n">
        <f aca="false">BH8-BH11</f>
        <v>369619200</v>
      </c>
      <c r="BI12" s="67" t="n">
        <f aca="false">BI8-BI11</f>
        <v>321408000</v>
      </c>
      <c r="BJ12" s="67" t="n">
        <f aca="false">BJ8-BJ11</f>
        <v>295488000</v>
      </c>
    </row>
    <row r="13" customFormat="false" ht="13.5" hidden="false" customHeight="true" outlineLevel="0" collapsed="false">
      <c r="A13" s="37" t="s">
        <v>370</v>
      </c>
      <c r="B13" s="80" t="n">
        <f aca="false">AVERAGE(C13:BJ13)</f>
        <v>0.758896551724138</v>
      </c>
      <c r="C13" s="80" t="str">
        <f aca="false">IFERROR(C12/C8,"-")</f>
        <v>-</v>
      </c>
      <c r="D13" s="80" t="str">
        <f aca="false">IFERROR(D12/D8,"-")</f>
        <v>-</v>
      </c>
      <c r="E13" s="80" t="n">
        <f aca="false">IFERROR(E12/E8,"-")</f>
        <v>0.72</v>
      </c>
      <c r="F13" s="80" t="n">
        <f aca="false">IFERROR(F12/F8,"-")</f>
        <v>0.736</v>
      </c>
      <c r="G13" s="80" t="n">
        <f aca="false">IFERROR(G12/G8,"-")</f>
        <v>0.736</v>
      </c>
      <c r="H13" s="80" t="n">
        <f aca="false">IFERROR(H12/H8,"-")</f>
        <v>0.736</v>
      </c>
      <c r="I13" s="80" t="n">
        <f aca="false">IFERROR(I12/I8,"-")</f>
        <v>0.736</v>
      </c>
      <c r="J13" s="80" t="n">
        <f aca="false">IFERROR(J12/J8,"-")</f>
        <v>0.736</v>
      </c>
      <c r="K13" s="80" t="n">
        <f aca="false">IFERROR(K12/K8,"-")</f>
        <v>0.736</v>
      </c>
      <c r="L13" s="80" t="n">
        <f aca="false">IFERROR(L12/L8,"-")</f>
        <v>0.736</v>
      </c>
      <c r="M13" s="80" t="n">
        <f aca="false">IFERROR(M12/M8,"-")</f>
        <v>0.736</v>
      </c>
      <c r="N13" s="80" t="n">
        <f aca="false">IFERROR(N12/N8,"-")</f>
        <v>0.736</v>
      </c>
      <c r="O13" s="80" t="n">
        <f aca="false">IFERROR(O12/O8,"-")</f>
        <v>0.736</v>
      </c>
      <c r="P13" s="80" t="n">
        <f aca="false">IFERROR(P12/P8,"-")</f>
        <v>0.736</v>
      </c>
      <c r="Q13" s="80" t="n">
        <f aca="false">IFERROR(Q12/Q8,"-")</f>
        <v>0.736</v>
      </c>
      <c r="R13" s="80" t="n">
        <f aca="false">IFERROR(R12/R8,"-")</f>
        <v>0.76</v>
      </c>
      <c r="S13" s="80" t="n">
        <f aca="false">IFERROR(S12/S8,"-")</f>
        <v>0.76</v>
      </c>
      <c r="T13" s="80" t="n">
        <f aca="false">IFERROR(T12/T8,"-")</f>
        <v>0.76</v>
      </c>
      <c r="U13" s="80" t="n">
        <f aca="false">IFERROR(U12/U8,"-")</f>
        <v>0.76</v>
      </c>
      <c r="V13" s="80" t="n">
        <f aca="false">IFERROR(V12/V8,"-")</f>
        <v>0.76</v>
      </c>
      <c r="W13" s="80" t="n">
        <f aca="false">IFERROR(W12/W8,"-")</f>
        <v>0.76</v>
      </c>
      <c r="X13" s="80" t="n">
        <f aca="false">IFERROR(X12/X8,"-")</f>
        <v>0.76</v>
      </c>
      <c r="Y13" s="80" t="n">
        <f aca="false">IFERROR(Y12/Y8,"-")</f>
        <v>0.76</v>
      </c>
      <c r="Z13" s="80" t="n">
        <f aca="false">IFERROR(Z12/Z8,"-")</f>
        <v>0.76</v>
      </c>
      <c r="AA13" s="80" t="n">
        <f aca="false">IFERROR(AA12/AA8,"-")</f>
        <v>0.76</v>
      </c>
      <c r="AB13" s="80" t="n">
        <f aca="false">IFERROR(AB12/AB8,"-")</f>
        <v>0.76</v>
      </c>
      <c r="AC13" s="80" t="n">
        <f aca="false">IFERROR(AC12/AC8,"-")</f>
        <v>0.76</v>
      </c>
      <c r="AD13" s="80" t="n">
        <f aca="false">IFERROR(AD12/AD8,"-")</f>
        <v>0.768</v>
      </c>
      <c r="AE13" s="80" t="n">
        <f aca="false">IFERROR(AE12/AE8,"-")</f>
        <v>0.768</v>
      </c>
      <c r="AF13" s="80" t="n">
        <f aca="false">IFERROR(AF12/AF8,"-")</f>
        <v>0.768</v>
      </c>
      <c r="AG13" s="80" t="n">
        <f aca="false">IFERROR(AG12/AG8,"-")</f>
        <v>0.768</v>
      </c>
      <c r="AH13" s="80" t="n">
        <f aca="false">IFERROR(AH12/AH8,"-")</f>
        <v>0.768</v>
      </c>
      <c r="AI13" s="80" t="n">
        <f aca="false">IFERROR(AI12/AI8,"-")</f>
        <v>0.768</v>
      </c>
      <c r="AJ13" s="80" t="n">
        <f aca="false">IFERROR(AJ12/AJ8,"-")</f>
        <v>0.768</v>
      </c>
      <c r="AK13" s="80" t="n">
        <f aca="false">IFERROR(AK12/AK8,"-")</f>
        <v>0.768</v>
      </c>
      <c r="AL13" s="80" t="n">
        <f aca="false">IFERROR(AL12/AL8,"-")</f>
        <v>0.768</v>
      </c>
      <c r="AM13" s="80" t="n">
        <f aca="false">IFERROR(AM12/AM8,"-")</f>
        <v>0.768</v>
      </c>
      <c r="AN13" s="80" t="n">
        <f aca="false">IFERROR(AN12/AN8,"-")</f>
        <v>0.768</v>
      </c>
      <c r="AO13" s="80" t="n">
        <f aca="false">IFERROR(AO12/AO8,"-")</f>
        <v>0.768</v>
      </c>
      <c r="AP13" s="80" t="n">
        <f aca="false">IFERROR(AP12/AP8,"-")</f>
        <v>0.768</v>
      </c>
      <c r="AQ13" s="80" t="n">
        <f aca="false">IFERROR(AQ12/AQ8,"-")</f>
        <v>0.768</v>
      </c>
      <c r="AR13" s="80" t="n">
        <f aca="false">IFERROR(AR12/AR8,"-")</f>
        <v>0.768</v>
      </c>
      <c r="AS13" s="80" t="n">
        <f aca="false">IFERROR(AS12/AS8,"-")</f>
        <v>0.768</v>
      </c>
      <c r="AT13" s="80" t="n">
        <f aca="false">IFERROR(AT12/AT8,"-")</f>
        <v>0.768</v>
      </c>
      <c r="AU13" s="80" t="n">
        <f aca="false">IFERROR(AU12/AU8,"-")</f>
        <v>0.768</v>
      </c>
      <c r="AV13" s="80" t="n">
        <f aca="false">IFERROR(AV12/AV8,"-")</f>
        <v>0.768</v>
      </c>
      <c r="AW13" s="80" t="n">
        <f aca="false">IFERROR(AW12/AW8,"-")</f>
        <v>0.768</v>
      </c>
      <c r="AX13" s="80" t="n">
        <f aca="false">IFERROR(AX12/AX8,"-")</f>
        <v>0.768</v>
      </c>
      <c r="AY13" s="80" t="n">
        <f aca="false">IFERROR(AY12/AY8,"-")</f>
        <v>0.768</v>
      </c>
      <c r="AZ13" s="80" t="n">
        <f aca="false">IFERROR(AZ12/AZ8,"-")</f>
        <v>0.768</v>
      </c>
      <c r="BA13" s="80" t="n">
        <f aca="false">IFERROR(BA12/BA8,"-")</f>
        <v>0.768</v>
      </c>
      <c r="BB13" s="80" t="n">
        <f aca="false">IFERROR(BB12/BB8,"-")</f>
        <v>0.768</v>
      </c>
      <c r="BC13" s="80" t="n">
        <f aca="false">IFERROR(BC12/BC8,"-")</f>
        <v>0.768</v>
      </c>
      <c r="BD13" s="80" t="n">
        <f aca="false">IFERROR(BD12/BD8,"-")</f>
        <v>0.768</v>
      </c>
      <c r="BE13" s="80" t="n">
        <f aca="false">IFERROR(BE12/BE8,"-")</f>
        <v>0.768</v>
      </c>
      <c r="BF13" s="80" t="n">
        <f aca="false">IFERROR(BF12/BF8,"-")</f>
        <v>0.768</v>
      </c>
      <c r="BG13" s="80" t="n">
        <f aca="false">IFERROR(BG12/BG8,"-")</f>
        <v>0.768</v>
      </c>
      <c r="BH13" s="80" t="n">
        <f aca="false">IFERROR(BH12/BH8,"-")</f>
        <v>0.768</v>
      </c>
      <c r="BI13" s="80" t="n">
        <f aca="false">IFERROR(BI12/BI8,"-")</f>
        <v>0.768</v>
      </c>
      <c r="BJ13" s="80" t="n">
        <f aca="false">IFERROR(BJ12/BJ8,"-")</f>
        <v>0.768</v>
      </c>
    </row>
    <row r="14" customFormat="false" ht="13.5" hidden="false" customHeight="true" outlineLevel="0" collapsed="false">
      <c r="A14" s="59" t="s">
        <v>371</v>
      </c>
      <c r="B14" s="59"/>
      <c r="C14" s="59"/>
      <c r="D14" s="59"/>
      <c r="E14" s="59"/>
      <c r="F14" s="59"/>
      <c r="G14" s="59"/>
      <c r="H14" s="59"/>
      <c r="I14" s="59"/>
      <c r="J14" s="59"/>
      <c r="K14" s="59"/>
      <c r="L14" s="59"/>
      <c r="M14" s="59"/>
      <c r="N14" s="59"/>
      <c r="O14" s="59"/>
      <c r="P14" s="59"/>
      <c r="Q14" s="59"/>
      <c r="R14" s="59"/>
      <c r="S14" s="59"/>
      <c r="T14" s="59"/>
      <c r="U14" s="59"/>
      <c r="V14" s="59"/>
      <c r="W14" s="59"/>
      <c r="X14" s="59"/>
      <c r="Y14" s="59"/>
      <c r="Z14" s="59"/>
      <c r="AA14" s="59"/>
      <c r="AB14" s="59"/>
      <c r="AC14" s="59"/>
      <c r="AD14" s="59"/>
      <c r="AE14" s="59"/>
      <c r="AF14" s="59"/>
      <c r="AG14" s="59"/>
      <c r="AH14" s="59"/>
      <c r="AI14" s="59"/>
      <c r="AJ14" s="59"/>
      <c r="AK14" s="59"/>
      <c r="AL14" s="59"/>
      <c r="AM14" s="59"/>
    </row>
    <row r="15" customFormat="false" ht="13.5" hidden="false" customHeight="true" outlineLevel="0" collapsed="false">
      <c r="A15" s="37" t="s">
        <v>372</v>
      </c>
      <c r="B15" s="68" t="n">
        <f aca="false">SUM(C15:BJ15)</f>
        <v>3392500000</v>
      </c>
      <c r="C15" s="68" t="n">
        <f aca="false">'📦 COGS &amp; OpEx'!D8</f>
        <v>0</v>
      </c>
      <c r="D15" s="68" t="n">
        <f aca="false">'📦 COGS &amp; OpEx'!D9</f>
        <v>57500000</v>
      </c>
      <c r="E15" s="68" t="n">
        <f aca="false">'📦 COGS &amp; OpEx'!E9</f>
        <v>57500000</v>
      </c>
      <c r="F15" s="68" t="n">
        <f aca="false">'📦 COGS &amp; OpEx'!F9</f>
        <v>57500000</v>
      </c>
      <c r="G15" s="68" t="n">
        <f aca="false">'📦 COGS &amp; OpEx'!G9</f>
        <v>57500000</v>
      </c>
      <c r="H15" s="68" t="n">
        <f aca="false">'📦 COGS &amp; OpEx'!H9</f>
        <v>57500000</v>
      </c>
      <c r="I15" s="68" t="n">
        <f aca="false">'📦 COGS &amp; OpEx'!I9</f>
        <v>57500000</v>
      </c>
      <c r="J15" s="68" t="n">
        <f aca="false">'📦 COGS &amp; OpEx'!J9</f>
        <v>57500000</v>
      </c>
      <c r="K15" s="68" t="n">
        <f aca="false">'📦 COGS &amp; OpEx'!K9</f>
        <v>57500000</v>
      </c>
      <c r="L15" s="68" t="n">
        <f aca="false">'📦 COGS &amp; OpEx'!L9</f>
        <v>57500000</v>
      </c>
      <c r="M15" s="68" t="n">
        <f aca="false">'📦 COGS &amp; OpEx'!M9</f>
        <v>57500000</v>
      </c>
      <c r="N15" s="68" t="n">
        <f aca="false">'📦 COGS &amp; OpEx'!N9</f>
        <v>57500000</v>
      </c>
      <c r="O15" s="68" t="n">
        <f aca="false">'📦 COGS &amp; OpEx'!O9</f>
        <v>57500000</v>
      </c>
      <c r="P15" s="68" t="n">
        <f aca="false">'📦 COGS &amp; OpEx'!P9</f>
        <v>57500000</v>
      </c>
      <c r="Q15" s="68" t="n">
        <f aca="false">'📦 COGS &amp; OpEx'!Q9</f>
        <v>57500000</v>
      </c>
      <c r="R15" s="68" t="n">
        <f aca="false">'📦 COGS &amp; OpEx'!R9</f>
        <v>57500000</v>
      </c>
      <c r="S15" s="68" t="n">
        <f aca="false">'📦 COGS &amp; OpEx'!S9</f>
        <v>57500000</v>
      </c>
      <c r="T15" s="68" t="n">
        <f aca="false">'📦 COGS &amp; OpEx'!T9</f>
        <v>57500000</v>
      </c>
      <c r="U15" s="68" t="n">
        <f aca="false">'📦 COGS &amp; OpEx'!U9</f>
        <v>57500000</v>
      </c>
      <c r="V15" s="68" t="n">
        <f aca="false">'📦 COGS &amp; OpEx'!V9</f>
        <v>57500000</v>
      </c>
      <c r="W15" s="68" t="n">
        <f aca="false">'📦 COGS &amp; OpEx'!W9</f>
        <v>57500000</v>
      </c>
      <c r="X15" s="68" t="n">
        <f aca="false">'📦 COGS &amp; OpEx'!X9</f>
        <v>57500000</v>
      </c>
      <c r="Y15" s="68" t="n">
        <f aca="false">'📦 COGS &amp; OpEx'!Y9</f>
        <v>57500000</v>
      </c>
      <c r="Z15" s="68" t="n">
        <f aca="false">'📦 COGS &amp; OpEx'!Z9</f>
        <v>57500000</v>
      </c>
      <c r="AA15" s="68" t="n">
        <f aca="false">'📦 COGS &amp; OpEx'!AA9</f>
        <v>57500000</v>
      </c>
      <c r="AB15" s="68" t="n">
        <f aca="false">'📦 COGS &amp; OpEx'!AB9</f>
        <v>57500000</v>
      </c>
      <c r="AC15" s="68" t="n">
        <f aca="false">'📦 COGS &amp; OpEx'!AC9</f>
        <v>57500000</v>
      </c>
      <c r="AD15" s="68" t="n">
        <f aca="false">'📦 COGS &amp; OpEx'!AD9</f>
        <v>57500000</v>
      </c>
      <c r="AE15" s="68" t="n">
        <f aca="false">'📦 COGS &amp; OpEx'!AE9</f>
        <v>57500000</v>
      </c>
      <c r="AF15" s="68" t="n">
        <f aca="false">'📦 COGS &amp; OpEx'!AF9</f>
        <v>57500000</v>
      </c>
      <c r="AG15" s="68" t="n">
        <f aca="false">'📦 COGS &amp; OpEx'!AG9</f>
        <v>57500000</v>
      </c>
      <c r="AH15" s="68" t="n">
        <f aca="false">'📦 COGS &amp; OpEx'!AH9</f>
        <v>57500000</v>
      </c>
      <c r="AI15" s="68" t="n">
        <f aca="false">'📦 COGS &amp; OpEx'!AI9</f>
        <v>57500000</v>
      </c>
      <c r="AJ15" s="68" t="n">
        <f aca="false">'📦 COGS &amp; OpEx'!AJ9</f>
        <v>57500000</v>
      </c>
      <c r="AK15" s="68" t="n">
        <f aca="false">'📦 COGS &amp; OpEx'!AK9</f>
        <v>57500000</v>
      </c>
      <c r="AL15" s="68" t="n">
        <f aca="false">'📦 COGS &amp; OpEx'!AL9</f>
        <v>57500000</v>
      </c>
      <c r="AM15" s="68" t="n">
        <f aca="false">'📦 COGS &amp; OpEx'!AM9</f>
        <v>57500000</v>
      </c>
      <c r="AN15" s="68" t="n">
        <f aca="false">'📦 COGS &amp; OpEx'!AN9</f>
        <v>57500000</v>
      </c>
      <c r="AO15" s="68" t="n">
        <f aca="false">'📦 COGS &amp; OpEx'!AO9</f>
        <v>57500000</v>
      </c>
      <c r="AP15" s="68" t="n">
        <f aca="false">'📦 COGS &amp; OpEx'!AP9</f>
        <v>57500000</v>
      </c>
      <c r="AQ15" s="68" t="n">
        <f aca="false">'📦 COGS &amp; OpEx'!AQ9</f>
        <v>57500000</v>
      </c>
      <c r="AR15" s="68" t="n">
        <f aca="false">'📦 COGS &amp; OpEx'!AR9</f>
        <v>57500000</v>
      </c>
      <c r="AS15" s="68" t="n">
        <f aca="false">'📦 COGS &amp; OpEx'!AS9</f>
        <v>57500000</v>
      </c>
      <c r="AT15" s="68" t="n">
        <f aca="false">'📦 COGS &amp; OpEx'!AT9</f>
        <v>57500000</v>
      </c>
      <c r="AU15" s="68" t="n">
        <f aca="false">'📦 COGS &amp; OpEx'!AU9</f>
        <v>57500000</v>
      </c>
      <c r="AV15" s="68" t="n">
        <f aca="false">'📦 COGS &amp; OpEx'!AV9</f>
        <v>57500000</v>
      </c>
      <c r="AW15" s="68" t="n">
        <f aca="false">'📦 COGS &amp; OpEx'!AW9</f>
        <v>57500000</v>
      </c>
      <c r="AX15" s="68" t="n">
        <f aca="false">'📦 COGS &amp; OpEx'!AX9</f>
        <v>57500000</v>
      </c>
      <c r="AY15" s="68" t="n">
        <f aca="false">'📦 COGS &amp; OpEx'!AY9</f>
        <v>57500000</v>
      </c>
      <c r="AZ15" s="68" t="n">
        <f aca="false">'📦 COGS &amp; OpEx'!AZ9</f>
        <v>57500000</v>
      </c>
      <c r="BA15" s="68" t="n">
        <f aca="false">'📦 COGS &amp; OpEx'!BA9</f>
        <v>57500000</v>
      </c>
      <c r="BB15" s="68" t="n">
        <f aca="false">'📦 COGS &amp; OpEx'!BB9</f>
        <v>57500000</v>
      </c>
      <c r="BC15" s="68" t="n">
        <f aca="false">'📦 COGS &amp; OpEx'!BC9</f>
        <v>57500000</v>
      </c>
      <c r="BD15" s="68" t="n">
        <f aca="false">'📦 COGS &amp; OpEx'!BD9</f>
        <v>57500000</v>
      </c>
      <c r="BE15" s="68" t="n">
        <f aca="false">'📦 COGS &amp; OpEx'!BE9</f>
        <v>57500000</v>
      </c>
      <c r="BF15" s="68" t="n">
        <f aca="false">'📦 COGS &amp; OpEx'!BF9</f>
        <v>57500000</v>
      </c>
      <c r="BG15" s="68" t="n">
        <f aca="false">'📦 COGS &amp; OpEx'!BG9</f>
        <v>57500000</v>
      </c>
      <c r="BH15" s="68" t="n">
        <f aca="false">'📦 COGS &amp; OpEx'!BH9</f>
        <v>57500000</v>
      </c>
      <c r="BI15" s="68" t="n">
        <f aca="false">'📦 COGS &amp; OpEx'!BI9</f>
        <v>57500000</v>
      </c>
      <c r="BJ15" s="68" t="n">
        <f aca="false">'📦 COGS &amp; OpEx'!BJ9</f>
        <v>57500000</v>
      </c>
    </row>
    <row r="16" customFormat="false" ht="13.5" hidden="false" customHeight="true" outlineLevel="0" collapsed="false">
      <c r="A16" s="38" t="s">
        <v>373</v>
      </c>
      <c r="B16" s="68" t="n">
        <f aca="false">SUM(C16:BJ16)</f>
        <v>2229652000</v>
      </c>
      <c r="C16" s="60" t="n">
        <f aca="false">'📦 COGS &amp; OpEx'!C17</f>
        <v>0</v>
      </c>
      <c r="D16" s="60" t="n">
        <f aca="false">'📦 COGS &amp; OpEx'!D17</f>
        <v>0</v>
      </c>
      <c r="E16" s="60" t="n">
        <f aca="false">'📦 COGS &amp; OpEx'!E17</f>
        <v>28276000</v>
      </c>
      <c r="F16" s="60" t="n">
        <f aca="false">'📦 COGS &amp; OpEx'!F17</f>
        <v>28276000</v>
      </c>
      <c r="G16" s="60" t="n">
        <f aca="false">'📦 COGS &amp; OpEx'!G17</f>
        <v>33226000</v>
      </c>
      <c r="H16" s="60" t="n">
        <f aca="false">'📦 COGS &amp; OpEx'!H17</f>
        <v>34414000</v>
      </c>
      <c r="I16" s="60" t="n">
        <f aca="false">'📦 COGS &amp; OpEx'!I17</f>
        <v>33820000</v>
      </c>
      <c r="J16" s="60" t="n">
        <f aca="false">'📦 COGS &amp; OpEx'!J17</f>
        <v>34414000</v>
      </c>
      <c r="K16" s="60" t="n">
        <f aca="false">'📦 COGS &amp; OpEx'!K17</f>
        <v>33820000</v>
      </c>
      <c r="L16" s="60" t="n">
        <f aca="false">'📦 COGS &amp; OpEx'!L17</f>
        <v>34414000</v>
      </c>
      <c r="M16" s="60" t="n">
        <f aca="false">'📦 COGS &amp; OpEx'!M17</f>
        <v>34414000</v>
      </c>
      <c r="N16" s="60" t="n">
        <f aca="false">'📦 COGS &amp; OpEx'!N17</f>
        <v>33820000</v>
      </c>
      <c r="O16" s="60" t="n">
        <f aca="false">'📦 COGS &amp; OpEx'!O17</f>
        <v>34414000</v>
      </c>
      <c r="P16" s="60" t="n">
        <f aca="false">'📦 COGS &amp; OpEx'!P17</f>
        <v>33820000</v>
      </c>
      <c r="Q16" s="60" t="n">
        <f aca="false">'📦 COGS &amp; OpEx'!Q17</f>
        <v>34414000</v>
      </c>
      <c r="R16" s="60" t="n">
        <f aca="false">'📦 COGS &amp; OpEx'!R17</f>
        <v>34414000</v>
      </c>
      <c r="S16" s="60" t="n">
        <f aca="false">'📦 COGS &amp; OpEx'!S17</f>
        <v>38176000</v>
      </c>
      <c r="T16" s="60" t="n">
        <f aca="false">'📦 COGS &amp; OpEx'!T17</f>
        <v>40552000</v>
      </c>
      <c r="U16" s="60" t="n">
        <f aca="false">'📦 COGS &amp; OpEx'!U17</f>
        <v>39760000</v>
      </c>
      <c r="V16" s="60" t="n">
        <f aca="false">'📦 COGS &amp; OpEx'!V17</f>
        <v>40552000</v>
      </c>
      <c r="W16" s="60" t="n">
        <f aca="false">'📦 COGS &amp; OpEx'!W17</f>
        <v>39760000</v>
      </c>
      <c r="X16" s="60" t="n">
        <f aca="false">'📦 COGS &amp; OpEx'!X17</f>
        <v>40552000</v>
      </c>
      <c r="Y16" s="60" t="n">
        <f aca="false">'📦 COGS &amp; OpEx'!Y17</f>
        <v>40552000</v>
      </c>
      <c r="Z16" s="60" t="n">
        <f aca="false">'📦 COGS &amp; OpEx'!Z17</f>
        <v>39760000</v>
      </c>
      <c r="AA16" s="60" t="n">
        <f aca="false">'📦 COGS &amp; OpEx'!AA17</f>
        <v>40552000</v>
      </c>
      <c r="AB16" s="60" t="n">
        <f aca="false">'📦 COGS &amp; OpEx'!AB17</f>
        <v>39760000</v>
      </c>
      <c r="AC16" s="60" t="n">
        <f aca="false">'📦 COGS &amp; OpEx'!AC17</f>
        <v>40552000</v>
      </c>
      <c r="AD16" s="60" t="n">
        <f aca="false">'📦 COGS &amp; OpEx'!AD17</f>
        <v>40552000</v>
      </c>
      <c r="AE16" s="60" t="n">
        <f aca="false">'📦 COGS &amp; OpEx'!AE17</f>
        <v>38176000</v>
      </c>
      <c r="AF16" s="60" t="n">
        <f aca="false">'📦 COGS &amp; OpEx'!AF17</f>
        <v>40552000</v>
      </c>
      <c r="AG16" s="60" t="n">
        <f aca="false">'📦 COGS &amp; OpEx'!AG17</f>
        <v>39760000</v>
      </c>
      <c r="AH16" s="60" t="n">
        <f aca="false">'📦 COGS &amp; OpEx'!AH17</f>
        <v>40552000</v>
      </c>
      <c r="AI16" s="60" t="n">
        <f aca="false">'📦 COGS &amp; OpEx'!AI17</f>
        <v>39760000</v>
      </c>
      <c r="AJ16" s="60" t="n">
        <f aca="false">'📦 COGS &amp; OpEx'!AJ17</f>
        <v>40552000</v>
      </c>
      <c r="AK16" s="60" t="n">
        <f aca="false">'📦 COGS &amp; OpEx'!AK17</f>
        <v>40552000</v>
      </c>
      <c r="AL16" s="60" t="n">
        <f aca="false">'📦 COGS &amp; OpEx'!AL17</f>
        <v>39760000</v>
      </c>
      <c r="AM16" s="60" t="n">
        <f aca="false">'📦 COGS &amp; OpEx'!AM17</f>
        <v>40552000</v>
      </c>
      <c r="AN16" s="60" t="n">
        <f aca="false">'📦 COGS &amp; OpEx'!AN17</f>
        <v>39760000</v>
      </c>
      <c r="AO16" s="60" t="n">
        <f aca="false">'📦 COGS &amp; OpEx'!AO17</f>
        <v>40552000</v>
      </c>
      <c r="AP16" s="60" t="n">
        <f aca="false">'📦 COGS &amp; OpEx'!AP17</f>
        <v>40552000</v>
      </c>
      <c r="AQ16" s="60" t="n">
        <f aca="false">'📦 COGS &amp; OpEx'!AQ17</f>
        <v>38176000</v>
      </c>
      <c r="AR16" s="60" t="n">
        <f aca="false">'📦 COGS &amp; OpEx'!AR17</f>
        <v>40552000</v>
      </c>
      <c r="AS16" s="60" t="n">
        <f aca="false">'📦 COGS &amp; OpEx'!AS17</f>
        <v>39760000</v>
      </c>
      <c r="AT16" s="60" t="n">
        <f aca="false">'📦 COGS &amp; OpEx'!AT17</f>
        <v>40552000</v>
      </c>
      <c r="AU16" s="60" t="n">
        <f aca="false">'📦 COGS &amp; OpEx'!AU17</f>
        <v>39760000</v>
      </c>
      <c r="AV16" s="60" t="n">
        <f aca="false">'📦 COGS &amp; OpEx'!AV17</f>
        <v>40552000</v>
      </c>
      <c r="AW16" s="60" t="n">
        <f aca="false">'📦 COGS &amp; OpEx'!AW17</f>
        <v>40552000</v>
      </c>
      <c r="AX16" s="60" t="n">
        <f aca="false">'📦 COGS &amp; OpEx'!AX17</f>
        <v>39760000</v>
      </c>
      <c r="AY16" s="60" t="n">
        <f aca="false">'📦 COGS &amp; OpEx'!AY17</f>
        <v>40552000</v>
      </c>
      <c r="AZ16" s="60" t="n">
        <f aca="false">'📦 COGS &amp; OpEx'!AZ17</f>
        <v>39760000</v>
      </c>
      <c r="BA16" s="60" t="n">
        <f aca="false">'📦 COGS &amp; OpEx'!BA17</f>
        <v>40552000</v>
      </c>
      <c r="BB16" s="60" t="n">
        <f aca="false">'📦 COGS &amp; OpEx'!BB17</f>
        <v>40552000</v>
      </c>
      <c r="BC16" s="60" t="n">
        <f aca="false">'📦 COGS &amp; OpEx'!BC17</f>
        <v>38968000</v>
      </c>
      <c r="BD16" s="60" t="n">
        <f aca="false">'📦 COGS &amp; OpEx'!BD17</f>
        <v>40552000</v>
      </c>
      <c r="BE16" s="60" t="n">
        <f aca="false">'📦 COGS &amp; OpEx'!BE17</f>
        <v>39760000</v>
      </c>
      <c r="BF16" s="60" t="n">
        <f aca="false">'📦 COGS &amp; OpEx'!BF17</f>
        <v>40552000</v>
      </c>
      <c r="BG16" s="60" t="n">
        <f aca="false">'📦 COGS &amp; OpEx'!BG17</f>
        <v>39760000</v>
      </c>
      <c r="BH16" s="60" t="n">
        <f aca="false">'📦 COGS &amp; OpEx'!BH17</f>
        <v>40552000</v>
      </c>
      <c r="BI16" s="60" t="n">
        <f aca="false">'📦 COGS &amp; OpEx'!BI17</f>
        <v>40552000</v>
      </c>
      <c r="BJ16" s="60" t="n">
        <f aca="false">'📦 COGS &amp; OpEx'!BJ17</f>
        <v>39760000</v>
      </c>
    </row>
    <row r="17" customFormat="false" ht="13.5" hidden="false" customHeight="true" outlineLevel="0" collapsed="false">
      <c r="A17" s="37" t="s">
        <v>374</v>
      </c>
      <c r="B17" s="68" t="n">
        <f aca="false">SUM(C17:BJ17)</f>
        <v>1519081111.25</v>
      </c>
      <c r="C17" s="68" t="n">
        <f aca="false">'📦 COGS &amp; OpEx'!D9</f>
        <v>57500000</v>
      </c>
      <c r="D17" s="68" t="n">
        <f aca="false">'📦 COGS &amp; OpEx'!D10</f>
        <v>0</v>
      </c>
      <c r="E17" s="68" t="n">
        <f aca="false">'📦 COGS &amp; OpEx'!E10</f>
        <v>9604575</v>
      </c>
      <c r="F17" s="68" t="n">
        <f aca="false">'📦 COGS &amp; OpEx'!F10</f>
        <v>12806100</v>
      </c>
      <c r="G17" s="68" t="n">
        <f aca="false">'📦 COGS &amp; OpEx'!G10</f>
        <v>10676531.25</v>
      </c>
      <c r="H17" s="68" t="n">
        <f aca="false">'📦 COGS &amp; OpEx'!H10</f>
        <v>14577750</v>
      </c>
      <c r="I17" s="68" t="n">
        <f aca="false">'📦 COGS &amp; OpEx'!I10</f>
        <v>19212187.5</v>
      </c>
      <c r="J17" s="68" t="n">
        <f aca="false">'📦 COGS &amp; OpEx'!J10</f>
        <v>20140312.5</v>
      </c>
      <c r="K17" s="68" t="n">
        <f aca="false">'📦 COGS &amp; OpEx'!K10</f>
        <v>30375000</v>
      </c>
      <c r="L17" s="68" t="n">
        <f aca="false">'📦 COGS &amp; OpEx'!L10</f>
        <v>30079687.5</v>
      </c>
      <c r="M17" s="68" t="n">
        <f aca="false">'📦 COGS &amp; OpEx'!M10</f>
        <v>26156250</v>
      </c>
      <c r="N17" s="68" t="n">
        <f aca="false">'📦 COGS &amp; OpEx'!N10</f>
        <v>24046875</v>
      </c>
      <c r="O17" s="68" t="n">
        <f aca="false">'📦 COGS &amp; OpEx'!O10</f>
        <v>24848437.5</v>
      </c>
      <c r="P17" s="68" t="n">
        <f aca="false">'📦 COGS &amp; OpEx'!P10</f>
        <v>18073125</v>
      </c>
      <c r="Q17" s="68" t="n">
        <f aca="false">'📦 COGS &amp; OpEx'!Q10</f>
        <v>21343500</v>
      </c>
      <c r="R17" s="68" t="n">
        <f aca="false">'📦 COGS &amp; OpEx'!R10</f>
        <v>21343500</v>
      </c>
      <c r="S17" s="68" t="n">
        <f aca="false">'📦 COGS &amp; OpEx'!S10</f>
        <v>17671500</v>
      </c>
      <c r="T17" s="68" t="n">
        <f aca="false">'📦 COGS &amp; OpEx'!T10</f>
        <v>21866625</v>
      </c>
      <c r="U17" s="68" t="n">
        <f aca="false">'📦 COGS &amp; OpEx'!U10</f>
        <v>25616250</v>
      </c>
      <c r="V17" s="68" t="n">
        <f aca="false">'📦 COGS &amp; OpEx'!V10</f>
        <v>24168375</v>
      </c>
      <c r="W17" s="68" t="n">
        <f aca="false">'📦 COGS &amp; OpEx'!W10</f>
        <v>36450000</v>
      </c>
      <c r="X17" s="68" t="n">
        <f aca="false">'📦 COGS &amp; OpEx'!X10</f>
        <v>36095625</v>
      </c>
      <c r="Y17" s="68" t="n">
        <f aca="false">'📦 COGS &amp; OpEx'!Y10</f>
        <v>31387500</v>
      </c>
      <c r="Z17" s="68" t="n">
        <f aca="false">'📦 COGS &amp; OpEx'!Z10</f>
        <v>28856250</v>
      </c>
      <c r="AA17" s="68" t="n">
        <f aca="false">'📦 COGS &amp; OpEx'!AA10</f>
        <v>29818125</v>
      </c>
      <c r="AB17" s="68" t="n">
        <f aca="false">'📦 COGS &amp; OpEx'!AB10</f>
        <v>21687750</v>
      </c>
      <c r="AC17" s="68" t="n">
        <f aca="false">'📦 COGS &amp; OpEx'!AC10</f>
        <v>25612200</v>
      </c>
      <c r="AD17" s="68" t="n">
        <f aca="false">'📦 COGS &amp; OpEx'!AD10</f>
        <v>25612200</v>
      </c>
      <c r="AE17" s="68" t="n">
        <f aca="false">'📦 COGS &amp; OpEx'!AE10</f>
        <v>17671500</v>
      </c>
      <c r="AF17" s="68" t="n">
        <f aca="false">'📦 COGS &amp; OpEx'!AF10</f>
        <v>21866625</v>
      </c>
      <c r="AG17" s="68" t="n">
        <f aca="false">'📦 COGS &amp; OpEx'!AG10</f>
        <v>25616250</v>
      </c>
      <c r="AH17" s="68" t="n">
        <f aca="false">'📦 COGS &amp; OpEx'!AH10</f>
        <v>24168375</v>
      </c>
      <c r="AI17" s="68" t="n">
        <f aca="false">'📦 COGS &amp; OpEx'!AI10</f>
        <v>36450000</v>
      </c>
      <c r="AJ17" s="68" t="n">
        <f aca="false">'📦 COGS &amp; OpEx'!AJ10</f>
        <v>36095625</v>
      </c>
      <c r="AK17" s="68" t="n">
        <f aca="false">'📦 COGS &amp; OpEx'!AK10</f>
        <v>31387500</v>
      </c>
      <c r="AL17" s="68" t="n">
        <f aca="false">'📦 COGS &amp; OpEx'!AL10</f>
        <v>28856250</v>
      </c>
      <c r="AM17" s="68" t="n">
        <f aca="false">'📦 COGS &amp; OpEx'!AM10</f>
        <v>29818125</v>
      </c>
      <c r="AN17" s="68" t="n">
        <f aca="false">'📦 COGS &amp; OpEx'!AN10</f>
        <v>21687750</v>
      </c>
      <c r="AO17" s="68" t="n">
        <f aca="false">'📦 COGS &amp; OpEx'!AO10</f>
        <v>25612200</v>
      </c>
      <c r="AP17" s="68" t="n">
        <f aca="false">'📦 COGS &amp; OpEx'!AP10</f>
        <v>25612200</v>
      </c>
      <c r="AQ17" s="68" t="n">
        <f aca="false">'📦 COGS &amp; OpEx'!AQ10</f>
        <v>17671500</v>
      </c>
      <c r="AR17" s="68" t="n">
        <f aca="false">'📦 COGS &amp; OpEx'!AR10</f>
        <v>21866625</v>
      </c>
      <c r="AS17" s="68" t="n">
        <f aca="false">'📦 COGS &amp; OpEx'!AS10</f>
        <v>25616250</v>
      </c>
      <c r="AT17" s="68" t="n">
        <f aca="false">'📦 COGS &amp; OpEx'!AT10</f>
        <v>24168375</v>
      </c>
      <c r="AU17" s="68" t="n">
        <f aca="false">'📦 COGS &amp; OpEx'!AU10</f>
        <v>36450000</v>
      </c>
      <c r="AV17" s="68" t="n">
        <f aca="false">'📦 COGS &amp; OpEx'!AV10</f>
        <v>36095625</v>
      </c>
      <c r="AW17" s="68" t="n">
        <f aca="false">'📦 COGS &amp; OpEx'!AW10</f>
        <v>31387500</v>
      </c>
      <c r="AX17" s="68" t="n">
        <f aca="false">'📦 COGS &amp; OpEx'!AX10</f>
        <v>28856250</v>
      </c>
      <c r="AY17" s="68" t="n">
        <f aca="false">'📦 COGS &amp; OpEx'!AY10</f>
        <v>29818125</v>
      </c>
      <c r="AZ17" s="68" t="n">
        <f aca="false">'📦 COGS &amp; OpEx'!AZ10</f>
        <v>21687750</v>
      </c>
      <c r="BA17" s="68" t="n">
        <f aca="false">'📦 COGS &amp; OpEx'!BA10</f>
        <v>25612200</v>
      </c>
      <c r="BB17" s="68" t="n">
        <f aca="false">'📦 COGS &amp; OpEx'!BB10</f>
        <v>23804280</v>
      </c>
      <c r="BC17" s="68" t="n">
        <f aca="false">'📦 COGS &amp; OpEx'!BC10</f>
        <v>16971525</v>
      </c>
      <c r="BD17" s="68" t="n">
        <f aca="false">'📦 COGS &amp; OpEx'!BD10</f>
        <v>20276325</v>
      </c>
      <c r="BE17" s="68" t="n">
        <f aca="false">'📦 COGS &amp; OpEx'!BE10</f>
        <v>23753250</v>
      </c>
      <c r="BF17" s="68" t="n">
        <f aca="false">'📦 COGS &amp; OpEx'!BF10</f>
        <v>22410675</v>
      </c>
      <c r="BG17" s="68" t="n">
        <f aca="false">'📦 COGS &amp; OpEx'!BG10</f>
        <v>33534000</v>
      </c>
      <c r="BH17" s="68" t="n">
        <f aca="false">'📦 COGS &amp; OpEx'!BH10</f>
        <v>33207975</v>
      </c>
      <c r="BI17" s="68" t="n">
        <f aca="false">'📦 COGS &amp; OpEx'!BI10</f>
        <v>28876500</v>
      </c>
      <c r="BJ17" s="68" t="n">
        <f aca="false">'📦 COGS &amp; OpEx'!BJ10</f>
        <v>26547750</v>
      </c>
    </row>
    <row r="18" customFormat="false" ht="13.5" hidden="false" customHeight="true" outlineLevel="0" collapsed="false">
      <c r="A18" s="38" t="s">
        <v>375</v>
      </c>
      <c r="B18" s="68" t="n">
        <f aca="false">SUM(C18:BJ18)</f>
        <v>717936187.5</v>
      </c>
      <c r="C18" s="60" t="n">
        <f aca="false">'📦 COGS &amp; OpEx'!C15</f>
        <v>0</v>
      </c>
      <c r="D18" s="60" t="n">
        <f aca="false">'📦 COGS &amp; OpEx'!D15</f>
        <v>0</v>
      </c>
      <c r="E18" s="60" t="n">
        <f aca="false">'📦 COGS &amp; OpEx'!E15</f>
        <v>1883250</v>
      </c>
      <c r="F18" s="60" t="n">
        <f aca="false">'📦 COGS &amp; OpEx'!F15</f>
        <v>2511000</v>
      </c>
      <c r="G18" s="60" t="n">
        <f aca="false">'📦 COGS &amp; OpEx'!G15</f>
        <v>1941187.5</v>
      </c>
      <c r="H18" s="60" t="n">
        <f aca="false">'📦 COGS &amp; OpEx'!H15</f>
        <v>2650500</v>
      </c>
      <c r="I18" s="60" t="n">
        <f aca="false">'📦 COGS &amp; OpEx'!I15</f>
        <v>3493125</v>
      </c>
      <c r="J18" s="60" t="n">
        <f aca="false">'📦 COGS &amp; OpEx'!J15</f>
        <v>3661875</v>
      </c>
      <c r="K18" s="60" t="n">
        <f aca="false">'📦 COGS &amp; OpEx'!K15</f>
        <v>4050000</v>
      </c>
      <c r="L18" s="60" t="n">
        <f aca="false">'📦 COGS &amp; OpEx'!L15</f>
        <v>4010625</v>
      </c>
      <c r="M18" s="60" t="n">
        <f aca="false">'📦 COGS &amp; OpEx'!M15</f>
        <v>3487500</v>
      </c>
      <c r="N18" s="60" t="n">
        <f aca="false">'📦 COGS &amp; OpEx'!N15</f>
        <v>3206250</v>
      </c>
      <c r="O18" s="60" t="n">
        <f aca="false">'📦 COGS &amp; OpEx'!O15</f>
        <v>3313125</v>
      </c>
      <c r="P18" s="60" t="n">
        <f aca="false">'📦 COGS &amp; OpEx'!P15</f>
        <v>3543750</v>
      </c>
      <c r="Q18" s="60" t="n">
        <f aca="false">'📦 COGS &amp; OpEx'!Q15</f>
        <v>4185000</v>
      </c>
      <c r="R18" s="60" t="n">
        <f aca="false">'📦 COGS &amp; OpEx'!R15</f>
        <v>12555000</v>
      </c>
      <c r="S18" s="60" t="n">
        <f aca="false">'📦 COGS &amp; OpEx'!S15</f>
        <v>9639000</v>
      </c>
      <c r="T18" s="60" t="n">
        <f aca="false">'📦 COGS &amp; OpEx'!T15</f>
        <v>11927250</v>
      </c>
      <c r="U18" s="60" t="n">
        <f aca="false">'📦 COGS &amp; OpEx'!U15</f>
        <v>13972500</v>
      </c>
      <c r="V18" s="60" t="n">
        <f aca="false">'📦 COGS &amp; OpEx'!V15</f>
        <v>13182750</v>
      </c>
      <c r="W18" s="60" t="n">
        <f aca="false">'📦 COGS &amp; OpEx'!W15</f>
        <v>14580000</v>
      </c>
      <c r="X18" s="60" t="n">
        <f aca="false">'📦 COGS &amp; OpEx'!X15</f>
        <v>14438250</v>
      </c>
      <c r="Y18" s="60" t="n">
        <f aca="false">'📦 COGS &amp; OpEx'!Y15</f>
        <v>12555000</v>
      </c>
      <c r="Z18" s="60" t="n">
        <f aca="false">'📦 COGS &amp; OpEx'!Z15</f>
        <v>11542500</v>
      </c>
      <c r="AA18" s="60" t="n">
        <f aca="false">'📦 COGS &amp; OpEx'!AA15</f>
        <v>11927250</v>
      </c>
      <c r="AB18" s="60" t="n">
        <f aca="false">'📦 COGS &amp; OpEx'!AB15</f>
        <v>12757500</v>
      </c>
      <c r="AC18" s="60" t="n">
        <f aca="false">'📦 COGS &amp; OpEx'!AC15</f>
        <v>15066000</v>
      </c>
      <c r="AD18" s="60" t="n">
        <f aca="false">'📦 COGS &amp; OpEx'!AD15</f>
        <v>15066000</v>
      </c>
      <c r="AE18" s="60" t="n">
        <f aca="false">'📦 COGS &amp; OpEx'!AE15</f>
        <v>9639000</v>
      </c>
      <c r="AF18" s="60" t="n">
        <f aca="false">'📦 COGS &amp; OpEx'!AF15</f>
        <v>11927250</v>
      </c>
      <c r="AG18" s="60" t="n">
        <f aca="false">'📦 COGS &amp; OpEx'!AG15</f>
        <v>13972500</v>
      </c>
      <c r="AH18" s="60" t="n">
        <f aca="false">'📦 COGS &amp; OpEx'!AH15</f>
        <v>13182750</v>
      </c>
      <c r="AI18" s="60" t="n">
        <f aca="false">'📦 COGS &amp; OpEx'!AI15</f>
        <v>14580000</v>
      </c>
      <c r="AJ18" s="60" t="n">
        <f aca="false">'📦 COGS &amp; OpEx'!AJ15</f>
        <v>14438250</v>
      </c>
      <c r="AK18" s="60" t="n">
        <f aca="false">'📦 COGS &amp; OpEx'!AK15</f>
        <v>12555000</v>
      </c>
      <c r="AL18" s="60" t="n">
        <f aca="false">'📦 COGS &amp; OpEx'!AL15</f>
        <v>11542500</v>
      </c>
      <c r="AM18" s="60" t="n">
        <f aca="false">'📦 COGS &amp; OpEx'!AM15</f>
        <v>11927250</v>
      </c>
      <c r="AN18" s="60" t="n">
        <f aca="false">'📦 COGS &amp; OpEx'!AN15</f>
        <v>12757500</v>
      </c>
      <c r="AO18" s="60" t="n">
        <f aca="false">'📦 COGS &amp; OpEx'!AO15</f>
        <v>15066000</v>
      </c>
      <c r="AP18" s="60" t="n">
        <f aca="false">'📦 COGS &amp; OpEx'!AP15</f>
        <v>20088000</v>
      </c>
      <c r="AQ18" s="60" t="n">
        <f aca="false">'📦 COGS &amp; OpEx'!AQ15</f>
        <v>12852000</v>
      </c>
      <c r="AR18" s="60" t="n">
        <f aca="false">'📦 COGS &amp; OpEx'!AR15</f>
        <v>15903000</v>
      </c>
      <c r="AS18" s="60" t="n">
        <f aca="false">'📦 COGS &amp; OpEx'!AS15</f>
        <v>18630000</v>
      </c>
      <c r="AT18" s="60" t="n">
        <f aca="false">'📦 COGS &amp; OpEx'!AT15</f>
        <v>17577000</v>
      </c>
      <c r="AU18" s="60" t="n">
        <f aca="false">'📦 COGS &amp; OpEx'!AU15</f>
        <v>19440000</v>
      </c>
      <c r="AV18" s="60" t="n">
        <f aca="false">'📦 COGS &amp; OpEx'!AV15</f>
        <v>19251000</v>
      </c>
      <c r="AW18" s="60" t="n">
        <f aca="false">'📦 COGS &amp; OpEx'!AW15</f>
        <v>16740000</v>
      </c>
      <c r="AX18" s="60" t="n">
        <f aca="false">'📦 COGS &amp; OpEx'!AX15</f>
        <v>15390000</v>
      </c>
      <c r="AY18" s="60" t="n">
        <f aca="false">'📦 COGS &amp; OpEx'!AY15</f>
        <v>15903000</v>
      </c>
      <c r="AZ18" s="60" t="n">
        <f aca="false">'📦 COGS &amp; OpEx'!AZ15</f>
        <v>17010000</v>
      </c>
      <c r="BA18" s="60" t="n">
        <f aca="false">'📦 COGS &amp; OpEx'!BA15</f>
        <v>20088000</v>
      </c>
      <c r="BB18" s="60" t="n">
        <f aca="false">'📦 COGS &amp; OpEx'!BB15</f>
        <v>20088000</v>
      </c>
      <c r="BC18" s="60" t="n">
        <f aca="false">'📦 COGS &amp; OpEx'!BC15</f>
        <v>13311000</v>
      </c>
      <c r="BD18" s="60" t="n">
        <f aca="false">'📦 COGS &amp; OpEx'!BD15</f>
        <v>15903000</v>
      </c>
      <c r="BE18" s="60" t="n">
        <f aca="false">'📦 COGS &amp; OpEx'!BE15</f>
        <v>18630000</v>
      </c>
      <c r="BF18" s="60" t="n">
        <f aca="false">'📦 COGS &amp; OpEx'!BF15</f>
        <v>17577000</v>
      </c>
      <c r="BG18" s="60" t="n">
        <f aca="false">'📦 COGS &amp; OpEx'!BG15</f>
        <v>19440000</v>
      </c>
      <c r="BH18" s="60" t="n">
        <f aca="false">'📦 COGS &amp; OpEx'!BH15</f>
        <v>19251000</v>
      </c>
      <c r="BI18" s="60" t="n">
        <f aca="false">'📦 COGS &amp; OpEx'!BI15</f>
        <v>16740000</v>
      </c>
      <c r="BJ18" s="60" t="n">
        <f aca="false">'📦 COGS &amp; OpEx'!BJ15</f>
        <v>15390000</v>
      </c>
    </row>
    <row r="19" customFormat="false" ht="13.5" hidden="false" customHeight="true" outlineLevel="0" collapsed="false">
      <c r="A19" s="37" t="s">
        <v>376</v>
      </c>
      <c r="B19" s="68" t="n">
        <f aca="false">SUM(C19:BJ19)</f>
        <v>878213250</v>
      </c>
      <c r="C19" s="68" t="n">
        <f aca="false">'📦 COGS &amp; OpEx'!C18</f>
        <v>0</v>
      </c>
      <c r="D19" s="68" t="n">
        <f aca="false">'📦 COGS &amp; OpEx'!D18</f>
        <v>0</v>
      </c>
      <c r="E19" s="68" t="n">
        <f aca="false">'📦 COGS &amp; OpEx'!E18</f>
        <v>37665000</v>
      </c>
      <c r="F19" s="68" t="n">
        <f aca="false">'📦 COGS &amp; OpEx'!F18</f>
        <v>50220000</v>
      </c>
      <c r="G19" s="68" t="n">
        <f aca="false">'📦 COGS &amp; OpEx'!G18</f>
        <v>15529500</v>
      </c>
      <c r="H19" s="68" t="n">
        <f aca="false">'📦 COGS &amp; OpEx'!H18</f>
        <v>21204000</v>
      </c>
      <c r="I19" s="68" t="n">
        <f aca="false">'📦 COGS &amp; OpEx'!I18</f>
        <v>27945000</v>
      </c>
      <c r="J19" s="68" t="n">
        <f aca="false">'📦 COGS &amp; OpEx'!J18</f>
        <v>29295000</v>
      </c>
      <c r="K19" s="68" t="n">
        <f aca="false">'📦 COGS &amp; OpEx'!K18</f>
        <v>32400000</v>
      </c>
      <c r="L19" s="68" t="n">
        <f aca="false">'📦 COGS &amp; OpEx'!L18</f>
        <v>16042500</v>
      </c>
      <c r="M19" s="68" t="n">
        <f aca="false">'📦 COGS &amp; OpEx'!M18</f>
        <v>13950000</v>
      </c>
      <c r="N19" s="68" t="n">
        <f aca="false">'📦 COGS &amp; OpEx'!N18</f>
        <v>12825000</v>
      </c>
      <c r="O19" s="68" t="n">
        <f aca="false">'📦 COGS &amp; OpEx'!O18</f>
        <v>13252500</v>
      </c>
      <c r="P19" s="68" t="n">
        <f aca="false">'📦 COGS &amp; OpEx'!P18</f>
        <v>10631250</v>
      </c>
      <c r="Q19" s="68" t="n">
        <f aca="false">'📦 COGS &amp; OpEx'!Q18</f>
        <v>12555000</v>
      </c>
      <c r="R19" s="68" t="n">
        <f aca="false">'📦 COGS &amp; OpEx'!R18</f>
        <v>12555000</v>
      </c>
      <c r="S19" s="68" t="n">
        <f aca="false">'📦 COGS &amp; OpEx'!S18</f>
        <v>9639000</v>
      </c>
      <c r="T19" s="68" t="n">
        <f aca="false">'📦 COGS &amp; OpEx'!T18</f>
        <v>11927250</v>
      </c>
      <c r="U19" s="68" t="n">
        <f aca="false">'📦 COGS &amp; OpEx'!U18</f>
        <v>13972500</v>
      </c>
      <c r="V19" s="68" t="n">
        <f aca="false">'📦 COGS &amp; OpEx'!V18</f>
        <v>13182750</v>
      </c>
      <c r="W19" s="68" t="n">
        <f aca="false">'📦 COGS &amp; OpEx'!W18</f>
        <v>14580000</v>
      </c>
      <c r="X19" s="68" t="n">
        <f aca="false">'📦 COGS &amp; OpEx'!X18</f>
        <v>14438250</v>
      </c>
      <c r="Y19" s="68" t="n">
        <f aca="false">'📦 COGS &amp; OpEx'!Y18</f>
        <v>12555000</v>
      </c>
      <c r="Z19" s="68" t="n">
        <f aca="false">'📦 COGS &amp; OpEx'!Z18</f>
        <v>11542500</v>
      </c>
      <c r="AA19" s="68" t="n">
        <f aca="false">'📦 COGS &amp; OpEx'!AA18</f>
        <v>11927250</v>
      </c>
      <c r="AB19" s="68" t="n">
        <f aca="false">'📦 COGS &amp; OpEx'!AB18</f>
        <v>12757500</v>
      </c>
      <c r="AC19" s="68" t="n">
        <f aca="false">'📦 COGS &amp; OpEx'!AC18</f>
        <v>15066000</v>
      </c>
      <c r="AD19" s="68" t="n">
        <f aca="false">'📦 COGS &amp; OpEx'!AD18</f>
        <v>15066000</v>
      </c>
      <c r="AE19" s="68" t="n">
        <f aca="false">'📦 COGS &amp; OpEx'!AE18</f>
        <v>9639000</v>
      </c>
      <c r="AF19" s="68" t="n">
        <f aca="false">'📦 COGS &amp; OpEx'!AF18</f>
        <v>11927250</v>
      </c>
      <c r="AG19" s="68" t="n">
        <f aca="false">'📦 COGS &amp; OpEx'!AG18</f>
        <v>13972500</v>
      </c>
      <c r="AH19" s="68" t="n">
        <f aca="false">'📦 COGS &amp; OpEx'!AH18</f>
        <v>13182750</v>
      </c>
      <c r="AI19" s="68" t="n">
        <f aca="false">'📦 COGS &amp; OpEx'!AI18</f>
        <v>14580000</v>
      </c>
      <c r="AJ19" s="68" t="n">
        <f aca="false">'📦 COGS &amp; OpEx'!AJ18</f>
        <v>14438250</v>
      </c>
      <c r="AK19" s="68" t="n">
        <f aca="false">'📦 COGS &amp; OpEx'!AK18</f>
        <v>12555000</v>
      </c>
      <c r="AL19" s="68" t="n">
        <f aca="false">'📦 COGS &amp; OpEx'!AL18</f>
        <v>11542500</v>
      </c>
      <c r="AM19" s="68" t="n">
        <f aca="false">'📦 COGS &amp; OpEx'!AM18</f>
        <v>11927250</v>
      </c>
      <c r="AN19" s="68" t="n">
        <f aca="false">'📦 COGS &amp; OpEx'!AN18</f>
        <v>12757500</v>
      </c>
      <c r="AO19" s="68" t="n">
        <f aca="false">'📦 COGS &amp; OpEx'!AO18</f>
        <v>15066000</v>
      </c>
      <c r="AP19" s="68" t="n">
        <f aca="false">'📦 COGS &amp; OpEx'!AP18</f>
        <v>15066000</v>
      </c>
      <c r="AQ19" s="68" t="n">
        <f aca="false">'📦 COGS &amp; OpEx'!AQ18</f>
        <v>9639000</v>
      </c>
      <c r="AR19" s="68" t="n">
        <f aca="false">'📦 COGS &amp; OpEx'!AR18</f>
        <v>11927250</v>
      </c>
      <c r="AS19" s="68" t="n">
        <f aca="false">'📦 COGS &amp; OpEx'!AS18</f>
        <v>13972500</v>
      </c>
      <c r="AT19" s="68" t="n">
        <f aca="false">'📦 COGS &amp; OpEx'!AT18</f>
        <v>13182750</v>
      </c>
      <c r="AU19" s="68" t="n">
        <f aca="false">'📦 COGS &amp; OpEx'!AU18</f>
        <v>14580000</v>
      </c>
      <c r="AV19" s="68" t="n">
        <f aca="false">'📦 COGS &amp; OpEx'!AV18</f>
        <v>14438250</v>
      </c>
      <c r="AW19" s="68" t="n">
        <f aca="false">'📦 COGS &amp; OpEx'!AW18</f>
        <v>12555000</v>
      </c>
      <c r="AX19" s="68" t="n">
        <f aca="false">'📦 COGS &amp; OpEx'!AX18</f>
        <v>11542500</v>
      </c>
      <c r="AY19" s="68" t="n">
        <f aca="false">'📦 COGS &amp; OpEx'!AY18</f>
        <v>11927250</v>
      </c>
      <c r="AZ19" s="68" t="n">
        <f aca="false">'📦 COGS &amp; OpEx'!AZ18</f>
        <v>12757500</v>
      </c>
      <c r="BA19" s="68" t="n">
        <f aca="false">'📦 COGS &amp; OpEx'!BA18</f>
        <v>15066000</v>
      </c>
      <c r="BB19" s="68" t="n">
        <f aca="false">'📦 COGS &amp; OpEx'!BB18</f>
        <v>15066000</v>
      </c>
      <c r="BC19" s="68" t="n">
        <f aca="false">'📦 COGS &amp; OpEx'!BC18</f>
        <v>9983250</v>
      </c>
      <c r="BD19" s="68" t="n">
        <f aca="false">'📦 COGS &amp; OpEx'!BD18</f>
        <v>11927250</v>
      </c>
      <c r="BE19" s="68" t="n">
        <f aca="false">'📦 COGS &amp; OpEx'!BE18</f>
        <v>13972500</v>
      </c>
      <c r="BF19" s="68" t="n">
        <f aca="false">'📦 COGS &amp; OpEx'!BF18</f>
        <v>13182750</v>
      </c>
      <c r="BG19" s="68" t="n">
        <f aca="false">'📦 COGS &amp; OpEx'!BG18</f>
        <v>14580000</v>
      </c>
      <c r="BH19" s="68" t="n">
        <f aca="false">'📦 COGS &amp; OpEx'!BH18</f>
        <v>14438250</v>
      </c>
      <c r="BI19" s="68" t="n">
        <f aca="false">'📦 COGS &amp; OpEx'!BI18</f>
        <v>12555000</v>
      </c>
      <c r="BJ19" s="68" t="n">
        <f aca="false">'📦 COGS &amp; OpEx'!BJ18</f>
        <v>11542500</v>
      </c>
    </row>
    <row r="20" customFormat="false" ht="13.5" hidden="false" customHeight="true" outlineLevel="0" collapsed="false">
      <c r="A20" s="38" t="s">
        <v>377</v>
      </c>
      <c r="B20" s="60" t="n">
        <f aca="false">SUM(C20:AL20)</f>
        <v>0</v>
      </c>
      <c r="C20" s="60" t="n">
        <f aca="false">'📦 COGS &amp; OpEx'!C22</f>
        <v>0</v>
      </c>
      <c r="D20" s="60" t="n">
        <f aca="false">'📦 COGS &amp; OpEx'!D22</f>
        <v>0</v>
      </c>
      <c r="E20" s="60" t="n">
        <f aca="false">'📦 COGS &amp; OpEx'!E22</f>
        <v>0</v>
      </c>
      <c r="F20" s="60" t="n">
        <f aca="false">'📦 COGS &amp; OpEx'!F22</f>
        <v>0</v>
      </c>
      <c r="G20" s="60" t="n">
        <f aca="false">'📦 COGS &amp; OpEx'!G22</f>
        <v>0</v>
      </c>
      <c r="H20" s="60" t="n">
        <f aca="false">'📦 COGS &amp; OpEx'!H22</f>
        <v>0</v>
      </c>
      <c r="I20" s="60" t="n">
        <f aca="false">'📦 COGS &amp; OpEx'!I22</f>
        <v>0</v>
      </c>
      <c r="J20" s="60" t="n">
        <f aca="false">'📦 COGS &amp; OpEx'!J22</f>
        <v>0</v>
      </c>
      <c r="K20" s="60" t="n">
        <f aca="false">'📦 COGS &amp; OpEx'!K22</f>
        <v>0</v>
      </c>
      <c r="L20" s="60" t="n">
        <f aca="false">'📦 COGS &amp; OpEx'!L22</f>
        <v>0</v>
      </c>
      <c r="M20" s="60" t="n">
        <f aca="false">'📦 COGS &amp; OpEx'!M22</f>
        <v>0</v>
      </c>
      <c r="N20" s="60" t="n">
        <f aca="false">'📦 COGS &amp; OpEx'!N22</f>
        <v>0</v>
      </c>
      <c r="O20" s="60" t="n">
        <f aca="false">'📦 COGS &amp; OpEx'!O22</f>
        <v>0</v>
      </c>
      <c r="P20" s="60" t="n">
        <f aca="false">'📦 COGS &amp; OpEx'!P22</f>
        <v>0</v>
      </c>
      <c r="Q20" s="60" t="n">
        <f aca="false">'📦 COGS &amp; OpEx'!Q22</f>
        <v>0</v>
      </c>
      <c r="R20" s="60" t="n">
        <f aca="false">'📦 COGS &amp; OpEx'!R22</f>
        <v>0</v>
      </c>
      <c r="S20" s="60" t="n">
        <f aca="false">'📦 COGS &amp; OpEx'!S22</f>
        <v>0</v>
      </c>
      <c r="T20" s="60" t="n">
        <f aca="false">'📦 COGS &amp; OpEx'!T22</f>
        <v>0</v>
      </c>
      <c r="U20" s="60" t="n">
        <f aca="false">'📦 COGS &amp; OpEx'!U22</f>
        <v>0</v>
      </c>
      <c r="V20" s="60" t="n">
        <f aca="false">'📦 COGS &amp; OpEx'!V22</f>
        <v>0</v>
      </c>
      <c r="W20" s="60" t="n">
        <f aca="false">'📦 COGS &amp; OpEx'!W22</f>
        <v>0</v>
      </c>
      <c r="X20" s="60" t="n">
        <f aca="false">'📦 COGS &amp; OpEx'!X22</f>
        <v>0</v>
      </c>
      <c r="Y20" s="60" t="n">
        <f aca="false">'📦 COGS &amp; OpEx'!Y22</f>
        <v>0</v>
      </c>
      <c r="Z20" s="60" t="n">
        <f aca="false">'📦 COGS &amp; OpEx'!Z22</f>
        <v>0</v>
      </c>
      <c r="AA20" s="60" t="n">
        <f aca="false">'📦 COGS &amp; OpEx'!AA22</f>
        <v>0</v>
      </c>
      <c r="AB20" s="60" t="n">
        <f aca="false">'📦 COGS &amp; OpEx'!AB22</f>
        <v>0</v>
      </c>
      <c r="AC20" s="60" t="n">
        <f aca="false">'📦 COGS &amp; OpEx'!AC22</f>
        <v>0</v>
      </c>
      <c r="AD20" s="60" t="n">
        <f aca="false">'📦 COGS &amp; OpEx'!AD22</f>
        <v>0</v>
      </c>
      <c r="AE20" s="60" t="n">
        <f aca="false">'📦 COGS &amp; OpEx'!AE22</f>
        <v>0</v>
      </c>
      <c r="AF20" s="60" t="n">
        <f aca="false">'📦 COGS &amp; OpEx'!AF22</f>
        <v>0</v>
      </c>
      <c r="AG20" s="60" t="n">
        <f aca="false">'📦 COGS &amp; OpEx'!AG22</f>
        <v>0</v>
      </c>
      <c r="AH20" s="60" t="n">
        <f aca="false">'📦 COGS &amp; OpEx'!AH22</f>
        <v>0</v>
      </c>
      <c r="AI20" s="60" t="n">
        <f aca="false">'📦 COGS &amp; OpEx'!AI22</f>
        <v>0</v>
      </c>
      <c r="AJ20" s="60" t="n">
        <f aca="false">'📦 COGS &amp; OpEx'!AJ22</f>
        <v>0</v>
      </c>
      <c r="AK20" s="60" t="n">
        <f aca="false">'📦 COGS &amp; OpEx'!AK22</f>
        <v>0</v>
      </c>
      <c r="AL20" s="60" t="n">
        <f aca="false">'📦 COGS &amp; OpEx'!AL22</f>
        <v>0</v>
      </c>
      <c r="AM20" s="60" t="n">
        <f aca="false">'📦 COGS &amp; OpEx'!AM22</f>
        <v>0</v>
      </c>
      <c r="AN20" s="60" t="n">
        <f aca="false">'📦 COGS &amp; OpEx'!AN22</f>
        <v>0</v>
      </c>
      <c r="AO20" s="60" t="n">
        <f aca="false">'📦 COGS &amp; OpEx'!AO22</f>
        <v>0</v>
      </c>
      <c r="AP20" s="60" t="n">
        <f aca="false">'📦 COGS &amp; OpEx'!AP22</f>
        <v>0</v>
      </c>
      <c r="AQ20" s="60" t="n">
        <f aca="false">'📦 COGS &amp; OpEx'!AQ22</f>
        <v>0</v>
      </c>
      <c r="AR20" s="60" t="n">
        <f aca="false">'📦 COGS &amp; OpEx'!AR22</f>
        <v>0</v>
      </c>
      <c r="AS20" s="60" t="n">
        <f aca="false">'📦 COGS &amp; OpEx'!AS22</f>
        <v>0</v>
      </c>
      <c r="AT20" s="60" t="n">
        <f aca="false">'📦 COGS &amp; OpEx'!AT22</f>
        <v>0</v>
      </c>
      <c r="AU20" s="60" t="n">
        <f aca="false">'📦 COGS &amp; OpEx'!AU22</f>
        <v>0</v>
      </c>
      <c r="AV20" s="60" t="n">
        <f aca="false">'📦 COGS &amp; OpEx'!AV22</f>
        <v>0</v>
      </c>
      <c r="AW20" s="60" t="n">
        <f aca="false">'📦 COGS &amp; OpEx'!AW22</f>
        <v>0</v>
      </c>
      <c r="AX20" s="60" t="n">
        <f aca="false">'📦 COGS &amp; OpEx'!AX22</f>
        <v>0</v>
      </c>
      <c r="AY20" s="60" t="n">
        <f aca="false">'📦 COGS &amp; OpEx'!AY22</f>
        <v>0</v>
      </c>
      <c r="AZ20" s="60" t="n">
        <f aca="false">'📦 COGS &amp; OpEx'!AZ22</f>
        <v>0</v>
      </c>
      <c r="BA20" s="60" t="n">
        <f aca="false">'📦 COGS &amp; OpEx'!BA22</f>
        <v>0</v>
      </c>
      <c r="BB20" s="60" t="n">
        <f aca="false">'📦 COGS &amp; OpEx'!BB22</f>
        <v>0</v>
      </c>
      <c r="BC20" s="60" t="n">
        <f aca="false">'📦 COGS &amp; OpEx'!BC22</f>
        <v>0</v>
      </c>
      <c r="BD20" s="60" t="n">
        <f aca="false">'📦 COGS &amp; OpEx'!BD22</f>
        <v>0</v>
      </c>
      <c r="BE20" s="60" t="n">
        <f aca="false">'📦 COGS &amp; OpEx'!BE22</f>
        <v>0</v>
      </c>
      <c r="BF20" s="60" t="n">
        <f aca="false">'📦 COGS &amp; OpEx'!BF22</f>
        <v>0</v>
      </c>
      <c r="BG20" s="60" t="n">
        <f aca="false">'📦 COGS &amp; OpEx'!BG22</f>
        <v>0</v>
      </c>
      <c r="BH20" s="60" t="n">
        <f aca="false">'📦 COGS &amp; OpEx'!BH22</f>
        <v>0</v>
      </c>
      <c r="BI20" s="60" t="n">
        <f aca="false">'📦 COGS &amp; OpEx'!BI22</f>
        <v>0</v>
      </c>
      <c r="BJ20" s="60" t="n">
        <f aca="false">'📦 COGS &amp; OpEx'!BJ22</f>
        <v>0</v>
      </c>
    </row>
    <row r="21" customFormat="false" ht="13.5" hidden="false" customHeight="true" outlineLevel="0" collapsed="false">
      <c r="A21" s="37" t="s">
        <v>378</v>
      </c>
      <c r="B21" s="68" t="n">
        <f aca="false">SUM(C21:BJ21)</f>
        <v>174747650.975</v>
      </c>
      <c r="C21" s="68" t="n">
        <f aca="false">'📦 COGS &amp; OpEx'!C25</f>
        <v>1150000</v>
      </c>
      <c r="D21" s="68" t="n">
        <f aca="false">'📦 COGS &amp; OpEx'!D25</f>
        <v>1150000</v>
      </c>
      <c r="E21" s="68" t="n">
        <f aca="false">'📦 COGS &amp; OpEx'!E25</f>
        <v>2698576.5</v>
      </c>
      <c r="F21" s="68" t="n">
        <f aca="false">'📦 COGS &amp; OpEx'!F25</f>
        <v>3026262</v>
      </c>
      <c r="G21" s="68" t="n">
        <f aca="false">'📦 COGS &amp; OpEx'!G25</f>
        <v>2377464.375</v>
      </c>
      <c r="H21" s="68" t="n">
        <f aca="false">'📦 COGS &amp; OpEx'!H25</f>
        <v>2606925</v>
      </c>
      <c r="I21" s="68" t="n">
        <f aca="false">'📦 COGS &amp; OpEx'!I25</f>
        <v>2839406.25</v>
      </c>
      <c r="J21" s="68" t="n">
        <f aca="false">'📦 COGS &amp; OpEx'!J25</f>
        <v>2900223.75</v>
      </c>
      <c r="K21" s="68" t="n">
        <f aca="false">'📦 COGS &amp; OpEx'!K25</f>
        <v>3162900</v>
      </c>
      <c r="L21" s="68" t="n">
        <f aca="false">'📦 COGS &amp; OpEx'!L25</f>
        <v>2840936.25</v>
      </c>
      <c r="M21" s="68" t="n">
        <f aca="false">'📦 COGS &amp; OpEx'!M25</f>
        <v>2710155</v>
      </c>
      <c r="N21" s="68" t="n">
        <f aca="false">'📦 COGS &amp; OpEx'!N25</f>
        <v>2627962.5</v>
      </c>
      <c r="O21" s="68" t="n">
        <f aca="false">'📦 COGS &amp; OpEx'!O25</f>
        <v>2666561.25</v>
      </c>
      <c r="P21" s="68" t="n">
        <f aca="false">'📦 COGS &amp; OpEx'!P25</f>
        <v>2471362.5</v>
      </c>
      <c r="Q21" s="68" t="n">
        <f aca="false">'📦 COGS &amp; OpEx'!Q25</f>
        <v>2599950</v>
      </c>
      <c r="R21" s="68" t="n">
        <f aca="false">'📦 COGS &amp; OpEx'!R25</f>
        <v>2767350</v>
      </c>
      <c r="S21" s="68" t="n">
        <f aca="false">'📦 COGS &amp; OpEx'!S25</f>
        <v>2652510</v>
      </c>
      <c r="T21" s="68" t="n">
        <f aca="false">'📦 COGS &amp; OpEx'!T25</f>
        <v>2875462.5</v>
      </c>
      <c r="U21" s="68" t="n">
        <f aca="false">'📦 COGS &amp; OpEx'!U25</f>
        <v>3016425</v>
      </c>
      <c r="V21" s="68" t="n">
        <f aca="false">'📦 COGS &amp; OpEx'!V25</f>
        <v>2971717.5</v>
      </c>
      <c r="W21" s="68" t="n">
        <f aca="false">'📦 COGS &amp; OpEx'!W25</f>
        <v>3257400</v>
      </c>
      <c r="X21" s="68" t="n">
        <f aca="false">'📦 COGS &amp; OpEx'!X25</f>
        <v>3260482.5</v>
      </c>
      <c r="Y21" s="68" t="n">
        <f aca="false">'📦 COGS &amp; OpEx'!Y25</f>
        <v>3090990</v>
      </c>
      <c r="Z21" s="68" t="n">
        <f aca="false">'📦 COGS &amp; OpEx'!Z25</f>
        <v>2984025</v>
      </c>
      <c r="AA21" s="68" t="n">
        <f aca="false">'📦 COGS &amp; OpEx'!AA25</f>
        <v>3034492.5</v>
      </c>
      <c r="AB21" s="68" t="n">
        <f aca="false">'📦 COGS &amp; OpEx'!AB25</f>
        <v>2889255</v>
      </c>
      <c r="AC21" s="68" t="n">
        <f aca="false">'📦 COGS &amp; OpEx'!AC25</f>
        <v>3075924</v>
      </c>
      <c r="AD21" s="68" t="n">
        <f aca="false">'📦 COGS &amp; OpEx'!AD25</f>
        <v>3075924</v>
      </c>
      <c r="AE21" s="68" t="n">
        <f aca="false">'📦 COGS &amp; OpEx'!AE25</f>
        <v>2652510</v>
      </c>
      <c r="AF21" s="68" t="n">
        <f aca="false">'📦 COGS &amp; OpEx'!AF25</f>
        <v>2875462.5</v>
      </c>
      <c r="AG21" s="68" t="n">
        <f aca="false">'📦 COGS &amp; OpEx'!AG25</f>
        <v>3016425</v>
      </c>
      <c r="AH21" s="68" t="n">
        <f aca="false">'📦 COGS &amp; OpEx'!AH25</f>
        <v>2971717.5</v>
      </c>
      <c r="AI21" s="68" t="n">
        <f aca="false">'📦 COGS &amp; OpEx'!AI25</f>
        <v>3257400</v>
      </c>
      <c r="AJ21" s="68" t="n">
        <f aca="false">'📦 COGS &amp; OpEx'!AJ25</f>
        <v>3260482.5</v>
      </c>
      <c r="AK21" s="68" t="n">
        <f aca="false">'📦 COGS &amp; OpEx'!AK25</f>
        <v>3090990</v>
      </c>
      <c r="AL21" s="68" t="n">
        <f aca="false">'📦 COGS &amp; OpEx'!AL25</f>
        <v>2984025</v>
      </c>
      <c r="AM21" s="68" t="n">
        <f aca="false">'📦 COGS &amp; OpEx'!AM25</f>
        <v>3034492.5</v>
      </c>
      <c r="AN21" s="68" t="n">
        <f aca="false">'📦 COGS &amp; OpEx'!AN25</f>
        <v>2889255</v>
      </c>
      <c r="AO21" s="68" t="n">
        <f aca="false">'📦 COGS &amp; OpEx'!AO25</f>
        <v>3075924</v>
      </c>
      <c r="AP21" s="68" t="n">
        <f aca="false">'📦 COGS &amp; OpEx'!AP25</f>
        <v>3176364</v>
      </c>
      <c r="AQ21" s="68" t="n">
        <f aca="false">'📦 COGS &amp; OpEx'!AQ25</f>
        <v>2716770</v>
      </c>
      <c r="AR21" s="68" t="n">
        <f aca="false">'📦 COGS &amp; OpEx'!AR25</f>
        <v>2954977.5</v>
      </c>
      <c r="AS21" s="68" t="n">
        <f aca="false">'📦 COGS &amp; OpEx'!AS25</f>
        <v>3109575</v>
      </c>
      <c r="AT21" s="68" t="n">
        <f aca="false">'📦 COGS &amp; OpEx'!AT25</f>
        <v>3059602.5</v>
      </c>
      <c r="AU21" s="68" t="n">
        <f aca="false">'📦 COGS &amp; OpEx'!AU25</f>
        <v>3354600</v>
      </c>
      <c r="AV21" s="68" t="n">
        <f aca="false">'📦 COGS &amp; OpEx'!AV25</f>
        <v>3356737.5</v>
      </c>
      <c r="AW21" s="68" t="n">
        <f aca="false">'📦 COGS &amp; OpEx'!AW25</f>
        <v>3174690</v>
      </c>
      <c r="AX21" s="68" t="n">
        <f aca="false">'📦 COGS &amp; OpEx'!AX25</f>
        <v>3060975</v>
      </c>
      <c r="AY21" s="68" t="n">
        <f aca="false">'📦 COGS &amp; OpEx'!AY25</f>
        <v>3114007.5</v>
      </c>
      <c r="AZ21" s="68" t="n">
        <f aca="false">'📦 COGS &amp; OpEx'!AZ25</f>
        <v>2974305</v>
      </c>
      <c r="BA21" s="68" t="n">
        <f aca="false">'📦 COGS &amp; OpEx'!BA25</f>
        <v>3176364</v>
      </c>
      <c r="BB21" s="68" t="n">
        <f aca="false">'📦 COGS &amp; OpEx'!BB25</f>
        <v>3140205.6</v>
      </c>
      <c r="BC21" s="68" t="n">
        <f aca="false">'📦 COGS &amp; OpEx'!BC25</f>
        <v>2734675.5</v>
      </c>
      <c r="BD21" s="68" t="n">
        <f aca="false">'📦 COGS &amp; OpEx'!BD25</f>
        <v>2923171.5</v>
      </c>
      <c r="BE21" s="68" t="n">
        <f aca="false">'📦 COGS &amp; OpEx'!BE25</f>
        <v>3072315</v>
      </c>
      <c r="BF21" s="68" t="n">
        <f aca="false">'📦 COGS &amp; OpEx'!BF25</f>
        <v>3024448.5</v>
      </c>
      <c r="BG21" s="68" t="n">
        <f aca="false">'📦 COGS &amp; OpEx'!BG25</f>
        <v>3296280</v>
      </c>
      <c r="BH21" s="68" t="n">
        <f aca="false">'📦 COGS &amp; OpEx'!BH25</f>
        <v>3298984.5</v>
      </c>
      <c r="BI21" s="68" t="n">
        <f aca="false">'📦 COGS &amp; OpEx'!BI25</f>
        <v>3124470</v>
      </c>
      <c r="BJ21" s="68" t="n">
        <f aca="false">'📦 COGS &amp; OpEx'!BJ25</f>
        <v>3014805</v>
      </c>
    </row>
    <row r="22" customFormat="false" ht="13.5" hidden="false" customHeight="true" outlineLevel="0" collapsed="false">
      <c r="A22" s="38" t="s">
        <v>379</v>
      </c>
      <c r="B22" s="68" t="n">
        <f aca="false">SUM(C22:BJ22)</f>
        <v>262121476.4625</v>
      </c>
      <c r="C22" s="60" t="n">
        <f aca="false">'📦 COGS &amp; OpEx'!C26</f>
        <v>1725000</v>
      </c>
      <c r="D22" s="60" t="n">
        <f aca="false">'📦 COGS &amp; OpEx'!D26</f>
        <v>1725000</v>
      </c>
      <c r="E22" s="60" t="n">
        <f aca="false">'📦 COGS &amp; OpEx'!E26</f>
        <v>4047864.75</v>
      </c>
      <c r="F22" s="60" t="n">
        <f aca="false">'📦 COGS &amp; OpEx'!F26</f>
        <v>4539393</v>
      </c>
      <c r="G22" s="60" t="n">
        <f aca="false">'📦 COGS &amp; OpEx'!G26</f>
        <v>3566196.5625</v>
      </c>
      <c r="H22" s="60" t="n">
        <f aca="false">'📦 COGS &amp; OpEx'!H26</f>
        <v>3910387.5</v>
      </c>
      <c r="I22" s="60" t="n">
        <f aca="false">'📦 COGS &amp; OpEx'!I26</f>
        <v>4259109.375</v>
      </c>
      <c r="J22" s="60" t="n">
        <f aca="false">'📦 COGS &amp; OpEx'!J26</f>
        <v>4350335.625</v>
      </c>
      <c r="K22" s="60" t="n">
        <f aca="false">'📦 COGS &amp; OpEx'!K26</f>
        <v>4744350</v>
      </c>
      <c r="L22" s="60" t="n">
        <f aca="false">'📦 COGS &amp; OpEx'!L26</f>
        <v>4261404.375</v>
      </c>
      <c r="M22" s="60" t="n">
        <f aca="false">'📦 COGS &amp; OpEx'!M26</f>
        <v>4065232.5</v>
      </c>
      <c r="N22" s="60" t="n">
        <f aca="false">'📦 COGS &amp; OpEx'!N26</f>
        <v>3941943.75</v>
      </c>
      <c r="O22" s="60" t="n">
        <f aca="false">'📦 COGS &amp; OpEx'!O26</f>
        <v>3999841.875</v>
      </c>
      <c r="P22" s="60" t="n">
        <f aca="false">'📦 COGS &amp; OpEx'!P26</f>
        <v>3707043.75</v>
      </c>
      <c r="Q22" s="60" t="n">
        <f aca="false">'📦 COGS &amp; OpEx'!Q26</f>
        <v>3899925</v>
      </c>
      <c r="R22" s="60" t="n">
        <f aca="false">'📦 COGS &amp; OpEx'!R26</f>
        <v>4151025</v>
      </c>
      <c r="S22" s="60" t="n">
        <f aca="false">'📦 COGS &amp; OpEx'!S26</f>
        <v>3978765</v>
      </c>
      <c r="T22" s="60" t="n">
        <f aca="false">'📦 COGS &amp; OpEx'!T26</f>
        <v>4313193.75</v>
      </c>
      <c r="U22" s="60" t="n">
        <f aca="false">'📦 COGS &amp; OpEx'!U26</f>
        <v>4524637.5</v>
      </c>
      <c r="V22" s="60" t="n">
        <f aca="false">'📦 COGS &amp; OpEx'!V26</f>
        <v>4457576.25</v>
      </c>
      <c r="W22" s="60" t="n">
        <f aca="false">'📦 COGS &amp; OpEx'!W26</f>
        <v>4886100</v>
      </c>
      <c r="X22" s="60" t="n">
        <f aca="false">'📦 COGS &amp; OpEx'!X26</f>
        <v>4890723.75</v>
      </c>
      <c r="Y22" s="60" t="n">
        <f aca="false">'📦 COGS &amp; OpEx'!Y26</f>
        <v>4636485</v>
      </c>
      <c r="Z22" s="60" t="n">
        <f aca="false">'📦 COGS &amp; OpEx'!Z26</f>
        <v>4476037.5</v>
      </c>
      <c r="AA22" s="60" t="n">
        <f aca="false">'📦 COGS &amp; OpEx'!AA26</f>
        <v>4551738.75</v>
      </c>
      <c r="AB22" s="60" t="n">
        <f aca="false">'📦 COGS &amp; OpEx'!AB26</f>
        <v>4333882.5</v>
      </c>
      <c r="AC22" s="60" t="n">
        <f aca="false">'📦 COGS &amp; OpEx'!AC26</f>
        <v>4613886</v>
      </c>
      <c r="AD22" s="60" t="n">
        <f aca="false">'📦 COGS &amp; OpEx'!AD26</f>
        <v>4613886</v>
      </c>
      <c r="AE22" s="60" t="n">
        <f aca="false">'📦 COGS &amp; OpEx'!AE26</f>
        <v>3978765</v>
      </c>
      <c r="AF22" s="60" t="n">
        <f aca="false">'📦 COGS &amp; OpEx'!AF26</f>
        <v>4313193.75</v>
      </c>
      <c r="AG22" s="60" t="n">
        <f aca="false">'📦 COGS &amp; OpEx'!AG26</f>
        <v>4524637.5</v>
      </c>
      <c r="AH22" s="60" t="n">
        <f aca="false">'📦 COGS &amp; OpEx'!AH26</f>
        <v>4457576.25</v>
      </c>
      <c r="AI22" s="60" t="n">
        <f aca="false">'📦 COGS &amp; OpEx'!AI26</f>
        <v>4886100</v>
      </c>
      <c r="AJ22" s="60" t="n">
        <f aca="false">'📦 COGS &amp; OpEx'!AJ26</f>
        <v>4890723.75</v>
      </c>
      <c r="AK22" s="60" t="n">
        <f aca="false">'📦 COGS &amp; OpEx'!AK26</f>
        <v>4636485</v>
      </c>
      <c r="AL22" s="60" t="n">
        <f aca="false">'📦 COGS &amp; OpEx'!AL26</f>
        <v>4476037.5</v>
      </c>
      <c r="AM22" s="60" t="n">
        <f aca="false">'📦 COGS &amp; OpEx'!AM26</f>
        <v>4551738.75</v>
      </c>
      <c r="AN22" s="60" t="n">
        <f aca="false">'📦 COGS &amp; OpEx'!AN26</f>
        <v>4333882.5</v>
      </c>
      <c r="AO22" s="60" t="n">
        <f aca="false">'📦 COGS &amp; OpEx'!AO26</f>
        <v>4613886</v>
      </c>
      <c r="AP22" s="60" t="n">
        <f aca="false">'📦 COGS &amp; OpEx'!AP26</f>
        <v>4764546</v>
      </c>
      <c r="AQ22" s="60" t="n">
        <f aca="false">'📦 COGS &amp; OpEx'!AQ26</f>
        <v>4075155</v>
      </c>
      <c r="AR22" s="60" t="n">
        <f aca="false">'📦 COGS &amp; OpEx'!AR26</f>
        <v>4432466.25</v>
      </c>
      <c r="AS22" s="60" t="n">
        <f aca="false">'📦 COGS &amp; OpEx'!AS26</f>
        <v>4664362.5</v>
      </c>
      <c r="AT22" s="60" t="n">
        <f aca="false">'📦 COGS &amp; OpEx'!AT26</f>
        <v>4589403.75</v>
      </c>
      <c r="AU22" s="60" t="n">
        <f aca="false">'📦 COGS &amp; OpEx'!AU26</f>
        <v>5031900</v>
      </c>
      <c r="AV22" s="60" t="n">
        <f aca="false">'📦 COGS &amp; OpEx'!AV26</f>
        <v>5035106.25</v>
      </c>
      <c r="AW22" s="60" t="n">
        <f aca="false">'📦 COGS &amp; OpEx'!AW26</f>
        <v>4762035</v>
      </c>
      <c r="AX22" s="60" t="n">
        <f aca="false">'📦 COGS &amp; OpEx'!AX26</f>
        <v>4591462.5</v>
      </c>
      <c r="AY22" s="60" t="n">
        <f aca="false">'📦 COGS &amp; OpEx'!AY26</f>
        <v>4671011.25</v>
      </c>
      <c r="AZ22" s="60" t="n">
        <f aca="false">'📦 COGS &amp; OpEx'!AZ26</f>
        <v>4461457.5</v>
      </c>
      <c r="BA22" s="60" t="n">
        <f aca="false">'📦 COGS &amp; OpEx'!BA26</f>
        <v>4764546</v>
      </c>
      <c r="BB22" s="60" t="n">
        <f aca="false">'📦 COGS &amp; OpEx'!BB26</f>
        <v>4710308.4</v>
      </c>
      <c r="BC22" s="60" t="n">
        <f aca="false">'📦 COGS &amp; OpEx'!BC26</f>
        <v>4102013.25</v>
      </c>
      <c r="BD22" s="60" t="n">
        <f aca="false">'📦 COGS &amp; OpEx'!BD26</f>
        <v>4384757.25</v>
      </c>
      <c r="BE22" s="60" t="n">
        <f aca="false">'📦 COGS &amp; OpEx'!BE26</f>
        <v>4608472.5</v>
      </c>
      <c r="BF22" s="60" t="n">
        <f aca="false">'📦 COGS &amp; OpEx'!BF26</f>
        <v>4536672.75</v>
      </c>
      <c r="BG22" s="60" t="n">
        <f aca="false">'📦 COGS &amp; OpEx'!BG26</f>
        <v>4944420</v>
      </c>
      <c r="BH22" s="60" t="n">
        <f aca="false">'📦 COGS &amp; OpEx'!BH26</f>
        <v>4948476.75</v>
      </c>
      <c r="BI22" s="60" t="n">
        <f aca="false">'📦 COGS &amp; OpEx'!BI26</f>
        <v>4686705</v>
      </c>
      <c r="BJ22" s="60" t="n">
        <f aca="false">'📦 COGS &amp; OpEx'!BJ26</f>
        <v>4522207.5</v>
      </c>
    </row>
    <row r="23" customFormat="false" ht="13.5" hidden="false" customHeight="true" outlineLevel="0" collapsed="false">
      <c r="A23" s="37" t="s">
        <v>380</v>
      </c>
      <c r="B23" s="68" t="n">
        <f aca="false">SUM(C23:BJ23)</f>
        <v>300000000</v>
      </c>
      <c r="C23" s="68" t="n">
        <f aca="false">'📦 COGS &amp; OpEx'!C30</f>
        <v>5000000</v>
      </c>
      <c r="D23" s="68" t="n">
        <f aca="false">'📦 COGS &amp; OpEx'!D30</f>
        <v>5000000</v>
      </c>
      <c r="E23" s="68" t="n">
        <f aca="false">'📦 COGS &amp; OpEx'!E30</f>
        <v>5000000</v>
      </c>
      <c r="F23" s="68" t="n">
        <f aca="false">'📦 COGS &amp; OpEx'!F30</f>
        <v>5000000</v>
      </c>
      <c r="G23" s="68" t="n">
        <f aca="false">'📦 COGS &amp; OpEx'!G30</f>
        <v>5000000</v>
      </c>
      <c r="H23" s="68" t="n">
        <f aca="false">'📦 COGS &amp; OpEx'!H30</f>
        <v>5000000</v>
      </c>
      <c r="I23" s="68" t="n">
        <f aca="false">'📦 COGS &amp; OpEx'!I30</f>
        <v>5000000</v>
      </c>
      <c r="J23" s="68" t="n">
        <f aca="false">'📦 COGS &amp; OpEx'!J30</f>
        <v>5000000</v>
      </c>
      <c r="K23" s="68" t="n">
        <f aca="false">'📦 COGS &amp; OpEx'!K30</f>
        <v>5000000</v>
      </c>
      <c r="L23" s="68" t="n">
        <f aca="false">'📦 COGS &amp; OpEx'!L30</f>
        <v>5000000</v>
      </c>
      <c r="M23" s="68" t="n">
        <f aca="false">'📦 COGS &amp; OpEx'!M30</f>
        <v>5000000</v>
      </c>
      <c r="N23" s="68" t="n">
        <f aca="false">'📦 COGS &amp; OpEx'!N30</f>
        <v>5000000</v>
      </c>
      <c r="O23" s="68" t="n">
        <f aca="false">'📦 COGS &amp; OpEx'!O30</f>
        <v>5000000</v>
      </c>
      <c r="P23" s="68" t="n">
        <f aca="false">'📦 COGS &amp; OpEx'!P30</f>
        <v>5000000</v>
      </c>
      <c r="Q23" s="68" t="n">
        <f aca="false">'📦 COGS &amp; OpEx'!Q30</f>
        <v>5000000</v>
      </c>
      <c r="R23" s="68" t="n">
        <f aca="false">'📦 COGS &amp; OpEx'!R30</f>
        <v>5000000</v>
      </c>
      <c r="S23" s="68" t="n">
        <f aca="false">'📦 COGS &amp; OpEx'!S30</f>
        <v>5000000</v>
      </c>
      <c r="T23" s="68" t="n">
        <f aca="false">'📦 COGS &amp; OpEx'!T30</f>
        <v>5000000</v>
      </c>
      <c r="U23" s="68" t="n">
        <f aca="false">'📦 COGS &amp; OpEx'!U30</f>
        <v>5000000</v>
      </c>
      <c r="V23" s="68" t="n">
        <f aca="false">'📦 COGS &amp; OpEx'!V30</f>
        <v>5000000</v>
      </c>
      <c r="W23" s="68" t="n">
        <f aca="false">'📦 COGS &amp; OpEx'!W30</f>
        <v>5000000</v>
      </c>
      <c r="X23" s="68" t="n">
        <f aca="false">'📦 COGS &amp; OpEx'!X30</f>
        <v>5000000</v>
      </c>
      <c r="Y23" s="68" t="n">
        <f aca="false">'📦 COGS &amp; OpEx'!Y30</f>
        <v>5000000</v>
      </c>
      <c r="Z23" s="68" t="n">
        <f aca="false">'📦 COGS &amp; OpEx'!Z30</f>
        <v>5000000</v>
      </c>
      <c r="AA23" s="68" t="n">
        <f aca="false">'📦 COGS &amp; OpEx'!AA30</f>
        <v>5000000</v>
      </c>
      <c r="AB23" s="68" t="n">
        <f aca="false">'📦 COGS &amp; OpEx'!AB30</f>
        <v>5000000</v>
      </c>
      <c r="AC23" s="68" t="n">
        <f aca="false">'📦 COGS &amp; OpEx'!AC30</f>
        <v>5000000</v>
      </c>
      <c r="AD23" s="68" t="n">
        <f aca="false">'📦 COGS &amp; OpEx'!AD30</f>
        <v>5000000</v>
      </c>
      <c r="AE23" s="68" t="n">
        <f aca="false">'📦 COGS &amp; OpEx'!AE30</f>
        <v>5000000</v>
      </c>
      <c r="AF23" s="68" t="n">
        <f aca="false">'📦 COGS &amp; OpEx'!AF30</f>
        <v>5000000</v>
      </c>
      <c r="AG23" s="68" t="n">
        <f aca="false">'📦 COGS &amp; OpEx'!AG30</f>
        <v>5000000</v>
      </c>
      <c r="AH23" s="68" t="n">
        <f aca="false">'📦 COGS &amp; OpEx'!AH30</f>
        <v>5000000</v>
      </c>
      <c r="AI23" s="68" t="n">
        <f aca="false">'📦 COGS &amp; OpEx'!AI30</f>
        <v>5000000</v>
      </c>
      <c r="AJ23" s="68" t="n">
        <f aca="false">'📦 COGS &amp; OpEx'!AJ30</f>
        <v>5000000</v>
      </c>
      <c r="AK23" s="68" t="n">
        <f aca="false">'📦 COGS &amp; OpEx'!AK30</f>
        <v>5000000</v>
      </c>
      <c r="AL23" s="68" t="n">
        <f aca="false">'📦 COGS &amp; OpEx'!AL30</f>
        <v>5000000</v>
      </c>
      <c r="AM23" s="68" t="n">
        <f aca="false">'📦 COGS &amp; OpEx'!AM30</f>
        <v>5000000</v>
      </c>
      <c r="AN23" s="68" t="n">
        <f aca="false">'📦 COGS &amp; OpEx'!AN30</f>
        <v>5000000</v>
      </c>
      <c r="AO23" s="68" t="n">
        <f aca="false">'📦 COGS &amp; OpEx'!AO30</f>
        <v>5000000</v>
      </c>
      <c r="AP23" s="68" t="n">
        <f aca="false">'📦 COGS &amp; OpEx'!AP30</f>
        <v>5000000</v>
      </c>
      <c r="AQ23" s="68" t="n">
        <f aca="false">'📦 COGS &amp; OpEx'!AQ30</f>
        <v>5000000</v>
      </c>
      <c r="AR23" s="68" t="n">
        <f aca="false">'📦 COGS &amp; OpEx'!AR30</f>
        <v>5000000</v>
      </c>
      <c r="AS23" s="68" t="n">
        <f aca="false">'📦 COGS &amp; OpEx'!AS30</f>
        <v>5000000</v>
      </c>
      <c r="AT23" s="68" t="n">
        <f aca="false">'📦 COGS &amp; OpEx'!AT30</f>
        <v>5000000</v>
      </c>
      <c r="AU23" s="68" t="n">
        <f aca="false">'📦 COGS &amp; OpEx'!AU30</f>
        <v>5000000</v>
      </c>
      <c r="AV23" s="68" t="n">
        <f aca="false">'📦 COGS &amp; OpEx'!AV30</f>
        <v>5000000</v>
      </c>
      <c r="AW23" s="68" t="n">
        <f aca="false">'📦 COGS &amp; OpEx'!AW30</f>
        <v>5000000</v>
      </c>
      <c r="AX23" s="68" t="n">
        <f aca="false">'📦 COGS &amp; OpEx'!AX30</f>
        <v>5000000</v>
      </c>
      <c r="AY23" s="68" t="n">
        <f aca="false">'📦 COGS &amp; OpEx'!AY30</f>
        <v>5000000</v>
      </c>
      <c r="AZ23" s="68" t="n">
        <f aca="false">'📦 COGS &amp; OpEx'!AZ30</f>
        <v>5000000</v>
      </c>
      <c r="BA23" s="68" t="n">
        <f aca="false">'📦 COGS &amp; OpEx'!BA30</f>
        <v>5000000</v>
      </c>
      <c r="BB23" s="68" t="n">
        <f aca="false">'📦 COGS &amp; OpEx'!BB30</f>
        <v>5000000</v>
      </c>
      <c r="BC23" s="68" t="n">
        <f aca="false">'📦 COGS &amp; OpEx'!BC30</f>
        <v>5000000</v>
      </c>
      <c r="BD23" s="68" t="n">
        <f aca="false">'📦 COGS &amp; OpEx'!BD30</f>
        <v>5000000</v>
      </c>
      <c r="BE23" s="68" t="n">
        <f aca="false">'📦 COGS &amp; OpEx'!BE30</f>
        <v>5000000</v>
      </c>
      <c r="BF23" s="68" t="n">
        <f aca="false">'📦 COGS &amp; OpEx'!BF30</f>
        <v>5000000</v>
      </c>
      <c r="BG23" s="68" t="n">
        <f aca="false">'📦 COGS &amp; OpEx'!BG30</f>
        <v>5000000</v>
      </c>
      <c r="BH23" s="68" t="n">
        <f aca="false">'📦 COGS &amp; OpEx'!BH30</f>
        <v>5000000</v>
      </c>
      <c r="BI23" s="68" t="n">
        <f aca="false">'📦 COGS &amp; OpEx'!BI30</f>
        <v>5000000</v>
      </c>
      <c r="BJ23" s="68" t="n">
        <f aca="false">'📦 COGS &amp; OpEx'!BJ30</f>
        <v>5000000</v>
      </c>
    </row>
    <row r="24" customFormat="false" ht="13.5" hidden="false" customHeight="true" outlineLevel="0" collapsed="false">
      <c r="A24" s="38" t="s">
        <v>381</v>
      </c>
      <c r="B24" s="68" t="n">
        <f aca="false">SUM(C24:BJ24)</f>
        <v>93981133.0037044</v>
      </c>
      <c r="C24" s="60" t="n">
        <f aca="false">'🏦 Loan Schedule'!D14</f>
        <v>3386250</v>
      </c>
      <c r="D24" s="60" t="n">
        <f aca="false">'🏦 Loan Schedule'!D15</f>
        <v>3303965.03028028</v>
      </c>
      <c r="E24" s="60" t="n">
        <f aca="false">'🏦 Loan Schedule'!D16</f>
        <v>3221062.92328765</v>
      </c>
      <c r="F24" s="60" t="n">
        <f aca="false">'🏦 Loan Schedule'!D17</f>
        <v>3137539.05049259</v>
      </c>
      <c r="G24" s="60" t="n">
        <f aca="false">'🏦 Loan Schedule'!D18</f>
        <v>3053388.74865156</v>
      </c>
      <c r="H24" s="60" t="n">
        <f aca="false">'🏦 Loan Schedule'!D19</f>
        <v>2968607.31954672</v>
      </c>
      <c r="I24" s="60" t="n">
        <f aca="false">'🏦 Loan Schedule'!D20</f>
        <v>2883190.0297236</v>
      </c>
      <c r="J24" s="60" t="n">
        <f aca="false">'🏦 Loan Schedule'!D21</f>
        <v>2797132.1102268</v>
      </c>
      <c r="K24" s="60" t="n">
        <f aca="false">'🏦 Loan Schedule'!D22</f>
        <v>2710428.75633378</v>
      </c>
      <c r="L24" s="60" t="n">
        <f aca="false">'🏦 Loan Schedule'!D23</f>
        <v>2623075.12728655</v>
      </c>
      <c r="M24" s="60" t="n">
        <f aca="false">'🏦 Loan Schedule'!D24</f>
        <v>2535066.34602148</v>
      </c>
      <c r="N24" s="60" t="n">
        <f aca="false">'🏦 Loan Schedule'!D25</f>
        <v>2446397.49889692</v>
      </c>
      <c r="O24" s="60" t="n">
        <f aca="false">'🏦 Loan Schedule'!D26</f>
        <v>2357063.63541892</v>
      </c>
      <c r="P24" s="60" t="n">
        <f aca="false">'🏦 Loan Schedule'!D27</f>
        <v>2267059.76796484</v>
      </c>
      <c r="Q24" s="60" t="n">
        <f aca="false">'🏦 Loan Schedule'!D28</f>
        <v>2176380.87150485</v>
      </c>
      <c r="R24" s="60" t="n">
        <f aca="false">'🏦 Loan Schedule'!D29</f>
        <v>2085021.88332141</v>
      </c>
      <c r="S24" s="60" t="n">
        <f aca="false">'🏦 Loan Schedule'!D30</f>
        <v>1992977.7027266</v>
      </c>
      <c r="T24" s="60" t="n">
        <f aca="false">'🏦 Loan Schedule'!D31</f>
        <v>1900243.19077732</v>
      </c>
      <c r="U24" s="60" t="n">
        <f aca="false">'🏦 Loan Schedule'!D32</f>
        <v>1806813.16998843</v>
      </c>
      <c r="V24" s="60" t="n">
        <f aca="false">'🏦 Loan Schedule'!D33</f>
        <v>1712682.42404362</v>
      </c>
      <c r="W24" s="60" t="n">
        <f aca="false">'🏦 Loan Schedule'!D34</f>
        <v>1617845.69750422</v>
      </c>
      <c r="X24" s="60" t="n">
        <f aca="false">'🏦 Loan Schedule'!D35</f>
        <v>1522297.69551578</v>
      </c>
      <c r="Y24" s="60" t="n">
        <f aca="false">'🏦 Loan Schedule'!D36</f>
        <v>1426033.08351242</v>
      </c>
      <c r="Z24" s="60" t="n">
        <f aca="false">'🏦 Loan Schedule'!D37</f>
        <v>1329046.48691904</v>
      </c>
      <c r="AA24" s="60" t="n">
        <f aca="false">'🏦 Loan Schedule'!D38</f>
        <v>1231332.49085121</v>
      </c>
      <c r="AB24" s="60" t="n">
        <f aca="false">'🏦 Loan Schedule'!D39</f>
        <v>1132885.63981287</v>
      </c>
      <c r="AC24" s="60" t="n">
        <f aca="false">'🏦 Loan Schedule'!D40</f>
        <v>1033700.43739174</v>
      </c>
      <c r="AD24" s="60" t="n">
        <f aca="false">'🏦 Loan Schedule'!D41</f>
        <v>933771.345952457</v>
      </c>
      <c r="AE24" s="60" t="n">
        <f aca="false">'🏦 Loan Schedule'!D42</f>
        <v>833092.786327376</v>
      </c>
      <c r="AF24" s="60" t="n">
        <f aca="false">'🏦 Loan Schedule'!D43</f>
        <v>731659.137505107</v>
      </c>
      <c r="AG24" s="60" t="n">
        <f aca="false">'🏦 Loan Schedule'!D44</f>
        <v>629464.736316672</v>
      </c>
      <c r="AH24" s="60" t="n">
        <f aca="false">'🏦 Loan Schedule'!D45</f>
        <v>526503.877119322</v>
      </c>
      <c r="AI24" s="60" t="n">
        <f aca="false">'🏦 Loan Schedule'!D46</f>
        <v>422770.811477993</v>
      </c>
      <c r="AJ24" s="60" t="n">
        <f aca="false">'🏦 Loan Schedule'!D47</f>
        <v>318259.747844354</v>
      </c>
      <c r="AK24" s="60" t="n">
        <f aca="false">'🏦 Loan Schedule'!D48</f>
        <v>212964.851233463</v>
      </c>
      <c r="AL24" s="60" t="n">
        <f aca="false">'🏦 Loan Schedule'!D49</f>
        <v>106880.242897989</v>
      </c>
      <c r="AM24" s="60" t="n">
        <f aca="false">'🏦 Loan Schedule'!E49</f>
        <v>14250699.0530652</v>
      </c>
      <c r="AN24" s="60" t="n">
        <f aca="false">'🏦 Loan Schedule'!F49</f>
        <v>14357579.2959632</v>
      </c>
      <c r="AO24" s="60" t="n">
        <f aca="false">'🏦 Loan Schedule'!G49</f>
        <v>0</v>
      </c>
      <c r="AP24" s="60" t="n">
        <f aca="false">'🏦 Loan Schedule'!H49</f>
        <v>0</v>
      </c>
      <c r="AQ24" s="60" t="n">
        <f aca="false">'🏦 Loan Schedule'!I49</f>
        <v>0</v>
      </c>
      <c r="AR24" s="60" t="n">
        <f aca="false">'🏦 Loan Schedule'!J49</f>
        <v>0</v>
      </c>
      <c r="AS24" s="60" t="n">
        <f aca="false">'🏦 Loan Schedule'!K49</f>
        <v>0</v>
      </c>
      <c r="AT24" s="60" t="n">
        <f aca="false">'🏦 Loan Schedule'!L49</f>
        <v>0</v>
      </c>
      <c r="AU24" s="60" t="n">
        <f aca="false">'🏦 Loan Schedule'!M49</f>
        <v>0</v>
      </c>
      <c r="AV24" s="60" t="n">
        <f aca="false">'🏦 Loan Schedule'!N49</f>
        <v>0</v>
      </c>
      <c r="AW24" s="60" t="n">
        <f aca="false">'🏦 Loan Schedule'!O49</f>
        <v>0</v>
      </c>
      <c r="AX24" s="60" t="n">
        <f aca="false">'🏦 Loan Schedule'!P49</f>
        <v>0</v>
      </c>
      <c r="AY24" s="60" t="n">
        <f aca="false">'🏦 Loan Schedule'!Q49</f>
        <v>0</v>
      </c>
      <c r="AZ24" s="60" t="n">
        <f aca="false">'🏦 Loan Schedule'!R49</f>
        <v>0</v>
      </c>
      <c r="BA24" s="60" t="n">
        <f aca="false">'🏦 Loan Schedule'!S49</f>
        <v>0</v>
      </c>
      <c r="BB24" s="60" t="n">
        <f aca="false">'🏦 Loan Schedule'!T49</f>
        <v>0</v>
      </c>
      <c r="BC24" s="60" t="n">
        <f aca="false">'🏦 Loan Schedule'!U49</f>
        <v>0</v>
      </c>
      <c r="BD24" s="60" t="n">
        <f aca="false">'🏦 Loan Schedule'!V49</f>
        <v>0</v>
      </c>
      <c r="BE24" s="60" t="n">
        <f aca="false">'🏦 Loan Schedule'!W49</f>
        <v>0</v>
      </c>
      <c r="BF24" s="60" t="n">
        <f aca="false">'🏦 Loan Schedule'!X49</f>
        <v>0</v>
      </c>
      <c r="BG24" s="60" t="n">
        <f aca="false">'🏦 Loan Schedule'!Y49</f>
        <v>0</v>
      </c>
      <c r="BH24" s="60" t="n">
        <f aca="false">'🏦 Loan Schedule'!Z49</f>
        <v>0</v>
      </c>
      <c r="BI24" s="60" t="n">
        <f aca="false">'🏦 Loan Schedule'!AA49</f>
        <v>0</v>
      </c>
      <c r="BJ24" s="60" t="n">
        <f aca="false">'🏦 Loan Schedule'!AB49</f>
        <v>0</v>
      </c>
    </row>
    <row r="25" customFormat="false" ht="13.5" hidden="false" customHeight="true" outlineLevel="0" collapsed="false">
      <c r="A25" s="66" t="s">
        <v>382</v>
      </c>
      <c r="B25" s="67" t="n">
        <f aca="false">SUM(C25:BJ25)</f>
        <v>9568232809.1912</v>
      </c>
      <c r="C25" s="67" t="n">
        <f aca="false">C15+C16+C17+C18+C19+C20+C21+C22+C23+C24</f>
        <v>68761250</v>
      </c>
      <c r="D25" s="67" t="n">
        <f aca="false">D15+D16+D17+D18+D19+D20+D21+D22+D23+D24</f>
        <v>68678965.0302803</v>
      </c>
      <c r="E25" s="67" t="n">
        <f aca="false">E15+E16+E17+E18+E19+E20+E21+E22+E23+E24</f>
        <v>149896329.173288</v>
      </c>
      <c r="F25" s="67" t="n">
        <f aca="false">F15+F16+F17+F18+F19+F20+F21+F22+F23+F24</f>
        <v>167016294.050493</v>
      </c>
      <c r="G25" s="67" t="n">
        <f aca="false">G15+G16+G17+G18+G19+G20+G21+G22+G23+G24</f>
        <v>132870268.436152</v>
      </c>
      <c r="H25" s="67" t="n">
        <f aca="false">H15+H16+H17+H18+H19+H20+H21+H22+H23+H24</f>
        <v>144832169.819547</v>
      </c>
      <c r="I25" s="67" t="n">
        <f aca="false">I15+I16+I17+I18+I19+I20+I21+I22+I23+I24</f>
        <v>156952018.154724</v>
      </c>
      <c r="J25" s="67" t="n">
        <f aca="false">J15+J16+J17+J18+J19+J20+J21+J22+J23+J24</f>
        <v>160058878.985227</v>
      </c>
      <c r="K25" s="67" t="n">
        <f aca="false">K15+K16+K17+K18+K19+K20+K21+K22+K23+K24</f>
        <v>173762678.756334</v>
      </c>
      <c r="L25" s="67" t="n">
        <f aca="false">L15+L16+L17+L18+L19+L20+L21+L22+L23+L24</f>
        <v>156772228.252287</v>
      </c>
      <c r="M25" s="67" t="n">
        <f aca="false">M15+M16+M17+M18+M19+M20+M21+M22+M23+M24</f>
        <v>149818203.846021</v>
      </c>
      <c r="N25" s="67" t="n">
        <f aca="false">N15+N16+N17+N18+N19+N20+N21+N22+N23+N24</f>
        <v>145414428.748897</v>
      </c>
      <c r="O25" s="67" t="n">
        <f aca="false">O15+O16+O17+O18+O19+O20+O21+O22+O23+O24</f>
        <v>147351529.260419</v>
      </c>
      <c r="P25" s="67" t="n">
        <f aca="false">P15+P16+P17+P18+P19+P20+P21+P22+P23+P24</f>
        <v>137013591.017965</v>
      </c>
      <c r="Q25" s="67" t="n">
        <f aca="false">Q15+Q16+Q17+Q18+Q19+Q20+Q21+Q22+Q23+Q24</f>
        <v>143673755.871505</v>
      </c>
      <c r="R25" s="67" t="n">
        <f aca="false">R15+R16+R17+R18+R19+R20+R21+R22+R23+R24</f>
        <v>152370896.883321</v>
      </c>
      <c r="S25" s="67" t="n">
        <f aca="false">S15+S16+S17+S18+S19+S20+S21+S22+S23+S24</f>
        <v>146249752.702727</v>
      </c>
      <c r="T25" s="67" t="n">
        <f aca="false">T15+T16+T17+T18+T19+T20+T21+T22+T23+T24</f>
        <v>157862024.440777</v>
      </c>
      <c r="U25" s="67" t="n">
        <f aca="false">U15+U16+U17+U18+U19+U20+U21+U22+U23+U24</f>
        <v>165169125.669988</v>
      </c>
      <c r="V25" s="67" t="n">
        <f aca="false">V15+V16+V17+V18+V19+V20+V21+V22+V23+V24</f>
        <v>162727851.174044</v>
      </c>
      <c r="W25" s="67" t="n">
        <f aca="false">W15+W16+W17+W18+W19+W20+W21+W22+W23+W24</f>
        <v>177631345.697504</v>
      </c>
      <c r="X25" s="67" t="n">
        <f aca="false">X15+X16+X17+X18+X19+X20+X21+X22+X23+X24</f>
        <v>177697628.945516</v>
      </c>
      <c r="Y25" s="67" t="n">
        <f aca="false">Y15+Y16+Y17+Y18+Y19+Y20+Y21+Y22+Y23+Y24</f>
        <v>168703008.083512</v>
      </c>
      <c r="Z25" s="67" t="n">
        <f aca="false">Z15+Z16+Z17+Z18+Z19+Z20+Z21+Z22+Z23+Z24</f>
        <v>162990358.986919</v>
      </c>
      <c r="AA25" s="67" t="n">
        <f aca="false">AA15+AA16+AA17+AA18+AA19+AA20+AA21+AA22+AA23+AA24</f>
        <v>165542188.740851</v>
      </c>
      <c r="AB25" s="67" t="n">
        <f aca="false">AB15+AB16+AB17+AB18+AB19+AB20+AB21+AB22+AB23+AB24</f>
        <v>157818773.139813</v>
      </c>
      <c r="AC25" s="67" t="n">
        <f aca="false">AC15+AC16+AC17+AC18+AC19+AC20+AC21+AC22+AC23+AC24</f>
        <v>167519710.437392</v>
      </c>
      <c r="AD25" s="67" t="n">
        <f aca="false">AD15+AD16+AD17+AD18+AD19+AD20+AD21+AD22+AD23+AD24</f>
        <v>167419781.345952</v>
      </c>
      <c r="AE25" s="67" t="n">
        <f aca="false">AE15+AE16+AE17+AE18+AE19+AE20+AE21+AE22+AE23+AE24</f>
        <v>145089867.786327</v>
      </c>
      <c r="AF25" s="67" t="n">
        <f aca="false">AF15+AF16+AF17+AF18+AF19+AF20+AF21+AF22+AF23+AF24</f>
        <v>156693440.387505</v>
      </c>
      <c r="AG25" s="67" t="n">
        <f aca="false">AG15+AG16+AG17+AG18+AG19+AG20+AG21+AG22+AG23+AG24</f>
        <v>163991777.236317</v>
      </c>
      <c r="AH25" s="67" t="n">
        <f aca="false">AH15+AH16+AH17+AH18+AH19+AH20+AH21+AH22+AH23+AH24</f>
        <v>161541672.627119</v>
      </c>
      <c r="AI25" s="67" t="n">
        <f aca="false">AI15+AI16+AI17+AI18+AI19+AI20+AI21+AI22+AI23+AI24</f>
        <v>176436270.811478</v>
      </c>
      <c r="AJ25" s="67" t="n">
        <f aca="false">AJ15+AJ16+AJ17+AJ18+AJ19+AJ20+AJ21+AJ22+AJ23+AJ24</f>
        <v>176493590.997844</v>
      </c>
      <c r="AK25" s="67" t="n">
        <f aca="false">AK15+AK16+AK17+AK18+AK19+AK20+AK21+AK22+AK23+AK24</f>
        <v>167489939.851233</v>
      </c>
      <c r="AL25" s="67" t="n">
        <f aca="false">AL15+AL16+AL17+AL18+AL19+AL20+AL21+AL22+AL23+AL24</f>
        <v>161768192.742898</v>
      </c>
      <c r="AM25" s="67" t="n">
        <f aca="false">AM15+AM16+AM17+AM18+AM19+AM20+AM21+AM22+AM23+AM24</f>
        <v>178561555.303065</v>
      </c>
      <c r="AN25" s="67" t="n">
        <f aca="false">AN15+AN16+AN17+AN18+AN19+AN20+AN21+AN22+AN23+AN24</f>
        <v>171043466.795963</v>
      </c>
      <c r="AO25" s="67" t="n">
        <f aca="false">AO15+AO16+AO17+AO18+AO19+AO20+AO21+AO22+AO23+AO24</f>
        <v>166486010</v>
      </c>
      <c r="AP25" s="67" t="n">
        <f aca="false">AP15+AP16+AP17+AP18+AP19+AP20+AP21+AP22+AP23+AP24</f>
        <v>171759110</v>
      </c>
      <c r="AQ25" s="67" t="n">
        <f aca="false">AQ15+AQ16+AQ17+AQ18+AQ19+AQ20+AQ21+AQ22+AQ23+AQ24</f>
        <v>147630425</v>
      </c>
      <c r="AR25" s="67" t="n">
        <f aca="false">AR15+AR16+AR17+AR18+AR19+AR20+AR21+AR22+AR23+AR24</f>
        <v>160136318.75</v>
      </c>
      <c r="AS25" s="67" t="n">
        <f aca="false">AS15+AS16+AS17+AS18+AS19+AS20+AS21+AS22+AS23+AS24</f>
        <v>168252687.5</v>
      </c>
      <c r="AT25" s="67" t="n">
        <f aca="false">AT15+AT16+AT17+AT18+AT19+AT20+AT21+AT22+AT23+AT24</f>
        <v>165629131.25</v>
      </c>
      <c r="AU25" s="67" t="n">
        <f aca="false">AU15+AU16+AU17+AU18+AU19+AU20+AU21+AU22+AU23+AU24</f>
        <v>181116500</v>
      </c>
      <c r="AV25" s="67" t="n">
        <f aca="false">AV15+AV16+AV17+AV18+AV19+AV20+AV21+AV22+AV23+AV24</f>
        <v>181228718.75</v>
      </c>
      <c r="AW25" s="67" t="n">
        <f aca="false">AW15+AW16+AW17+AW18+AW19+AW20+AW21+AW22+AW23+AW24</f>
        <v>171671225</v>
      </c>
      <c r="AX25" s="67" t="n">
        <f aca="false">AX15+AX16+AX17+AX18+AX19+AX20+AX21+AX22+AX23+AX24</f>
        <v>165701187.5</v>
      </c>
      <c r="AY25" s="67" t="n">
        <f aca="false">AY15+AY16+AY17+AY18+AY19+AY20+AY21+AY22+AY23+AY24</f>
        <v>168485393.75</v>
      </c>
      <c r="AZ25" s="67" t="n">
        <f aca="false">AZ15+AZ16+AZ17+AZ18+AZ19+AZ20+AZ21+AZ22+AZ23+AZ24</f>
        <v>161151012.5</v>
      </c>
      <c r="BA25" s="67" t="n">
        <f aca="false">BA15+BA16+BA17+BA18+BA19+BA20+BA21+BA22+BA23+BA24</f>
        <v>171759110</v>
      </c>
      <c r="BB25" s="67" t="n">
        <f aca="false">BB15+BB16+BB17+BB18+BB19+BB20+BB21+BB22+BB23+BB24</f>
        <v>169860794</v>
      </c>
      <c r="BC25" s="67" t="n">
        <f aca="false">BC15+BC16+BC17+BC18+BC19+BC20+BC21+BC22+BC23+BC24</f>
        <v>148570463.75</v>
      </c>
      <c r="BD25" s="67" t="n">
        <f aca="false">BD15+BD16+BD17+BD18+BD19+BD20+BD21+BD22+BD23+BD24</f>
        <v>158466503.75</v>
      </c>
      <c r="BE25" s="67" t="n">
        <f aca="false">BE15+BE16+BE17+BE18+BE19+BE20+BE21+BE22+BE23+BE24</f>
        <v>166296537.5</v>
      </c>
      <c r="BF25" s="67" t="n">
        <f aca="false">BF15+BF16+BF17+BF18+BF19+BF20+BF21+BF22+BF23+BF24</f>
        <v>163783546.25</v>
      </c>
      <c r="BG25" s="67" t="n">
        <f aca="false">BG15+BG16+BG17+BG18+BG19+BG20+BG21+BG22+BG23+BG24</f>
        <v>178054700</v>
      </c>
      <c r="BH25" s="67" t="n">
        <f aca="false">BH15+BH16+BH17+BH18+BH19+BH20+BH21+BH22+BH23+BH24</f>
        <v>178196686.25</v>
      </c>
      <c r="BI25" s="67" t="n">
        <f aca="false">BI15+BI16+BI17+BI18+BI19+BI20+BI21+BI22+BI23+BI24</f>
        <v>169034675</v>
      </c>
      <c r="BJ25" s="67" t="n">
        <f aca="false">BJ15+BJ16+BJ17+BJ18+BJ19+BJ20+BJ21+BJ22+BJ23+BJ24</f>
        <v>163277262.5</v>
      </c>
    </row>
    <row r="26" customFormat="false" ht="13.5" hidden="false" customHeight="true" outlineLevel="0" collapsed="false">
      <c r="A26" s="69" t="s">
        <v>383</v>
      </c>
      <c r="B26" s="70" t="n">
        <f aca="false">SUM(C26:BJ26)</f>
        <v>8836488923.8125</v>
      </c>
      <c r="C26" s="70" t="n">
        <f aca="false">C12-C25+C23+C24</f>
        <v>-60375000</v>
      </c>
      <c r="D26" s="70" t="n">
        <f aca="false">D12-D25+D23+D24</f>
        <v>-60375000</v>
      </c>
      <c r="E26" s="70" t="n">
        <f aca="false">E12-E25+E23+E24</f>
        <v>-6081266.25000001</v>
      </c>
      <c r="F26" s="70" t="n">
        <f aca="false">F12-F25+F23+F24</f>
        <v>25930845</v>
      </c>
      <c r="G26" s="70" t="n">
        <f aca="false">G12-G25+G23+G24</f>
        <v>18054520.3125</v>
      </c>
      <c r="H26" s="70" t="n">
        <f aca="false">H12-H25+H23+H24</f>
        <v>58213237.5</v>
      </c>
      <c r="I26" s="70" t="n">
        <f aca="false">I12-I25+I23+I24</f>
        <v>108025171.875</v>
      </c>
      <c r="J26" s="70" t="n">
        <f aca="false">J12-J25+J23+J24</f>
        <v>117252253.125</v>
      </c>
      <c r="K26" s="70" t="n">
        <f aca="false">K12-K25+K23+K24</f>
        <v>132027750</v>
      </c>
      <c r="L26" s="70" t="n">
        <f aca="false">L12-L25+L23+L24</f>
        <v>146032846.875</v>
      </c>
      <c r="M26" s="70" t="n">
        <f aca="false">M12-M25+M23+M24</f>
        <v>114396862.5</v>
      </c>
      <c r="N26" s="70" t="n">
        <f aca="false">N12-N25+N23+N24</f>
        <v>98011968.75</v>
      </c>
      <c r="O26" s="70" t="n">
        <f aca="false">O12-O25+O23+O24</f>
        <v>103851534.375</v>
      </c>
      <c r="P26" s="70" t="n">
        <f aca="false">P12-P25+P23+P24</f>
        <v>131073468.75</v>
      </c>
      <c r="Q26" s="70" t="n">
        <f aca="false">Q12-Q25+Q23+Q24</f>
        <v>171518625</v>
      </c>
      <c r="R26" s="70" t="n">
        <f aca="false">R12-R25+R23+R24</f>
        <v>172774125</v>
      </c>
      <c r="S26" s="70" t="n">
        <f aca="false">S12-S25+S23+S24</f>
        <v>104931225</v>
      </c>
      <c r="T26" s="70" t="n">
        <f aca="false">T12-T25+T23+T24</f>
        <v>151195218.75</v>
      </c>
      <c r="U26" s="70" t="n">
        <f aca="false">U12-U25+U23+U24</f>
        <v>195607687.5</v>
      </c>
      <c r="V26" s="70" t="n">
        <f aca="false">V12-V25+V23+V24</f>
        <v>177947831.25</v>
      </c>
      <c r="W26" s="70" t="n">
        <f aca="false">W12-W25+W23+W24</f>
        <v>198346500</v>
      </c>
      <c r="X26" s="70" t="n">
        <f aca="false">X12-X25+X23+X24</f>
        <v>194593668.75</v>
      </c>
      <c r="Y26" s="70" t="n">
        <f aca="false">Y12-Y25+Y23+Y24</f>
        <v>155783025</v>
      </c>
      <c r="Z26" s="70" t="n">
        <f aca="false">Z12-Z25+Z23+Z24</f>
        <v>135748687.5</v>
      </c>
      <c r="AA26" s="70" t="n">
        <f aca="false">AA12-AA25+AA23+AA24</f>
        <v>142846143.75</v>
      </c>
      <c r="AB26" s="70" t="n">
        <f aca="false">AB12-AB25+AB23+AB24</f>
        <v>171504112.5</v>
      </c>
      <c r="AC26" s="70" t="n">
        <f aca="false">AC12-AC25+AC23+AC24</f>
        <v>220185990</v>
      </c>
      <c r="AD26" s="70" t="n">
        <f aca="false">AD12-AD25+AD23+AD24</f>
        <v>224203590</v>
      </c>
      <c r="AE26" s="70" t="n">
        <f aca="false">AE12-AE25+AE23+AE24</f>
        <v>107501625</v>
      </c>
      <c r="AF26" s="70" t="n">
        <f aca="false">AF12-AF25+AF23+AF24</f>
        <v>154375818.75</v>
      </c>
      <c r="AG26" s="70" t="n">
        <f aca="false">AG12-AG25+AG23+AG24</f>
        <v>199333687.5</v>
      </c>
      <c r="AH26" s="70" t="n">
        <f aca="false">AH12-AH25+AH23+AH24</f>
        <v>181463231.25</v>
      </c>
      <c r="AI26" s="70" t="n">
        <f aca="false">AI12-AI25+AI23+AI24</f>
        <v>202234500</v>
      </c>
      <c r="AJ26" s="70" t="n">
        <f aca="false">AJ12-AJ25+AJ23+AJ24</f>
        <v>198443868.75</v>
      </c>
      <c r="AK26" s="70" t="n">
        <f aca="false">AK12-AK25+AK23+AK24</f>
        <v>159131025</v>
      </c>
      <c r="AL26" s="70" t="n">
        <f aca="false">AL12-AL25+AL23+AL24</f>
        <v>138826687.5</v>
      </c>
      <c r="AM26" s="70" t="n">
        <f aca="false">AM12-AM25+AM23+AM24</f>
        <v>146026743.75</v>
      </c>
      <c r="AN26" s="70" t="n">
        <f aca="false">AN12-AN25+AN23+AN24</f>
        <v>174906112.5</v>
      </c>
      <c r="AO26" s="70" t="n">
        <f aca="false">AO12-AO25+AO23+AO24</f>
        <v>224203590</v>
      </c>
      <c r="AP26" s="70" t="n">
        <f aca="false">AP12-AP25+AP23+AP24</f>
        <v>218930490</v>
      </c>
      <c r="AQ26" s="70" t="n">
        <f aca="false">AQ12-AQ25+AQ23+AQ24</f>
        <v>104127975</v>
      </c>
      <c r="AR26" s="70" t="n">
        <f aca="false">AR12-AR25+AR23+AR24</f>
        <v>150201281.25</v>
      </c>
      <c r="AS26" s="70" t="n">
        <f aca="false">AS12-AS25+AS23+AS24</f>
        <v>194443312.5</v>
      </c>
      <c r="AT26" s="70" t="n">
        <f aca="false">AT12-AT25+AT23+AT24</f>
        <v>176849268.75</v>
      </c>
      <c r="AU26" s="70" t="n">
        <f aca="false">AU12-AU25+AU23+AU24</f>
        <v>197131500</v>
      </c>
      <c r="AV26" s="70" t="n">
        <f aca="false">AV12-AV25+AV23+AV24</f>
        <v>193390481.25</v>
      </c>
      <c r="AW26" s="70" t="n">
        <f aca="false">AW12-AW25+AW23+AW24</f>
        <v>154736775</v>
      </c>
      <c r="AX26" s="70" t="n">
        <f aca="false">AX12-AX25+AX23+AX24</f>
        <v>134786812.5</v>
      </c>
      <c r="AY26" s="70" t="n">
        <f aca="false">AY12-AY25+AY23+AY24</f>
        <v>141852206.25</v>
      </c>
      <c r="AZ26" s="70" t="n">
        <f aca="false">AZ12-AZ25+AZ23+AZ24</f>
        <v>170440987.5</v>
      </c>
      <c r="BA26" s="70" t="n">
        <f aca="false">BA12-BA25+BA23+BA24</f>
        <v>218930490</v>
      </c>
      <c r="BB26" s="70" t="n">
        <f aca="false">BB12-BB25+BB23+BB24</f>
        <v>220828806</v>
      </c>
      <c r="BC26" s="70" t="n">
        <f aca="false">BC12-BC25+BC23+BC24</f>
        <v>112000736.25</v>
      </c>
      <c r="BD26" s="70" t="n">
        <f aca="false">BD12-BD25+BD23+BD24</f>
        <v>151871096.25</v>
      </c>
      <c r="BE26" s="70" t="n">
        <f aca="false">BE12-BE25+BE23+BE24</f>
        <v>196399462.5</v>
      </c>
      <c r="BF26" s="70" t="n">
        <f aca="false">BF12-BF25+BF23+BF24</f>
        <v>178694853.75</v>
      </c>
      <c r="BG26" s="70" t="n">
        <f aca="false">BG12-BG25+BG23+BG24</f>
        <v>200193300</v>
      </c>
      <c r="BH26" s="70" t="n">
        <f aca="false">BH12-BH25+BH23+BH24</f>
        <v>196422513.75</v>
      </c>
      <c r="BI26" s="70" t="n">
        <f aca="false">BI12-BI25+BI23+BI24</f>
        <v>157373325</v>
      </c>
      <c r="BJ26" s="70" t="n">
        <f aca="false">BJ12-BJ25+BJ23+BJ24</f>
        <v>137210737.5</v>
      </c>
    </row>
    <row r="27" customFormat="false" ht="13.5" hidden="false" customHeight="true" outlineLevel="0" collapsed="false">
      <c r="A27" s="37" t="s">
        <v>384</v>
      </c>
      <c r="B27" s="80" t="str">
        <f aca="false">""</f>
        <v/>
      </c>
      <c r="C27" s="80" t="str">
        <f aca="false">IFERROR(C26/C8,"-")</f>
        <v>-</v>
      </c>
      <c r="D27" s="80" t="str">
        <f aca="false">IFERROR(D26/D8,"-")</f>
        <v>-</v>
      </c>
      <c r="E27" s="80" t="n">
        <f aca="false">IFERROR(E26/E8,"-")</f>
        <v>-0.0322913381123059</v>
      </c>
      <c r="F27" s="80" t="n">
        <f aca="false">IFERROR(F26/F8,"-")</f>
        <v>0.103268996415771</v>
      </c>
      <c r="G27" s="80" t="n">
        <f aca="false">IFERROR(G26/G8,"-")</f>
        <v>0.0930076064908722</v>
      </c>
      <c r="H27" s="80" t="n">
        <f aca="false">IFERROR(H26/H8,"-")</f>
        <v>0.219631154499151</v>
      </c>
      <c r="I27" s="80" t="n">
        <f aca="false">IFERROR(I26/I8,"-")</f>
        <v>0.309250805152979</v>
      </c>
      <c r="J27" s="80" t="n">
        <f aca="false">IFERROR(J26/J8,"-")</f>
        <v>0.320197311827957</v>
      </c>
      <c r="K27" s="80" t="n">
        <f aca="false">IFERROR(K26/K8,"-")</f>
        <v>0.325994444444445</v>
      </c>
      <c r="L27" s="80" t="n">
        <f aca="false">IFERROR(L26/L8,"-")</f>
        <v>0.364114936886396</v>
      </c>
      <c r="M27" s="80" t="n">
        <f aca="false">IFERROR(M26/M8,"-")</f>
        <v>0.328019677419355</v>
      </c>
      <c r="N27" s="80" t="n">
        <f aca="false">IFERROR(N26/N8,"-")</f>
        <v>0.305690350877193</v>
      </c>
      <c r="O27" s="80" t="n">
        <f aca="false">IFERROR(O26/O8,"-")</f>
        <v>0.313454923599321</v>
      </c>
      <c r="P27" s="80" t="n">
        <f aca="false">IFERROR(P26/P8,"-")</f>
        <v>0.369872222222222</v>
      </c>
      <c r="Q27" s="80" t="n">
        <f aca="false">IFERROR(Q26/Q8,"-")</f>
        <v>0.409841397849462</v>
      </c>
      <c r="R27" s="80" t="n">
        <f aca="false">IFERROR(R26/R8,"-")</f>
        <v>0.412841397849462</v>
      </c>
      <c r="S27" s="80" t="n">
        <f aca="false">IFERROR(S26/S8,"-")</f>
        <v>0.326583333333333</v>
      </c>
      <c r="T27" s="80" t="n">
        <f aca="false">IFERROR(T26/T8,"-")</f>
        <v>0.380293576683645</v>
      </c>
      <c r="U27" s="80" t="n">
        <f aca="false">IFERROR(U26/U8,"-")</f>
        <v>0.419984299516908</v>
      </c>
      <c r="V27" s="80" t="n">
        <f aca="false">IFERROR(V26/V8,"-")</f>
        <v>0.404956093189964</v>
      </c>
      <c r="W27" s="80" t="n">
        <f aca="false">IFERROR(W26/W8,"-")</f>
        <v>0.40812037037037</v>
      </c>
      <c r="X27" s="80" t="n">
        <f aca="false">IFERROR(X26/X8,"-")</f>
        <v>0.404329476390837</v>
      </c>
      <c r="Y27" s="80" t="n">
        <f aca="false">IFERROR(Y26/Y8,"-")</f>
        <v>0.372241397849462</v>
      </c>
      <c r="Z27" s="80" t="n">
        <f aca="false">IFERROR(Z26/Z8,"-")</f>
        <v>0.352823099415205</v>
      </c>
      <c r="AA27" s="80" t="n">
        <f aca="false">IFERROR(AA26/AA8,"-")</f>
        <v>0.359293576683645</v>
      </c>
      <c r="AB27" s="80" t="n">
        <f aca="false">IFERROR(AB26/AB8,"-")</f>
        <v>0.403301851851852</v>
      </c>
      <c r="AC27" s="80" t="n">
        <f aca="false">IFERROR(AC26/AC8,"-")</f>
        <v>0.438442831541219</v>
      </c>
      <c r="AD27" s="80" t="n">
        <f aca="false">IFERROR(AD26/AD8,"-")</f>
        <v>0.446442831541219</v>
      </c>
      <c r="AE27" s="80" t="n">
        <f aca="false">IFERROR(AE26/AE8,"-")</f>
        <v>0.334583333333333</v>
      </c>
      <c r="AF27" s="80" t="n">
        <f aca="false">IFERROR(AF26/AF8,"-")</f>
        <v>0.388293576683645</v>
      </c>
      <c r="AG27" s="80" t="n">
        <f aca="false">IFERROR(AG26/AG8,"-")</f>
        <v>0.427984299516908</v>
      </c>
      <c r="AH27" s="80" t="n">
        <f aca="false">IFERROR(AH26/AH8,"-")</f>
        <v>0.412956093189964</v>
      </c>
      <c r="AI27" s="80" t="n">
        <f aca="false">IFERROR(AI26/AI8,"-")</f>
        <v>0.41612037037037</v>
      </c>
      <c r="AJ27" s="80" t="n">
        <f aca="false">IFERROR(AJ26/AJ8,"-")</f>
        <v>0.412329476390837</v>
      </c>
      <c r="AK27" s="80" t="n">
        <f aca="false">IFERROR(AK26/AK8,"-")</f>
        <v>0.380241397849462</v>
      </c>
      <c r="AL27" s="80" t="n">
        <f aca="false">IFERROR(AL26/AL8,"-")</f>
        <v>0.360823099415205</v>
      </c>
      <c r="AM27" s="80" t="n">
        <f aca="false">IFERROR(AM26/AM8,"-")</f>
        <v>0.367293576683645</v>
      </c>
      <c r="AN27" s="80" t="n">
        <f aca="false">IFERROR(AN26/AN8,"-")</f>
        <v>0.411301851851852</v>
      </c>
      <c r="AO27" s="80" t="n">
        <f aca="false">IFERROR(AO26/AO8,"-")</f>
        <v>0.446442831541219</v>
      </c>
      <c r="AP27" s="80" t="n">
        <f aca="false">IFERROR(AP26/AP8,"-")</f>
        <v>0.435942831541219</v>
      </c>
      <c r="AQ27" s="80" t="n">
        <f aca="false">IFERROR(AQ26/AQ8,"-")</f>
        <v>0.324083333333333</v>
      </c>
      <c r="AR27" s="80" t="n">
        <f aca="false">IFERROR(AR26/AR8,"-")</f>
        <v>0.377793576683645</v>
      </c>
      <c r="AS27" s="80" t="n">
        <f aca="false">IFERROR(AS26/AS8,"-")</f>
        <v>0.417484299516908</v>
      </c>
      <c r="AT27" s="80" t="n">
        <f aca="false">IFERROR(AT26/AT8,"-")</f>
        <v>0.402456093189964</v>
      </c>
      <c r="AU27" s="80" t="n">
        <f aca="false">IFERROR(AU26/AU8,"-")</f>
        <v>0.40562037037037</v>
      </c>
      <c r="AV27" s="80" t="n">
        <f aca="false">IFERROR(AV26/AV8,"-")</f>
        <v>0.401829476390837</v>
      </c>
      <c r="AW27" s="80" t="n">
        <f aca="false">IFERROR(AW26/AW8,"-")</f>
        <v>0.369741397849462</v>
      </c>
      <c r="AX27" s="80" t="n">
        <f aca="false">IFERROR(AX26/AX8,"-")</f>
        <v>0.350323099415205</v>
      </c>
      <c r="AY27" s="80" t="n">
        <f aca="false">IFERROR(AY26/AY8,"-")</f>
        <v>0.356793576683645</v>
      </c>
      <c r="AZ27" s="80" t="n">
        <f aca="false">IFERROR(AZ26/AZ8,"-")</f>
        <v>0.400801851851852</v>
      </c>
      <c r="BA27" s="80" t="n">
        <f aca="false">IFERROR(BA26/BA8,"-")</f>
        <v>0.435942831541219</v>
      </c>
      <c r="BB27" s="80" t="n">
        <f aca="false">IFERROR(BB26/BB8,"-")</f>
        <v>0.439722831541219</v>
      </c>
      <c r="BC27" s="80" t="n">
        <f aca="false">IFERROR(BC26/BC8,"-")</f>
        <v>0.336565956727519</v>
      </c>
      <c r="BD27" s="80" t="n">
        <f aca="false">IFERROR(BD26/BD8,"-")</f>
        <v>0.381993576683645</v>
      </c>
      <c r="BE27" s="80" t="n">
        <f aca="false">IFERROR(BE26/BE8,"-")</f>
        <v>0.421684299516908</v>
      </c>
      <c r="BF27" s="80" t="n">
        <f aca="false">IFERROR(BF26/BF8,"-")</f>
        <v>0.406656093189964</v>
      </c>
      <c r="BG27" s="80" t="n">
        <f aca="false">IFERROR(BG26/BG8,"-")</f>
        <v>0.41192037037037</v>
      </c>
      <c r="BH27" s="80" t="n">
        <f aca="false">IFERROR(BH26/BH8,"-")</f>
        <v>0.408129476390837</v>
      </c>
      <c r="BI27" s="80" t="n">
        <f aca="false">IFERROR(BI26/BI8,"-")</f>
        <v>0.376041397849462</v>
      </c>
      <c r="BJ27" s="80" t="n">
        <f aca="false">IFERROR(BJ26/BJ8,"-")</f>
        <v>0.356623099415205</v>
      </c>
    </row>
    <row r="28" customFormat="false" ht="13.5" hidden="false" customHeight="true" outlineLevel="0" collapsed="false">
      <c r="A28" s="66" t="s">
        <v>385</v>
      </c>
      <c r="B28" s="67" t="n">
        <f aca="false">SUM(C28:BJ28)</f>
        <v>8442507790.8088</v>
      </c>
      <c r="C28" s="101" t="n">
        <f aca="false">C12-C25</f>
        <v>-68761250</v>
      </c>
      <c r="D28" s="101" t="n">
        <f aca="false">D12-D25</f>
        <v>-68678965.0302803</v>
      </c>
      <c r="E28" s="101" t="n">
        <f aca="false">E12-E25</f>
        <v>-14302329.1732877</v>
      </c>
      <c r="F28" s="101" t="n">
        <f aca="false">F12-F25</f>
        <v>17793305.9495074</v>
      </c>
      <c r="G28" s="102" t="n">
        <f aca="false">G12-G25</f>
        <v>10001131.5638484</v>
      </c>
      <c r="H28" s="101" t="n">
        <f aca="false">H12-H25</f>
        <v>50244630.1804533</v>
      </c>
      <c r="I28" s="101" t="n">
        <f aca="false">I12-I25</f>
        <v>100141981.845276</v>
      </c>
      <c r="J28" s="101" t="n">
        <f aca="false">J12-J25</f>
        <v>109455121.014773</v>
      </c>
      <c r="K28" s="101" t="n">
        <f aca="false">K12-K25</f>
        <v>124317321.243666</v>
      </c>
      <c r="L28" s="101" t="n">
        <f aca="false">L12-L25</f>
        <v>138409771.747713</v>
      </c>
      <c r="M28" s="101" t="n">
        <f aca="false">M12-M25</f>
        <v>106861796.153979</v>
      </c>
      <c r="N28" s="101" t="n">
        <f aca="false">N12-N25</f>
        <v>90565571.2511031</v>
      </c>
      <c r="O28" s="101" t="n">
        <f aca="false">O12-O25</f>
        <v>96494470.7395811</v>
      </c>
      <c r="P28" s="101" t="n">
        <f aca="false">P12-P25</f>
        <v>123806408.982035</v>
      </c>
      <c r="Q28" s="101" t="n">
        <f aca="false">Q12-Q25</f>
        <v>164342244.128495</v>
      </c>
      <c r="R28" s="101" t="n">
        <f aca="false">R12-R25</f>
        <v>165689103.116679</v>
      </c>
      <c r="S28" s="101" t="n">
        <f aca="false">S12-S25</f>
        <v>97938247.2972734</v>
      </c>
      <c r="T28" s="101" t="n">
        <f aca="false">T12-T25</f>
        <v>144294975.559223</v>
      </c>
      <c r="U28" s="101" t="n">
        <f aca="false">U12-U25</f>
        <v>188800874.330012</v>
      </c>
      <c r="V28" s="101" t="n">
        <f aca="false">V12-V25</f>
        <v>171235148.825956</v>
      </c>
      <c r="W28" s="101" t="n">
        <f aca="false">W12-W25</f>
        <v>191728654.302496</v>
      </c>
      <c r="X28" s="101" t="n">
        <f aca="false">X12-X25</f>
        <v>188071371.054484</v>
      </c>
      <c r="Y28" s="101" t="n">
        <f aca="false">Y12-Y25</f>
        <v>149356991.916488</v>
      </c>
      <c r="Z28" s="101" t="n">
        <f aca="false">Z12-Z25</f>
        <v>129419641.013081</v>
      </c>
      <c r="AA28" s="101" t="n">
        <f aca="false">AA12-AA25</f>
        <v>136614811.259149</v>
      </c>
      <c r="AB28" s="101" t="n">
        <f aca="false">AB12-AB25</f>
        <v>165371226.860187</v>
      </c>
      <c r="AC28" s="101" t="n">
        <f aca="false">AC12-AC25</f>
        <v>214152289.562608</v>
      </c>
      <c r="AD28" s="101" t="n">
        <f aca="false">AD12-AD25</f>
        <v>218269818.654048</v>
      </c>
      <c r="AE28" s="101" t="n">
        <f aca="false">AE12-AE25</f>
        <v>101668532.213673</v>
      </c>
      <c r="AF28" s="101" t="n">
        <f aca="false">AF12-AF25</f>
        <v>148644159.612495</v>
      </c>
      <c r="AG28" s="101" t="n">
        <f aca="false">AG12-AG25</f>
        <v>193704222.763683</v>
      </c>
      <c r="AH28" s="101" t="n">
        <f aca="false">AH12-AH25</f>
        <v>175936727.372881</v>
      </c>
      <c r="AI28" s="101" t="n">
        <f aca="false">AI12-AI25</f>
        <v>196811729.188522</v>
      </c>
      <c r="AJ28" s="101" t="n">
        <f aca="false">AJ12-AJ25</f>
        <v>193125609.002156</v>
      </c>
      <c r="AK28" s="101" t="n">
        <f aca="false">AK12-AK25</f>
        <v>153918060.148767</v>
      </c>
      <c r="AL28" s="101" t="n">
        <f aca="false">AL12-AL25</f>
        <v>133719807.257102</v>
      </c>
      <c r="AM28" s="101" t="n">
        <f aca="false">AM12-AM25</f>
        <v>126776044.696935</v>
      </c>
      <c r="AN28" s="101" t="n">
        <f aca="false">AN12-AN25</f>
        <v>155548533.204037</v>
      </c>
      <c r="AO28" s="101" t="n">
        <f aca="false">AO12-AO25</f>
        <v>219203590</v>
      </c>
      <c r="AP28" s="101" t="n">
        <f aca="false">AP12-AP25</f>
        <v>213930490</v>
      </c>
      <c r="AQ28" s="101" t="n">
        <f aca="false">AQ12-AQ25</f>
        <v>99127975</v>
      </c>
      <c r="AR28" s="101" t="n">
        <f aca="false">AR12-AR25</f>
        <v>145201281.25</v>
      </c>
      <c r="AS28" s="101" t="n">
        <f aca="false">AS12-AS25</f>
        <v>189443312.5</v>
      </c>
      <c r="AT28" s="101" t="n">
        <f aca="false">AT12-AT25</f>
        <v>171849268.75</v>
      </c>
      <c r="AU28" s="101" t="n">
        <f aca="false">AU12-AU25</f>
        <v>192131500</v>
      </c>
      <c r="AV28" s="101" t="n">
        <f aca="false">AV12-AV25</f>
        <v>188390481.25</v>
      </c>
      <c r="AW28" s="101" t="n">
        <f aca="false">AW12-AW25</f>
        <v>149736775</v>
      </c>
      <c r="AX28" s="101" t="n">
        <f aca="false">AX12-AX25</f>
        <v>129786812.5</v>
      </c>
      <c r="AY28" s="101" t="n">
        <f aca="false">AY12-AY25</f>
        <v>136852206.25</v>
      </c>
      <c r="AZ28" s="101" t="n">
        <f aca="false">AZ12-AZ25</f>
        <v>165440987.5</v>
      </c>
      <c r="BA28" s="101" t="n">
        <f aca="false">BA12-BA25</f>
        <v>213930490</v>
      </c>
      <c r="BB28" s="101" t="n">
        <f aca="false">BB12-BB25</f>
        <v>215828806</v>
      </c>
      <c r="BC28" s="101" t="n">
        <f aca="false">BC12-BC25</f>
        <v>107000736.25</v>
      </c>
      <c r="BD28" s="101" t="n">
        <f aca="false">BD12-BD25</f>
        <v>146871096.25</v>
      </c>
      <c r="BE28" s="101" t="n">
        <f aca="false">BE12-BE25</f>
        <v>191399462.5</v>
      </c>
      <c r="BF28" s="101" t="n">
        <f aca="false">BF12-BF25</f>
        <v>173694853.75</v>
      </c>
      <c r="BG28" s="101" t="n">
        <f aca="false">BG12-BG25</f>
        <v>195193300</v>
      </c>
      <c r="BH28" s="101" t="n">
        <f aca="false">BH12-BH25</f>
        <v>191422513.75</v>
      </c>
      <c r="BI28" s="101" t="n">
        <f aca="false">BI12-BI25</f>
        <v>152373325</v>
      </c>
      <c r="BJ28" s="101" t="n">
        <f aca="false">BJ12-BJ25</f>
        <v>132210737.5</v>
      </c>
    </row>
    <row r="29" customFormat="false" ht="13.5" hidden="false" customHeight="true" outlineLevel="0" collapsed="false">
      <c r="A29" s="37" t="s">
        <v>386</v>
      </c>
      <c r="B29" s="80" t="str">
        <f aca="false">""</f>
        <v/>
      </c>
      <c r="C29" s="80" t="str">
        <f aca="false">IFERROR(C28/C8,"-")</f>
        <v>-</v>
      </c>
      <c r="D29" s="80" t="str">
        <f aca="false">IFERROR(D28/D8,"-")</f>
        <v>-</v>
      </c>
      <c r="E29" s="80" t="n">
        <f aca="false">IFERROR(E28/E8,"-")</f>
        <v>-0.0759449312268029</v>
      </c>
      <c r="F29" s="80" t="n">
        <f aca="false">IFERROR(F28/F8,"-")</f>
        <v>0.0708614334906707</v>
      </c>
      <c r="G29" s="80" t="n">
        <f aca="false">IFERROR(G28/G8,"-")</f>
        <v>0.0515206880522795</v>
      </c>
      <c r="H29" s="80" t="n">
        <f aca="false">IFERROR(H28/H8,"-")</f>
        <v>0.189566610754398</v>
      </c>
      <c r="I29" s="80" t="n">
        <f aca="false">IFERROR(I28/I8,"-")</f>
        <v>0.286683075599288</v>
      </c>
      <c r="J29" s="80" t="n">
        <f aca="false">IFERROR(J28/J8,"-")</f>
        <v>0.298904580344149</v>
      </c>
      <c r="K29" s="80" t="n">
        <f aca="false">IFERROR(K28/K8,"-")</f>
        <v>0.306956348749793</v>
      </c>
      <c r="L29" s="80" t="n">
        <f aca="false">IFERROR(L28/L8,"-")</f>
        <v>0.345107736943029</v>
      </c>
      <c r="M29" s="80" t="n">
        <f aca="false">IFERROR(M28/M8,"-")</f>
        <v>0.306413752412842</v>
      </c>
      <c r="N29" s="80" t="n">
        <f aca="false">IFERROR(N28/N8,"-")</f>
        <v>0.282465719301686</v>
      </c>
      <c r="O29" s="80" t="n">
        <f aca="false">IFERROR(O28/O8,"-")</f>
        <v>0.291249109947802</v>
      </c>
      <c r="P29" s="80" t="n">
        <f aca="false">IFERROR(P28/P8,"-")</f>
        <v>0.349365527991634</v>
      </c>
      <c r="Q29" s="80" t="n">
        <f aca="false">IFERROR(Q28/Q8,"-")</f>
        <v>0.392693534357217</v>
      </c>
      <c r="R29" s="80" t="n">
        <f aca="false">IFERROR(R28/R8,"-")</f>
        <v>0.39591183540425</v>
      </c>
      <c r="S29" s="80" t="n">
        <f aca="false">IFERROR(S28/S8,"-")</f>
        <v>0.304818696848034</v>
      </c>
      <c r="T29" s="80" t="n">
        <f aca="false">IFERROR(T28/T8,"-")</f>
        <v>0.362937749001378</v>
      </c>
      <c r="U29" s="80" t="n">
        <f aca="false">IFERROR(U28/U8,"-")</f>
        <v>0.405369563778876</v>
      </c>
      <c r="V29" s="80" t="n">
        <f aca="false">IFERROR(V28/V8,"-")</f>
        <v>0.389680033739447</v>
      </c>
      <c r="W29" s="80" t="n">
        <f aca="false">IFERROR(W28/W8,"-")</f>
        <v>0.3945034039146</v>
      </c>
      <c r="X29" s="80" t="n">
        <f aca="false">IFERROR(X28/X8,"-")</f>
        <v>0.390777354016901</v>
      </c>
      <c r="Y29" s="80" t="n">
        <f aca="false">IFERROR(Y28/Y8,"-")</f>
        <v>0.356886480087187</v>
      </c>
      <c r="Z29" s="80" t="n">
        <f aca="false">IFERROR(Z28/Z8,"-")</f>
        <v>0.336373335966422</v>
      </c>
      <c r="AA29" s="80" t="n">
        <f aca="false">IFERROR(AA28/AA8,"-")</f>
        <v>0.343620225766582</v>
      </c>
      <c r="AB29" s="80" t="n">
        <f aca="false">IFERROR(AB28/AB8,"-")</f>
        <v>0.388880016132127</v>
      </c>
      <c r="AC29" s="80" t="n">
        <f aca="false">IFERROR(AC28/AC8,"-")</f>
        <v>0.42642829462885</v>
      </c>
      <c r="AD29" s="80" t="n">
        <f aca="false">IFERROR(AD28/AD8,"-")</f>
        <v>0.434627277288028</v>
      </c>
      <c r="AE29" s="80" t="n">
        <f aca="false">IFERROR(AE28/AE8,"-")</f>
        <v>0.31642867168899</v>
      </c>
      <c r="AF29" s="80" t="n">
        <f aca="false">IFERROR(AF28/AF8,"-")</f>
        <v>0.373877028516619</v>
      </c>
      <c r="AG29" s="80" t="n">
        <f aca="false">IFERROR(AG28/AG8,"-")</f>
        <v>0.415897418708928</v>
      </c>
      <c r="AH29" s="80" t="n">
        <f aca="false">IFERROR(AH28/AH8,"-")</f>
        <v>0.40037942168261</v>
      </c>
      <c r="AI29" s="80" t="n">
        <f aca="false">IFERROR(AI28/AI8,"-")</f>
        <v>0.4049624057377</v>
      </c>
      <c r="AJ29" s="80" t="n">
        <f aca="false">IFERROR(AJ28/AJ8,"-")</f>
        <v>0.401279121089098</v>
      </c>
      <c r="AK29" s="80" t="n">
        <f aca="false">IFERROR(AK28/AK8,"-")</f>
        <v>0.36778508996121</v>
      </c>
      <c r="AL29" s="80" t="n">
        <f aca="false">IFERROR(AL28/AL8,"-")</f>
        <v>0.347549856418719</v>
      </c>
      <c r="AM29" s="80" t="n">
        <f aca="false">IFERROR(AM28/AM8,"-")</f>
        <v>0.318873281008451</v>
      </c>
      <c r="AN29" s="80" t="n">
        <f aca="false">IFERROR(AN28/AN8,"-")</f>
        <v>0.365781383195854</v>
      </c>
      <c r="AO29" s="80" t="n">
        <f aca="false">IFERROR(AO28/AO8,"-")</f>
        <v>0.436486638789327</v>
      </c>
      <c r="AP29" s="80" t="n">
        <f aca="false">IFERROR(AP28/AP8,"-")</f>
        <v>0.425986638789327</v>
      </c>
      <c r="AQ29" s="80" t="n">
        <f aca="false">IFERROR(AQ28/AQ8,"-")</f>
        <v>0.308521553065671</v>
      </c>
      <c r="AR29" s="80" t="n">
        <f aca="false">IFERROR(AR28/AR8,"-")</f>
        <v>0.365217333207571</v>
      </c>
      <c r="AS29" s="80" t="n">
        <f aca="false">IFERROR(AS28/AS8,"-")</f>
        <v>0.406748926462695</v>
      </c>
      <c r="AT29" s="80" t="n">
        <f aca="false">IFERROR(AT28/AT8,"-")</f>
        <v>0.391077587187802</v>
      </c>
      <c r="AU29" s="80" t="n">
        <f aca="false">IFERROR(AU28/AU8,"-")</f>
        <v>0.395332304526749</v>
      </c>
      <c r="AV29" s="80" t="n">
        <f aca="false">IFERROR(AV28/AV8,"-")</f>
        <v>0.391440405693211</v>
      </c>
      <c r="AW29" s="80" t="n">
        <f aca="false">IFERROR(AW28/AW8,"-")</f>
        <v>0.357793966547192</v>
      </c>
      <c r="AX29" s="80" t="n">
        <f aca="false">IFERROR(AX28/AX8,"-")</f>
        <v>0.337327647823262</v>
      </c>
      <c r="AY29" s="80" t="n">
        <f aca="false">IFERROR(AY28/AY8,"-")</f>
        <v>0.344217333207571</v>
      </c>
      <c r="AZ29" s="80" t="n">
        <f aca="false">IFERROR(AZ28/AZ8,"-")</f>
        <v>0.389044062316285</v>
      </c>
      <c r="BA29" s="80" t="n">
        <f aca="false">IFERROR(BA28/BA8,"-")</f>
        <v>0.425986638789327</v>
      </c>
      <c r="BB29" s="80" t="n">
        <f aca="false">IFERROR(BB28/BB8,"-")</f>
        <v>0.429766638789327</v>
      </c>
      <c r="BC29" s="80" t="n">
        <f aca="false">IFERROR(BC28/BC8,"-")</f>
        <v>0.321540789572534</v>
      </c>
      <c r="BD29" s="80" t="n">
        <f aca="false">IFERROR(BD28/BD8,"-")</f>
        <v>0.369417333207571</v>
      </c>
      <c r="BE29" s="80" t="n">
        <f aca="false">IFERROR(BE28/BE8,"-")</f>
        <v>0.410948926462695</v>
      </c>
      <c r="BF29" s="80" t="n">
        <f aca="false">IFERROR(BF28/BF8,"-")</f>
        <v>0.395277587187802</v>
      </c>
      <c r="BG29" s="80" t="n">
        <f aca="false">IFERROR(BG28/BG8,"-")</f>
        <v>0.401632304526749</v>
      </c>
      <c r="BH29" s="80" t="n">
        <f aca="false">IFERROR(BH28/BH8,"-")</f>
        <v>0.397740405693211</v>
      </c>
      <c r="BI29" s="80" t="n">
        <f aca="false">IFERROR(BI28/BI8,"-")</f>
        <v>0.364093966547192</v>
      </c>
      <c r="BJ29" s="80" t="n">
        <f aca="false">IFERROR(BJ28/BJ8,"-")</f>
        <v>0.343627647823262</v>
      </c>
    </row>
    <row r="30" customFormat="false" ht="13.5" hidden="false" customHeight="true" outlineLevel="0" collapsed="false">
      <c r="A30" s="103" t="s">
        <v>387</v>
      </c>
      <c r="B30" s="103"/>
      <c r="C30" s="103"/>
      <c r="D30" s="103"/>
      <c r="E30" s="103"/>
      <c r="F30" s="103"/>
      <c r="G30" s="103"/>
      <c r="H30" s="103"/>
      <c r="I30" s="103"/>
      <c r="J30" s="103"/>
      <c r="K30" s="103"/>
      <c r="L30" s="103"/>
      <c r="M30" s="103"/>
      <c r="N30" s="103"/>
      <c r="O30" s="103"/>
      <c r="P30" s="103"/>
      <c r="Q30" s="103"/>
      <c r="R30" s="103"/>
      <c r="S30" s="103"/>
      <c r="T30" s="103"/>
      <c r="U30" s="103"/>
      <c r="V30" s="103"/>
      <c r="W30" s="103"/>
      <c r="X30" s="103"/>
      <c r="Y30" s="103"/>
      <c r="Z30" s="103"/>
      <c r="AA30" s="103"/>
      <c r="AB30" s="103"/>
      <c r="AC30" s="103"/>
      <c r="AD30" s="103"/>
      <c r="AE30" s="103"/>
      <c r="AF30" s="103"/>
      <c r="AG30" s="103"/>
      <c r="AH30" s="103"/>
      <c r="AI30" s="103"/>
      <c r="AJ30" s="103"/>
      <c r="AK30" s="103"/>
      <c r="AL30" s="103"/>
      <c r="AM30" s="103"/>
      <c r="AN30" s="103"/>
      <c r="AO30" s="103"/>
      <c r="AP30" s="103"/>
      <c r="AQ30" s="103"/>
      <c r="AR30" s="103"/>
      <c r="AS30" s="103"/>
      <c r="AT30" s="103"/>
      <c r="AU30" s="103"/>
      <c r="AV30" s="103"/>
      <c r="AW30" s="103"/>
      <c r="AX30" s="103"/>
      <c r="AY30" s="103"/>
      <c r="AZ30" s="103"/>
      <c r="BA30" s="103"/>
      <c r="BB30" s="103"/>
      <c r="BC30" s="103"/>
      <c r="BD30" s="103"/>
      <c r="BE30" s="103"/>
      <c r="BF30" s="103"/>
      <c r="BG30" s="103"/>
      <c r="BH30" s="103"/>
      <c r="BI30" s="103"/>
      <c r="BJ30" s="103"/>
    </row>
    <row r="31" customFormat="false" ht="13.5" hidden="false" customHeight="true" outlineLevel="0" collapsed="false">
      <c r="A31" s="37" t="s">
        <v>388</v>
      </c>
      <c r="B31" s="68" t="n">
        <f aca="false">SUM(C31:BJ31)</f>
        <v>859425033.501236</v>
      </c>
      <c r="C31" s="68" t="n">
        <f aca="false">MAX(0,C28)*0.1</f>
        <v>0</v>
      </c>
      <c r="D31" s="68" t="n">
        <f aca="false">MAX(0,D28)*0.1</f>
        <v>0</v>
      </c>
      <c r="E31" s="68" t="n">
        <f aca="false">MAX(0,E28)*0.1</f>
        <v>0</v>
      </c>
      <c r="F31" s="68" t="n">
        <f aca="false">MAX(0,F28)*0.1</f>
        <v>1779330.59495074</v>
      </c>
      <c r="G31" s="68" t="n">
        <f aca="false">MAX(0,G28)*0.1</f>
        <v>1000113.15638484</v>
      </c>
      <c r="H31" s="68" t="n">
        <f aca="false">MAX(0,H28)*0.1</f>
        <v>5024463.01804533</v>
      </c>
      <c r="I31" s="68" t="n">
        <f aca="false">MAX(0,I28)*0.1</f>
        <v>10014198.1845276</v>
      </c>
      <c r="J31" s="68" t="n">
        <f aca="false">MAX(0,J28)*0.1</f>
        <v>10945512.1014773</v>
      </c>
      <c r="K31" s="68" t="n">
        <f aca="false">MAX(0,K28)*0.1</f>
        <v>12431732.1243666</v>
      </c>
      <c r="L31" s="68" t="n">
        <f aca="false">MAX(0,L28)*0.1</f>
        <v>13840977.1747713</v>
      </c>
      <c r="M31" s="68" t="n">
        <f aca="false">MAX(0,M28)*0.1</f>
        <v>10686179.6153979</v>
      </c>
      <c r="N31" s="68" t="n">
        <f aca="false">MAX(0,N28)*0.1</f>
        <v>9056557.12511031</v>
      </c>
      <c r="O31" s="68" t="n">
        <f aca="false">MAX(0,O28)*0.1</f>
        <v>9649447.07395811</v>
      </c>
      <c r="P31" s="68" t="n">
        <f aca="false">MAX(0,P28)*0.1</f>
        <v>12380640.8982035</v>
      </c>
      <c r="Q31" s="68" t="n">
        <f aca="false">MAX(0,Q28)*0.1</f>
        <v>16434224.4128495</v>
      </c>
      <c r="R31" s="68" t="n">
        <f aca="false">MAX(0,R28)*0.1</f>
        <v>16568910.3116679</v>
      </c>
      <c r="S31" s="68" t="n">
        <f aca="false">MAX(0,S28)*0.1</f>
        <v>9793824.72972734</v>
      </c>
      <c r="T31" s="68" t="n">
        <f aca="false">MAX(0,T28)*0.1</f>
        <v>14429497.5559223</v>
      </c>
      <c r="U31" s="68" t="n">
        <f aca="false">MAX(0,U28)*0.1</f>
        <v>18880087.4330012</v>
      </c>
      <c r="V31" s="68" t="n">
        <f aca="false">MAX(0,V28)*0.1</f>
        <v>17123514.8825956</v>
      </c>
      <c r="W31" s="68" t="n">
        <f aca="false">MAX(0,W28)*0.1</f>
        <v>19172865.4302496</v>
      </c>
      <c r="X31" s="68" t="n">
        <f aca="false">MAX(0,X28)*0.1</f>
        <v>18807137.1054484</v>
      </c>
      <c r="Y31" s="68" t="n">
        <f aca="false">MAX(0,Y28)*0.1</f>
        <v>14935699.1916488</v>
      </c>
      <c r="Z31" s="68" t="n">
        <f aca="false">MAX(0,Z28)*0.1</f>
        <v>12941964.1013081</v>
      </c>
      <c r="AA31" s="68" t="n">
        <f aca="false">MAX(0,AA28)*0.1</f>
        <v>13661481.1259149</v>
      </c>
      <c r="AB31" s="68" t="n">
        <f aca="false">MAX(0,AB28)*0.1</f>
        <v>16537122.6860187</v>
      </c>
      <c r="AC31" s="68" t="n">
        <f aca="false">MAX(0,AC28)*0.1</f>
        <v>21415228.9562608</v>
      </c>
      <c r="AD31" s="68" t="n">
        <f aca="false">MAX(0,AD28)*0.1</f>
        <v>21826981.8654048</v>
      </c>
      <c r="AE31" s="68" t="n">
        <f aca="false">MAX(0,AE28)*0.1</f>
        <v>10166853.2213673</v>
      </c>
      <c r="AF31" s="68" t="n">
        <f aca="false">MAX(0,AF28)*0.1</f>
        <v>14864415.9612495</v>
      </c>
      <c r="AG31" s="68" t="n">
        <f aca="false">MAX(0,AG28)*0.1</f>
        <v>19370422.2763683</v>
      </c>
      <c r="AH31" s="68" t="n">
        <f aca="false">MAX(0,AH28)*0.1</f>
        <v>17593672.7372881</v>
      </c>
      <c r="AI31" s="68" t="n">
        <f aca="false">MAX(0,AI28)*0.1</f>
        <v>19681172.9188522</v>
      </c>
      <c r="AJ31" s="68" t="n">
        <f aca="false">MAX(0,AJ28)*0.1</f>
        <v>19312560.9002156</v>
      </c>
      <c r="AK31" s="68" t="n">
        <f aca="false">MAX(0,AK28)*0.1</f>
        <v>15391806.0148767</v>
      </c>
      <c r="AL31" s="68" t="n">
        <f aca="false">MAX(0,AL28)*0.1</f>
        <v>13371980.7257102</v>
      </c>
      <c r="AM31" s="68" t="n">
        <f aca="false">MAX(0,AM28)*0.1</f>
        <v>12677604.4696935</v>
      </c>
      <c r="AN31" s="68" t="n">
        <f aca="false">MAX(0,AN28)*0.1</f>
        <v>15554853.3204037</v>
      </c>
      <c r="AO31" s="68" t="n">
        <f aca="false">MAX(0,AO28)*0.1</f>
        <v>21920359</v>
      </c>
      <c r="AP31" s="68" t="n">
        <f aca="false">MAX(0,AP28)*0.1</f>
        <v>21393049</v>
      </c>
      <c r="AQ31" s="68" t="n">
        <f aca="false">MAX(0,AQ28)*0.1</f>
        <v>9912797.5</v>
      </c>
      <c r="AR31" s="68" t="n">
        <f aca="false">MAX(0,AR28)*0.1</f>
        <v>14520128.125</v>
      </c>
      <c r="AS31" s="68" t="n">
        <f aca="false">MAX(0,AS28)*0.1</f>
        <v>18944331.25</v>
      </c>
      <c r="AT31" s="68" t="n">
        <f aca="false">MAX(0,AT28)*0.1</f>
        <v>17184926.875</v>
      </c>
      <c r="AU31" s="68" t="n">
        <f aca="false">MAX(0,AU28)*0.1</f>
        <v>19213150</v>
      </c>
      <c r="AV31" s="68" t="n">
        <f aca="false">MAX(0,AV28)*0.1</f>
        <v>18839048.125</v>
      </c>
      <c r="AW31" s="68" t="n">
        <f aca="false">MAX(0,AW28)*0.1</f>
        <v>14973677.5</v>
      </c>
      <c r="AX31" s="68" t="n">
        <f aca="false">MAX(0,AX28)*0.1</f>
        <v>12978681.25</v>
      </c>
      <c r="AY31" s="68" t="n">
        <f aca="false">MAX(0,AY28)*0.1</f>
        <v>13685220.625</v>
      </c>
      <c r="AZ31" s="68" t="n">
        <f aca="false">MAX(0,AZ28)*0.1</f>
        <v>16544098.75</v>
      </c>
      <c r="BA31" s="68" t="n">
        <f aca="false">MAX(0,BA28)*0.1</f>
        <v>21393049</v>
      </c>
      <c r="BB31" s="68" t="n">
        <f aca="false">MAX(0,BB28)*0.1</f>
        <v>21582880.6</v>
      </c>
      <c r="BC31" s="68" t="n">
        <f aca="false">MAX(0,BC28)*0.1</f>
        <v>10700073.625</v>
      </c>
      <c r="BD31" s="68" t="n">
        <f aca="false">MAX(0,BD28)*0.1</f>
        <v>14687109.625</v>
      </c>
      <c r="BE31" s="68" t="n">
        <f aca="false">MAX(0,BE28)*0.1</f>
        <v>19139946.25</v>
      </c>
      <c r="BF31" s="68" t="n">
        <f aca="false">MAX(0,BF28)*0.1</f>
        <v>17369485.375</v>
      </c>
      <c r="BG31" s="68" t="n">
        <f aca="false">MAX(0,BG28)*0.1</f>
        <v>19519330</v>
      </c>
      <c r="BH31" s="68" t="n">
        <f aca="false">MAX(0,BH28)*0.1</f>
        <v>19142251.375</v>
      </c>
      <c r="BI31" s="68" t="n">
        <f aca="false">MAX(0,BI28)*0.1</f>
        <v>15237332.5</v>
      </c>
      <c r="BJ31" s="68" t="n">
        <f aca="false">MAX(0,BJ28)*0.1</f>
        <v>13221073.75</v>
      </c>
    </row>
    <row r="32" customFormat="false" ht="13.5" hidden="false" customHeight="true" outlineLevel="0" collapsed="false">
      <c r="A32" s="69" t="s">
        <v>389</v>
      </c>
      <c r="B32" s="70" t="n">
        <f aca="false">SUM(C32:BJ32)</f>
        <v>7583082757.30756</v>
      </c>
      <c r="C32" s="70" t="n">
        <f aca="false">C28-C31</f>
        <v>-68761250</v>
      </c>
      <c r="D32" s="70" t="n">
        <f aca="false">D28-D31</f>
        <v>-68678965.0302803</v>
      </c>
      <c r="E32" s="70" t="n">
        <f aca="false">E28-E31</f>
        <v>-14302329.1732877</v>
      </c>
      <c r="F32" s="70" t="n">
        <f aca="false">F28-F31</f>
        <v>16013975.3545567</v>
      </c>
      <c r="G32" s="70" t="n">
        <f aca="false">G28-G31</f>
        <v>9001018.40746359</v>
      </c>
      <c r="H32" s="70" t="n">
        <f aca="false">H28-H31</f>
        <v>45220167.1624079</v>
      </c>
      <c r="I32" s="70" t="n">
        <f aca="false">I28-I31</f>
        <v>90127783.6607488</v>
      </c>
      <c r="J32" s="70" t="n">
        <f aca="false">J28-J31</f>
        <v>98509608.9132959</v>
      </c>
      <c r="K32" s="70" t="n">
        <f aca="false">K28-K31</f>
        <v>111885589.1193</v>
      </c>
      <c r="L32" s="70" t="n">
        <f aca="false">L28-L31</f>
        <v>124568794.572942</v>
      </c>
      <c r="M32" s="70" t="n">
        <f aca="false">M28-M31</f>
        <v>96175616.5385807</v>
      </c>
      <c r="N32" s="70" t="n">
        <f aca="false">N28-N31</f>
        <v>81509014.1259928</v>
      </c>
      <c r="O32" s="70" t="n">
        <f aca="false">O28-O31</f>
        <v>86845023.665623</v>
      </c>
      <c r="P32" s="70" t="n">
        <f aca="false">P28-P31</f>
        <v>111425768.083832</v>
      </c>
      <c r="Q32" s="70" t="n">
        <f aca="false">Q28-Q31</f>
        <v>147908019.715646</v>
      </c>
      <c r="R32" s="70" t="n">
        <f aca="false">R28-R31</f>
        <v>149120192.805011</v>
      </c>
      <c r="S32" s="70" t="n">
        <f aca="false">S28-S31</f>
        <v>88144422.5675461</v>
      </c>
      <c r="T32" s="70" t="n">
        <f aca="false">T28-T31</f>
        <v>129865478.0033</v>
      </c>
      <c r="U32" s="70" t="n">
        <f aca="false">U28-U31</f>
        <v>169920786.89701</v>
      </c>
      <c r="V32" s="70" t="n">
        <f aca="false">V28-V31</f>
        <v>154111633.943361</v>
      </c>
      <c r="W32" s="70" t="n">
        <f aca="false">W28-W31</f>
        <v>172555788.872246</v>
      </c>
      <c r="X32" s="70" t="n">
        <f aca="false">X28-X31</f>
        <v>169264233.949036</v>
      </c>
      <c r="Y32" s="70" t="n">
        <f aca="false">Y28-Y31</f>
        <v>134421292.724839</v>
      </c>
      <c r="Z32" s="70" t="n">
        <f aca="false">Z28-Z31</f>
        <v>116477676.911773</v>
      </c>
      <c r="AA32" s="70" t="n">
        <f aca="false">AA28-AA31</f>
        <v>122953330.133234</v>
      </c>
      <c r="AB32" s="70" t="n">
        <f aca="false">AB28-AB31</f>
        <v>148834104.174168</v>
      </c>
      <c r="AC32" s="70" t="n">
        <f aca="false">AC28-AC31</f>
        <v>192737060.606347</v>
      </c>
      <c r="AD32" s="70" t="n">
        <f aca="false">AD28-AD31</f>
        <v>196442836.788643</v>
      </c>
      <c r="AE32" s="70" t="n">
        <f aca="false">AE28-AE31</f>
        <v>91501678.9923054</v>
      </c>
      <c r="AF32" s="70" t="n">
        <f aca="false">AF28-AF31</f>
        <v>133779743.651245</v>
      </c>
      <c r="AG32" s="70" t="n">
        <f aca="false">AG28-AG31</f>
        <v>174333800.487315</v>
      </c>
      <c r="AH32" s="70" t="n">
        <f aca="false">AH28-AH31</f>
        <v>158343054.635593</v>
      </c>
      <c r="AI32" s="70" t="n">
        <f aca="false">AI28-AI31</f>
        <v>177130556.26967</v>
      </c>
      <c r="AJ32" s="70" t="n">
        <f aca="false">AJ28-AJ31</f>
        <v>173813048.10194</v>
      </c>
      <c r="AK32" s="70" t="n">
        <f aca="false">AK28-AK31</f>
        <v>138526254.13389</v>
      </c>
      <c r="AL32" s="70" t="n">
        <f aca="false">AL28-AL31</f>
        <v>120347826.531392</v>
      </c>
      <c r="AM32" s="70" t="n">
        <f aca="false">AM28-AM31</f>
        <v>114098440.227241</v>
      </c>
      <c r="AN32" s="70" t="n">
        <f aca="false">AN28-AN31</f>
        <v>139993679.883633</v>
      </c>
      <c r="AO32" s="70" t="n">
        <f aca="false">AO28-AO31</f>
        <v>197283231</v>
      </c>
      <c r="AP32" s="70" t="n">
        <f aca="false">AP28-AP31</f>
        <v>192537441</v>
      </c>
      <c r="AQ32" s="70" t="n">
        <f aca="false">AQ28-AQ31</f>
        <v>89215177.5</v>
      </c>
      <c r="AR32" s="70" t="n">
        <f aca="false">AR28-AR31</f>
        <v>130681153.125</v>
      </c>
      <c r="AS32" s="70" t="n">
        <f aca="false">AS28-AS31</f>
        <v>170498981.25</v>
      </c>
      <c r="AT32" s="70" t="n">
        <f aca="false">AT28-AT31</f>
        <v>154664341.875</v>
      </c>
      <c r="AU32" s="70" t="n">
        <f aca="false">AU28-AU31</f>
        <v>172918350</v>
      </c>
      <c r="AV32" s="70" t="n">
        <f aca="false">AV28-AV31</f>
        <v>169551433.125</v>
      </c>
      <c r="AW32" s="70" t="n">
        <f aca="false">AW28-AW31</f>
        <v>134763097.5</v>
      </c>
      <c r="AX32" s="70" t="n">
        <f aca="false">AX28-AX31</f>
        <v>116808131.25</v>
      </c>
      <c r="AY32" s="70" t="n">
        <f aca="false">AY28-AY31</f>
        <v>123166985.625</v>
      </c>
      <c r="AZ32" s="70" t="n">
        <f aca="false">AZ28-AZ31</f>
        <v>148896888.75</v>
      </c>
      <c r="BA32" s="70" t="n">
        <f aca="false">BA28-BA31</f>
        <v>192537441</v>
      </c>
      <c r="BB32" s="70" t="n">
        <f aca="false">BB28-BB31</f>
        <v>194245925.4</v>
      </c>
      <c r="BC32" s="70" t="n">
        <f aca="false">BC28-BC31</f>
        <v>96300662.625</v>
      </c>
      <c r="BD32" s="70" t="n">
        <f aca="false">BD28-BD31</f>
        <v>132183986.625</v>
      </c>
      <c r="BE32" s="70" t="n">
        <f aca="false">BE28-BE31</f>
        <v>172259516.25</v>
      </c>
      <c r="BF32" s="70" t="n">
        <f aca="false">BF28-BF31</f>
        <v>156325368.375</v>
      </c>
      <c r="BG32" s="70" t="n">
        <f aca="false">BG28-BG31</f>
        <v>175673970</v>
      </c>
      <c r="BH32" s="70" t="n">
        <f aca="false">BH28-BH31</f>
        <v>172280262.375</v>
      </c>
      <c r="BI32" s="70" t="n">
        <f aca="false">BI28-BI31</f>
        <v>137135992.5</v>
      </c>
      <c r="BJ32" s="70" t="n">
        <f aca="false">BJ28-BJ31</f>
        <v>118989663.75</v>
      </c>
    </row>
    <row r="33" customFormat="false" ht="13.5" hidden="false" customHeight="true" outlineLevel="0" collapsed="false">
      <c r="A33" s="37" t="s">
        <v>390</v>
      </c>
      <c r="B33" s="80" t="n">
        <f aca="false">AVERAGE(C33:BJ33)</f>
        <v>0.312521267200707</v>
      </c>
      <c r="C33" s="80" t="str">
        <f aca="false">IFERROR(C32/C8,"-")</f>
        <v>-</v>
      </c>
      <c r="D33" s="80" t="str">
        <f aca="false">IFERROR(D32/D8,"-")</f>
        <v>-</v>
      </c>
      <c r="E33" s="80" t="n">
        <f aca="false">IFERROR(E32/E8,"-")</f>
        <v>-0.0759449312268029</v>
      </c>
      <c r="F33" s="80" t="n">
        <f aca="false">IFERROR(F32/F8,"-")</f>
        <v>0.0637752901416036</v>
      </c>
      <c r="G33" s="80" t="n">
        <f aca="false">IFERROR(G32/G8,"-")</f>
        <v>0.0463686192470516</v>
      </c>
      <c r="H33" s="80" t="n">
        <f aca="false">IFERROR(H32/H8,"-")</f>
        <v>0.170609949678958</v>
      </c>
      <c r="I33" s="80" t="n">
        <f aca="false">IFERROR(I32/I8,"-")</f>
        <v>0.258014768039359</v>
      </c>
      <c r="J33" s="80" t="n">
        <f aca="false">IFERROR(J32/J8,"-")</f>
        <v>0.269014122309734</v>
      </c>
      <c r="K33" s="80" t="n">
        <f aca="false">IFERROR(K32/K8,"-")</f>
        <v>0.276260713874814</v>
      </c>
      <c r="L33" s="80" t="n">
        <f aca="false">IFERROR(L32/L8,"-")</f>
        <v>0.310596963248726</v>
      </c>
      <c r="M33" s="80" t="n">
        <f aca="false">IFERROR(M32/M8,"-")</f>
        <v>0.275772377171558</v>
      </c>
      <c r="N33" s="80" t="n">
        <f aca="false">IFERROR(N32/N8,"-")</f>
        <v>0.254219147371517</v>
      </c>
      <c r="O33" s="80" t="n">
        <f aca="false">IFERROR(O32/O8,"-")</f>
        <v>0.262124198953022</v>
      </c>
      <c r="P33" s="80" t="n">
        <f aca="false">IFERROR(P32/P8,"-")</f>
        <v>0.31442897519247</v>
      </c>
      <c r="Q33" s="80" t="n">
        <f aca="false">IFERROR(Q32/Q8,"-")</f>
        <v>0.353424180921495</v>
      </c>
      <c r="R33" s="80" t="n">
        <f aca="false">IFERROR(R32/R8,"-")</f>
        <v>0.356320651863825</v>
      </c>
      <c r="S33" s="80" t="n">
        <f aca="false">IFERROR(S32/S8,"-")</f>
        <v>0.274336827163231</v>
      </c>
      <c r="T33" s="80" t="n">
        <f aca="false">IFERROR(T32/T8,"-")</f>
        <v>0.32664397410124</v>
      </c>
      <c r="U33" s="80" t="n">
        <f aca="false">IFERROR(U32/U8,"-")</f>
        <v>0.364832607400988</v>
      </c>
      <c r="V33" s="80" t="n">
        <f aca="false">IFERROR(V32/V8,"-")</f>
        <v>0.350712030365502</v>
      </c>
      <c r="W33" s="80" t="n">
        <f aca="false">IFERROR(W32/W8,"-")</f>
        <v>0.35505306352314</v>
      </c>
      <c r="X33" s="80" t="n">
        <f aca="false">IFERROR(X32/X8,"-")</f>
        <v>0.351699618615211</v>
      </c>
      <c r="Y33" s="80" t="n">
        <f aca="false">IFERROR(Y32/Y8,"-")</f>
        <v>0.321197832078468</v>
      </c>
      <c r="Z33" s="80" t="n">
        <f aca="false">IFERROR(Z32/Z8,"-")</f>
        <v>0.30273600236978</v>
      </c>
      <c r="AA33" s="80" t="n">
        <f aca="false">IFERROR(AA32/AA8,"-")</f>
        <v>0.309258203189924</v>
      </c>
      <c r="AB33" s="80" t="n">
        <f aca="false">IFERROR(AB32/AB8,"-")</f>
        <v>0.349992014518915</v>
      </c>
      <c r="AC33" s="80" t="n">
        <f aca="false">IFERROR(AC32/AC8,"-")</f>
        <v>0.383785465165965</v>
      </c>
      <c r="AD33" s="80" t="n">
        <f aca="false">IFERROR(AD32/AD8,"-")</f>
        <v>0.391164549559225</v>
      </c>
      <c r="AE33" s="80" t="n">
        <f aca="false">IFERROR(AE32/AE8,"-")</f>
        <v>0.284785804520091</v>
      </c>
      <c r="AF33" s="80" t="n">
        <f aca="false">IFERROR(AF32/AF8,"-")</f>
        <v>0.336489325664957</v>
      </c>
      <c r="AG33" s="80" t="n">
        <f aca="false">IFERROR(AG32/AG8,"-")</f>
        <v>0.374307676838035</v>
      </c>
      <c r="AH33" s="80" t="n">
        <f aca="false">IFERROR(AH32/AH8,"-")</f>
        <v>0.360341479514349</v>
      </c>
      <c r="AI33" s="80" t="n">
        <f aca="false">IFERROR(AI32/AI8,"-")</f>
        <v>0.36446616516393</v>
      </c>
      <c r="AJ33" s="80" t="n">
        <f aca="false">IFERROR(AJ32/AJ8,"-")</f>
        <v>0.361151208980188</v>
      </c>
      <c r="AK33" s="80" t="n">
        <f aca="false">IFERROR(AK32/AK8,"-")</f>
        <v>0.331006580965089</v>
      </c>
      <c r="AL33" s="80" t="n">
        <f aca="false">IFERROR(AL32/AL8,"-")</f>
        <v>0.312794870776847</v>
      </c>
      <c r="AM33" s="80" t="n">
        <f aca="false">IFERROR(AM32/AM8,"-")</f>
        <v>0.286985952907606</v>
      </c>
      <c r="AN33" s="80" t="n">
        <f aca="false">IFERROR(AN32/AN8,"-")</f>
        <v>0.329203244876268</v>
      </c>
      <c r="AO33" s="80" t="n">
        <f aca="false">IFERROR(AO32/AO8,"-")</f>
        <v>0.392837974910394</v>
      </c>
      <c r="AP33" s="80" t="n">
        <f aca="false">IFERROR(AP32/AP8,"-")</f>
        <v>0.383387974910394</v>
      </c>
      <c r="AQ33" s="80" t="n">
        <f aca="false">IFERROR(AQ32/AQ8,"-")</f>
        <v>0.277669397759104</v>
      </c>
      <c r="AR33" s="80" t="n">
        <f aca="false">IFERROR(AR32/AR8,"-")</f>
        <v>0.328695599886814</v>
      </c>
      <c r="AS33" s="80" t="n">
        <f aca="false">IFERROR(AS32/AS8,"-")</f>
        <v>0.366074033816425</v>
      </c>
      <c r="AT33" s="80" t="n">
        <f aca="false">IFERROR(AT32/AT8,"-")</f>
        <v>0.351969828469022</v>
      </c>
      <c r="AU33" s="80" t="n">
        <f aca="false">IFERROR(AU32/AU8,"-")</f>
        <v>0.355799074074074</v>
      </c>
      <c r="AV33" s="80" t="n">
        <f aca="false">IFERROR(AV32/AV8,"-")</f>
        <v>0.35229636512389</v>
      </c>
      <c r="AW33" s="80" t="n">
        <f aca="false">IFERROR(AW32/AW8,"-")</f>
        <v>0.322014569892473</v>
      </c>
      <c r="AX33" s="80" t="n">
        <f aca="false">IFERROR(AX32/AX8,"-")</f>
        <v>0.303594883040936</v>
      </c>
      <c r="AY33" s="80" t="n">
        <f aca="false">IFERROR(AY32/AY8,"-")</f>
        <v>0.309795599886814</v>
      </c>
      <c r="AZ33" s="80" t="n">
        <f aca="false">IFERROR(AZ32/AZ8,"-")</f>
        <v>0.350139656084656</v>
      </c>
      <c r="BA33" s="80" t="n">
        <f aca="false">IFERROR(BA32/BA8,"-")</f>
        <v>0.383387974910394</v>
      </c>
      <c r="BB33" s="80" t="n">
        <f aca="false">IFERROR(BB32/BB8,"-")</f>
        <v>0.386789974910394</v>
      </c>
      <c r="BC33" s="80" t="n">
        <f aca="false">IFERROR(BC32/BC8,"-")</f>
        <v>0.289386710615281</v>
      </c>
      <c r="BD33" s="80" t="n">
        <f aca="false">IFERROR(BD32/BD8,"-")</f>
        <v>0.332475599886814</v>
      </c>
      <c r="BE33" s="80" t="n">
        <f aca="false">IFERROR(BE32/BE8,"-")</f>
        <v>0.369854033816425</v>
      </c>
      <c r="BF33" s="80" t="n">
        <f aca="false">IFERROR(BF32/BF8,"-")</f>
        <v>0.355749828469022</v>
      </c>
      <c r="BG33" s="80" t="n">
        <f aca="false">IFERROR(BG32/BG8,"-")</f>
        <v>0.361469074074074</v>
      </c>
      <c r="BH33" s="80" t="n">
        <f aca="false">IFERROR(BH32/BH8,"-")</f>
        <v>0.35796636512389</v>
      </c>
      <c r="BI33" s="80" t="n">
        <f aca="false">IFERROR(BI32/BI8,"-")</f>
        <v>0.327684569892473</v>
      </c>
      <c r="BJ33" s="80" t="n">
        <f aca="false">IFERROR(BJ32/BJ8,"-")</f>
        <v>0.309264883040936</v>
      </c>
    </row>
    <row r="34" customFormat="false" ht="13.8" hidden="false" customHeight="false" outlineLevel="0" collapsed="false"/>
    <row r="35" customFormat="false" ht="13.5" hidden="true" customHeight="true" outlineLevel="0" collapsed="false">
      <c r="A35" s="45" t="s">
        <v>391</v>
      </c>
      <c r="B35" s="45"/>
      <c r="C35" s="45"/>
      <c r="D35" s="45"/>
      <c r="E35" s="45"/>
      <c r="F35" s="45"/>
      <c r="G35" s="45"/>
      <c r="H35" s="45"/>
      <c r="I35" s="45"/>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row>
    <row r="36" customFormat="false" ht="13.5" hidden="true" customHeight="true" outlineLevel="0" collapsed="false">
      <c r="A36" s="34" t="s">
        <v>392</v>
      </c>
      <c r="B36" s="104" t="n">
        <f aca="false">SUM(C8:N8)</f>
        <v>3089531250</v>
      </c>
    </row>
    <row r="37" customFormat="false" ht="13.5" hidden="true" customHeight="true" outlineLevel="0" collapsed="false">
      <c r="A37" s="31" t="s">
        <v>393</v>
      </c>
      <c r="B37" s="105" t="n">
        <f aca="false">SUM(C12:N12)</f>
        <v>2270881800</v>
      </c>
    </row>
    <row r="38" customFormat="false" ht="13.5" hidden="true" customHeight="true" outlineLevel="0" collapsed="false">
      <c r="A38" s="34" t="s">
        <v>394</v>
      </c>
      <c r="B38" s="104" t="n">
        <f aca="false">SUM(C26:N26)</f>
        <v>691114189.6875</v>
      </c>
    </row>
    <row r="39" customFormat="false" ht="13.5" hidden="true" customHeight="true" outlineLevel="0" collapsed="false">
      <c r="A39" s="31" t="s">
        <v>395</v>
      </c>
      <c r="B39" s="105" t="n">
        <f aca="false">SUM(C28:N28)</f>
        <v>596048086.746752</v>
      </c>
    </row>
    <row r="40" customFormat="false" ht="13.5" hidden="true" customHeight="true" outlineLevel="0" collapsed="false">
      <c r="A40" s="66" t="s">
        <v>396</v>
      </c>
      <c r="B40" s="67" t="n">
        <f aca="false">SUM(C32:N32)</f>
        <v>521269023.65172</v>
      </c>
    </row>
    <row r="41" customFormat="false" ht="13.5" hidden="true" customHeight="true" outlineLevel="0" collapsed="false">
      <c r="A41" s="31" t="s">
        <v>397</v>
      </c>
      <c r="B41" s="105" t="n">
        <f aca="false">SUM(O8:Z8)</f>
        <v>4917262500</v>
      </c>
    </row>
    <row r="42" customFormat="false" ht="13.5" hidden="true" customHeight="true" outlineLevel="0" collapsed="false">
      <c r="A42" s="34" t="s">
        <v>398</v>
      </c>
      <c r="B42" s="104" t="n">
        <f aca="false">SUM(O12:Z12)</f>
        <v>3710619000</v>
      </c>
    </row>
    <row r="43" customFormat="false" ht="13.5" hidden="true" customHeight="true" outlineLevel="0" collapsed="false">
      <c r="A43" s="31" t="s">
        <v>399</v>
      </c>
      <c r="B43" s="105" t="n">
        <f aca="false">SUM(O26:Z26)</f>
        <v>1893371596.875</v>
      </c>
    </row>
    <row r="44" customFormat="false" ht="13.5" hidden="true" customHeight="true" outlineLevel="0" collapsed="false">
      <c r="A44" s="34" t="s">
        <v>400</v>
      </c>
      <c r="B44" s="104" t="n">
        <f aca="false">SUM(O28:Z28)</f>
        <v>1811178131.2658</v>
      </c>
    </row>
    <row r="45" customFormat="false" ht="13.5" hidden="true" customHeight="true" outlineLevel="0" collapsed="false">
      <c r="A45" s="66" t="s">
        <v>401</v>
      </c>
      <c r="B45" s="67" t="n">
        <f aca="false">SUM(O32:Z32)</f>
        <v>1630060318.13922</v>
      </c>
    </row>
    <row r="46" customFormat="false" ht="13.5" hidden="true" customHeight="true" outlineLevel="0" collapsed="false">
      <c r="A46" s="34" t="s">
        <v>402</v>
      </c>
      <c r="B46" s="104" t="n">
        <f aca="false">SUM(AA8:AL8)</f>
        <v>5221800000</v>
      </c>
    </row>
    <row r="47" customFormat="false" ht="13.5" hidden="true" customHeight="true" outlineLevel="0" collapsed="false">
      <c r="A47" s="31" t="s">
        <v>403</v>
      </c>
      <c r="B47" s="105" t="n">
        <f aca="false">SUM(AA12:AL12)</f>
        <v>3999742200</v>
      </c>
    </row>
    <row r="48" customFormat="false" ht="13.5" hidden="true" customHeight="true" outlineLevel="0" collapsed="false">
      <c r="A48" s="34" t="s">
        <v>404</v>
      </c>
      <c r="B48" s="104" t="n">
        <f aca="false">SUM(AA26:AL26)</f>
        <v>2100050280</v>
      </c>
    </row>
    <row r="49" customFormat="false" ht="13.5" hidden="true" customHeight="true" outlineLevel="0" collapsed="false">
      <c r="A49" s="31" t="s">
        <v>405</v>
      </c>
      <c r="B49" s="105" t="n">
        <f aca="false">SUM(AA28:AL28)</f>
        <v>2031936993.89527</v>
      </c>
    </row>
    <row r="50" customFormat="false" ht="13.5" hidden="true" customHeight="true" outlineLevel="0" collapsed="false">
      <c r="A50" s="66" t="s">
        <v>406</v>
      </c>
      <c r="B50" s="67" t="n">
        <f aca="false">SUM(AA32:AL32)</f>
        <v>1828743294.50574</v>
      </c>
    </row>
  </sheetData>
  <mergeCells count="9">
    <mergeCell ref="A1:AM1"/>
    <mergeCell ref="C2:N2"/>
    <mergeCell ref="O2:Z2"/>
    <mergeCell ref="AA2:AL2"/>
    <mergeCell ref="A5:AM5"/>
    <mergeCell ref="A9:AM9"/>
    <mergeCell ref="A14:AM14"/>
    <mergeCell ref="A30:BJ30"/>
    <mergeCell ref="A35:AM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80E4F"/>
    <pageSetUpPr fitToPage="false"/>
  </sheetPr>
  <dimension ref="A1:XFD1048576"/>
  <sheetViews>
    <sheetView showFormulas="false" showGridLines="false" showRowColHeaders="true" showZeros="true" rightToLeft="false" tabSelected="true" showOutlineSymbols="true" defaultGridColor="true" view="normal" topLeftCell="A1" colorId="64" zoomScale="120" zoomScaleNormal="120" zoomScalePageLayoutView="100" workbookViewId="0">
      <pane xSplit="2" ySplit="3" topLeftCell="C16" activePane="bottomRight" state="frozen"/>
      <selection pane="topLeft" activeCell="A1" activeCellId="0" sqref="A1"/>
      <selection pane="topRight" activeCell="C1" activeCellId="0" sqref="C1"/>
      <selection pane="bottomLeft" activeCell="A16" activeCellId="0" sqref="A16"/>
      <selection pane="bottomRight" activeCell="D33" activeCellId="0" sqref="D33"/>
    </sheetView>
  </sheetViews>
  <sheetFormatPr defaultColWidth="8.71484375" defaultRowHeight="13.8" customHeight="false" zeroHeight="false" outlineLevelRow="0" outlineLevelCol="0"/>
  <cols>
    <col collapsed="false" customWidth="true" hidden="false" outlineLevel="0" max="1" min="1" style="81" width="48.86"/>
    <col collapsed="false" customWidth="true" hidden="false" outlineLevel="0" max="2" min="2" style="81" width="20.57"/>
    <col collapsed="false" customWidth="true" hidden="false" outlineLevel="0" max="3" min="3" style="81" width="18.2"/>
    <col collapsed="false" customWidth="true" hidden="false" outlineLevel="0" max="62" min="4" style="81" width="17.36"/>
    <col collapsed="false" customWidth="false" hidden="false" outlineLevel="0" max="16383" min="63" style="81" width="8.71"/>
  </cols>
  <sheetData>
    <row r="1" customFormat="false" ht="30" hidden="false" customHeight="true" outlineLevel="0" collapsed="false">
      <c r="A1" s="106" t="s">
        <v>407</v>
      </c>
      <c r="B1" s="106"/>
      <c r="C1" s="106"/>
      <c r="D1" s="106"/>
      <c r="E1" s="106"/>
      <c r="F1" s="106"/>
      <c r="G1" s="106"/>
      <c r="H1" s="106"/>
      <c r="I1" s="106"/>
      <c r="J1" s="106"/>
      <c r="K1" s="106"/>
      <c r="L1" s="106"/>
      <c r="M1" s="106"/>
      <c r="N1" s="106"/>
      <c r="O1" s="106"/>
      <c r="P1" s="106"/>
      <c r="Q1" s="106"/>
      <c r="R1" s="106"/>
      <c r="S1" s="106"/>
      <c r="T1" s="106"/>
      <c r="U1" s="106"/>
      <c r="V1" s="106"/>
      <c r="W1" s="106"/>
      <c r="X1" s="106"/>
      <c r="Y1" s="106"/>
      <c r="Z1" s="106"/>
      <c r="AA1" s="106"/>
      <c r="AB1" s="106"/>
      <c r="AC1" s="106"/>
      <c r="AD1" s="106"/>
      <c r="AE1" s="106"/>
      <c r="AF1" s="106"/>
      <c r="AG1" s="106"/>
      <c r="AH1" s="106"/>
      <c r="AI1" s="106"/>
      <c r="AJ1" s="106"/>
      <c r="AK1" s="106"/>
      <c r="AL1" s="106"/>
      <c r="AM1" s="106"/>
    </row>
    <row r="2" customFormat="false" ht="15.75" hidden="false" customHeight="true" outlineLevel="0" collapsed="false">
      <c r="A2" s="107"/>
      <c r="B2" s="108" t="s">
        <v>250</v>
      </c>
      <c r="C2" s="109" t="s">
        <v>251</v>
      </c>
      <c r="D2" s="109"/>
      <c r="E2" s="109"/>
      <c r="F2" s="109"/>
      <c r="G2" s="109"/>
      <c r="H2" s="109"/>
      <c r="I2" s="109"/>
      <c r="J2" s="109"/>
      <c r="K2" s="109"/>
      <c r="L2" s="109"/>
      <c r="M2" s="109"/>
      <c r="N2" s="109"/>
      <c r="O2" s="109" t="s">
        <v>252</v>
      </c>
      <c r="P2" s="109"/>
      <c r="Q2" s="109"/>
      <c r="R2" s="109"/>
      <c r="S2" s="109"/>
      <c r="T2" s="109"/>
      <c r="U2" s="109"/>
      <c r="V2" s="109"/>
      <c r="W2" s="109"/>
      <c r="X2" s="109"/>
      <c r="Y2" s="109"/>
      <c r="Z2" s="109"/>
      <c r="AA2" s="109" t="s">
        <v>253</v>
      </c>
      <c r="AB2" s="109"/>
      <c r="AC2" s="109"/>
      <c r="AD2" s="109"/>
      <c r="AE2" s="109"/>
      <c r="AF2" s="109"/>
      <c r="AG2" s="109"/>
      <c r="AH2" s="109"/>
      <c r="AI2" s="109"/>
      <c r="AJ2" s="109"/>
      <c r="AK2" s="109"/>
      <c r="AL2" s="109"/>
    </row>
    <row r="3" customFormat="false" ht="15.75" hidden="false" customHeight="true" outlineLevel="0" collapsed="false">
      <c r="A3" s="107"/>
      <c r="B3" s="108"/>
      <c r="C3" s="109" t="n">
        <v>1</v>
      </c>
      <c r="D3" s="109" t="n">
        <v>2</v>
      </c>
      <c r="E3" s="109" t="n">
        <v>3</v>
      </c>
      <c r="F3" s="109" t="n">
        <v>4</v>
      </c>
      <c r="G3" s="109" t="n">
        <v>5</v>
      </c>
      <c r="H3" s="109" t="n">
        <v>6</v>
      </c>
      <c r="I3" s="109" t="n">
        <v>7</v>
      </c>
      <c r="J3" s="109" t="n">
        <v>8</v>
      </c>
      <c r="K3" s="109" t="n">
        <v>9</v>
      </c>
      <c r="L3" s="109" t="n">
        <v>10</v>
      </c>
      <c r="M3" s="109" t="n">
        <v>11</v>
      </c>
      <c r="N3" s="109" t="n">
        <v>12</v>
      </c>
      <c r="O3" s="109" t="n">
        <v>13</v>
      </c>
      <c r="P3" s="109" t="n">
        <v>14</v>
      </c>
      <c r="Q3" s="109" t="n">
        <v>15</v>
      </c>
      <c r="R3" s="109" t="n">
        <v>16</v>
      </c>
      <c r="S3" s="109" t="n">
        <v>17</v>
      </c>
      <c r="T3" s="109" t="n">
        <v>18</v>
      </c>
      <c r="U3" s="109" t="n">
        <v>19</v>
      </c>
      <c r="V3" s="109" t="n">
        <v>20</v>
      </c>
      <c r="W3" s="109" t="n">
        <v>21</v>
      </c>
      <c r="X3" s="109" t="n">
        <v>22</v>
      </c>
      <c r="Y3" s="109" t="n">
        <v>23</v>
      </c>
      <c r="Z3" s="109" t="n">
        <v>24</v>
      </c>
      <c r="AA3" s="109" t="n">
        <v>25</v>
      </c>
      <c r="AB3" s="109" t="n">
        <v>26</v>
      </c>
      <c r="AC3" s="109" t="n">
        <v>27</v>
      </c>
      <c r="AD3" s="109" t="n">
        <v>28</v>
      </c>
      <c r="AE3" s="109" t="n">
        <v>29</v>
      </c>
      <c r="AF3" s="109" t="n">
        <v>30</v>
      </c>
      <c r="AG3" s="109" t="n">
        <v>31</v>
      </c>
      <c r="AH3" s="109" t="n">
        <v>32</v>
      </c>
      <c r="AI3" s="109" t="n">
        <v>33</v>
      </c>
      <c r="AJ3" s="109" t="n">
        <v>34</v>
      </c>
      <c r="AK3" s="109" t="n">
        <v>35</v>
      </c>
      <c r="AL3" s="109" t="n">
        <v>36</v>
      </c>
      <c r="AM3" s="109" t="n">
        <v>37</v>
      </c>
      <c r="AN3" s="109" t="n">
        <v>38</v>
      </c>
      <c r="AO3" s="109" t="n">
        <v>39</v>
      </c>
      <c r="AP3" s="109" t="n">
        <v>40</v>
      </c>
      <c r="AQ3" s="109" t="n">
        <v>41</v>
      </c>
      <c r="AR3" s="109" t="n">
        <v>42</v>
      </c>
      <c r="AS3" s="109" t="n">
        <v>43</v>
      </c>
      <c r="AT3" s="109" t="n">
        <v>44</v>
      </c>
      <c r="AU3" s="109" t="n">
        <v>45</v>
      </c>
      <c r="AV3" s="109" t="n">
        <v>46</v>
      </c>
      <c r="AW3" s="109" t="n">
        <v>47</v>
      </c>
      <c r="AX3" s="109" t="n">
        <v>48</v>
      </c>
      <c r="AY3" s="109" t="n">
        <v>49</v>
      </c>
      <c r="AZ3" s="109" t="n">
        <v>50</v>
      </c>
      <c r="BA3" s="109" t="n">
        <v>51</v>
      </c>
      <c r="BB3" s="109" t="n">
        <v>52</v>
      </c>
      <c r="BC3" s="109" t="n">
        <v>53</v>
      </c>
      <c r="BD3" s="109" t="n">
        <v>54</v>
      </c>
      <c r="BE3" s="109" t="n">
        <v>55</v>
      </c>
      <c r="BF3" s="109" t="n">
        <v>56</v>
      </c>
      <c r="BG3" s="109" t="n">
        <v>57</v>
      </c>
      <c r="BH3" s="109" t="n">
        <v>58</v>
      </c>
      <c r="BI3" s="109" t="n">
        <v>59</v>
      </c>
      <c r="BJ3" s="109" t="n">
        <v>60</v>
      </c>
    </row>
    <row r="4" customFormat="false" ht="15.75" hidden="false" customHeight="true" outlineLevel="0" collapsed="false">
      <c r="A4" s="107"/>
      <c r="B4" s="108"/>
      <c r="C4" s="109" t="s">
        <v>107</v>
      </c>
      <c r="D4" s="109" t="s">
        <v>306</v>
      </c>
      <c r="E4" s="109" t="s">
        <v>307</v>
      </c>
      <c r="F4" s="109" t="s">
        <v>308</v>
      </c>
      <c r="G4" s="109" t="s">
        <v>309</v>
      </c>
      <c r="H4" s="109" t="s">
        <v>310</v>
      </c>
      <c r="I4" s="109" t="s">
        <v>133</v>
      </c>
      <c r="J4" s="109" t="s">
        <v>311</v>
      </c>
      <c r="K4" s="109" t="s">
        <v>312</v>
      </c>
      <c r="L4" s="109" t="s">
        <v>313</v>
      </c>
      <c r="M4" s="109" t="s">
        <v>314</v>
      </c>
      <c r="N4" s="109" t="s">
        <v>315</v>
      </c>
      <c r="O4" s="109" t="s">
        <v>316</v>
      </c>
      <c r="P4" s="109" t="s">
        <v>317</v>
      </c>
      <c r="Q4" s="109" t="s">
        <v>318</v>
      </c>
      <c r="R4" s="109" t="s">
        <v>319</v>
      </c>
      <c r="S4" s="109" t="s">
        <v>320</v>
      </c>
      <c r="T4" s="109" t="s">
        <v>321</v>
      </c>
      <c r="U4" s="109" t="s">
        <v>322</v>
      </c>
      <c r="V4" s="109" t="s">
        <v>323</v>
      </c>
      <c r="W4" s="109" t="s">
        <v>324</v>
      </c>
      <c r="X4" s="109" t="s">
        <v>325</v>
      </c>
      <c r="Y4" s="109" t="s">
        <v>326</v>
      </c>
      <c r="Z4" s="109" t="s">
        <v>327</v>
      </c>
      <c r="AA4" s="109" t="s">
        <v>328</v>
      </c>
      <c r="AB4" s="109" t="s">
        <v>329</v>
      </c>
      <c r="AC4" s="109" t="s">
        <v>330</v>
      </c>
      <c r="AD4" s="109" t="s">
        <v>331</v>
      </c>
      <c r="AE4" s="109" t="s">
        <v>332</v>
      </c>
      <c r="AF4" s="109" t="s">
        <v>333</v>
      </c>
      <c r="AG4" s="109" t="s">
        <v>334</v>
      </c>
      <c r="AH4" s="109" t="s">
        <v>335</v>
      </c>
      <c r="AI4" s="109" t="s">
        <v>336</v>
      </c>
      <c r="AJ4" s="109" t="s">
        <v>337</v>
      </c>
      <c r="AK4" s="109" t="s">
        <v>338</v>
      </c>
      <c r="AL4" s="109" t="s">
        <v>339</v>
      </c>
      <c r="AM4" s="109" t="s">
        <v>340</v>
      </c>
      <c r="AN4" s="109" t="s">
        <v>341</v>
      </c>
      <c r="AO4" s="109" t="s">
        <v>342</v>
      </c>
      <c r="AP4" s="109" t="s">
        <v>343</v>
      </c>
      <c r="AQ4" s="109" t="s">
        <v>344</v>
      </c>
      <c r="AR4" s="109" t="s">
        <v>345</v>
      </c>
      <c r="AS4" s="109" t="s">
        <v>346</v>
      </c>
      <c r="AT4" s="109" t="s">
        <v>347</v>
      </c>
      <c r="AU4" s="109" t="s">
        <v>348</v>
      </c>
      <c r="AV4" s="109" t="s">
        <v>349</v>
      </c>
      <c r="AW4" s="109" t="s">
        <v>350</v>
      </c>
      <c r="AX4" s="109" t="s">
        <v>351</v>
      </c>
      <c r="AY4" s="109" t="s">
        <v>352</v>
      </c>
      <c r="AZ4" s="109" t="s">
        <v>353</v>
      </c>
      <c r="BA4" s="109" t="s">
        <v>354</v>
      </c>
      <c r="BB4" s="109" t="s">
        <v>355</v>
      </c>
      <c r="BC4" s="109" t="s">
        <v>356</v>
      </c>
      <c r="BD4" s="109" t="s">
        <v>357</v>
      </c>
      <c r="BE4" s="109" t="s">
        <v>358</v>
      </c>
      <c r="BF4" s="109" t="s">
        <v>359</v>
      </c>
      <c r="BG4" s="109" t="s">
        <v>360</v>
      </c>
      <c r="BH4" s="109" t="s">
        <v>361</v>
      </c>
      <c r="BI4" s="109" t="s">
        <v>362</v>
      </c>
      <c r="BJ4" s="109" t="s">
        <v>363</v>
      </c>
    </row>
    <row r="5" customFormat="false" ht="21.75" hidden="false" customHeight="true" outlineLevel="0" collapsed="false">
      <c r="A5" s="110" t="s">
        <v>224</v>
      </c>
      <c r="B5" s="111" t="s">
        <v>254</v>
      </c>
      <c r="C5" s="112" t="n">
        <f aca="false">'⚙️ Assumptions'!B6</f>
        <v>46661</v>
      </c>
      <c r="D5" s="112" t="n">
        <f aca="false">EDATE($C$5,'💰 Revenue'!D2)</f>
        <v>46692</v>
      </c>
      <c r="E5" s="112" t="n">
        <f aca="false">EDATE($C$5,'💰 Revenue'!E2)</f>
        <v>46722</v>
      </c>
      <c r="F5" s="112" t="n">
        <f aca="false">EDATE($C$5,'💰 Revenue'!F2)</f>
        <v>46753</v>
      </c>
      <c r="G5" s="112" t="n">
        <f aca="false">EDATE($C$5,'💰 Revenue'!G2)</f>
        <v>46784</v>
      </c>
      <c r="H5" s="112" t="n">
        <f aca="false">EDATE($C$5,'💰 Revenue'!H2)</f>
        <v>46813</v>
      </c>
      <c r="I5" s="112" t="n">
        <f aca="false">EDATE($C$5,'💰 Revenue'!I2)</f>
        <v>46844</v>
      </c>
      <c r="J5" s="112" t="n">
        <f aca="false">EDATE($C$5,'💰 Revenue'!J2)</f>
        <v>46874</v>
      </c>
      <c r="K5" s="112" t="n">
        <f aca="false">EDATE($C$5,'💰 Revenue'!K2)</f>
        <v>46905</v>
      </c>
      <c r="L5" s="112" t="n">
        <f aca="false">EDATE($C$5,'💰 Revenue'!L2)</f>
        <v>46935</v>
      </c>
      <c r="M5" s="112" t="n">
        <f aca="false">EDATE($C$5,'💰 Revenue'!M2)</f>
        <v>46966</v>
      </c>
      <c r="N5" s="112" t="n">
        <f aca="false">EDATE($C$5,'💰 Revenue'!N2)</f>
        <v>46997</v>
      </c>
      <c r="O5" s="112" t="n">
        <f aca="false">EDATE($C$5,'💰 Revenue'!O2)</f>
        <v>47027</v>
      </c>
      <c r="P5" s="112" t="n">
        <f aca="false">EDATE($C$5,'💰 Revenue'!P2)</f>
        <v>47058</v>
      </c>
      <c r="Q5" s="112" t="n">
        <f aca="false">EDATE($C$5,'💰 Revenue'!Q2)</f>
        <v>47088</v>
      </c>
      <c r="R5" s="112" t="n">
        <f aca="false">EDATE($C$5,'💰 Revenue'!R2)</f>
        <v>47119</v>
      </c>
      <c r="S5" s="112" t="n">
        <f aca="false">EDATE($C$5,'💰 Revenue'!S2)</f>
        <v>47150</v>
      </c>
      <c r="T5" s="112" t="n">
        <f aca="false">EDATE($C$5,'💰 Revenue'!T2)</f>
        <v>47178</v>
      </c>
      <c r="U5" s="112" t="n">
        <f aca="false">EDATE($C$5,'💰 Revenue'!U2)</f>
        <v>47209</v>
      </c>
      <c r="V5" s="112" t="n">
        <f aca="false">EDATE($C$5,'💰 Revenue'!V2)</f>
        <v>47239</v>
      </c>
      <c r="W5" s="112" t="n">
        <f aca="false">EDATE($C$5,'💰 Revenue'!W2)</f>
        <v>47270</v>
      </c>
      <c r="X5" s="112" t="n">
        <f aca="false">EDATE($C$5,'💰 Revenue'!X2)</f>
        <v>47300</v>
      </c>
      <c r="Y5" s="112" t="n">
        <f aca="false">EDATE($C$5,'💰 Revenue'!Y2)</f>
        <v>47331</v>
      </c>
      <c r="Z5" s="112" t="n">
        <f aca="false">EDATE($C$5,'💰 Revenue'!Z2)</f>
        <v>47362</v>
      </c>
      <c r="AA5" s="112" t="n">
        <f aca="false">EDATE($C$5,'💰 Revenue'!AA2)</f>
        <v>47392</v>
      </c>
      <c r="AB5" s="112" t="n">
        <f aca="false">EDATE($C$5,'💰 Revenue'!AB2)</f>
        <v>47423</v>
      </c>
      <c r="AC5" s="112" t="n">
        <f aca="false">EDATE($C$5,'💰 Revenue'!AC2)</f>
        <v>47453</v>
      </c>
      <c r="AD5" s="112" t="n">
        <f aca="false">EDATE($C$5,'💰 Revenue'!AD2)</f>
        <v>47484</v>
      </c>
      <c r="AE5" s="112" t="n">
        <f aca="false">EDATE($C$5,'💰 Revenue'!AE2)</f>
        <v>47515</v>
      </c>
      <c r="AF5" s="112" t="n">
        <f aca="false">EDATE($C$5,'💰 Revenue'!AF2)</f>
        <v>47543</v>
      </c>
      <c r="AG5" s="112" t="n">
        <f aca="false">EDATE($C$5,'💰 Revenue'!AG2)</f>
        <v>47574</v>
      </c>
      <c r="AH5" s="112" t="n">
        <f aca="false">EDATE($C$5,'💰 Revenue'!AH2)</f>
        <v>47604</v>
      </c>
      <c r="AI5" s="112" t="n">
        <f aca="false">EDATE($C$5,'💰 Revenue'!AI2)</f>
        <v>47635</v>
      </c>
      <c r="AJ5" s="112" t="n">
        <f aca="false">EDATE($C$5,'💰 Revenue'!AJ2)</f>
        <v>47665</v>
      </c>
      <c r="AK5" s="112" t="n">
        <f aca="false">EDATE($C$5,'💰 Revenue'!AK2)</f>
        <v>47696</v>
      </c>
      <c r="AL5" s="112" t="n">
        <f aca="false">EDATE($C$5,'💰 Revenue'!AL2)</f>
        <v>47727</v>
      </c>
      <c r="AM5" s="112" t="n">
        <f aca="false">EDATE($C$5,'💰 Revenue'!AM2)</f>
        <v>47757</v>
      </c>
      <c r="AN5" s="112" t="n">
        <f aca="false">EDATE($C$5,'💰 Revenue'!AN2)</f>
        <v>47788</v>
      </c>
      <c r="AO5" s="112" t="n">
        <f aca="false">EDATE($C$5,'💰 Revenue'!AO2)</f>
        <v>47818</v>
      </c>
      <c r="AP5" s="112" t="n">
        <f aca="false">EDATE($C$5,'💰 Revenue'!AP2)</f>
        <v>47849</v>
      </c>
      <c r="AQ5" s="112" t="n">
        <f aca="false">EDATE($C$5,'💰 Revenue'!AQ2)</f>
        <v>47880</v>
      </c>
      <c r="AR5" s="112" t="n">
        <f aca="false">EDATE($C$5,'💰 Revenue'!AR2)</f>
        <v>47908</v>
      </c>
      <c r="AS5" s="112" t="n">
        <f aca="false">EDATE($C$5,'💰 Revenue'!AS2)</f>
        <v>47939</v>
      </c>
      <c r="AT5" s="112" t="n">
        <f aca="false">EDATE($C$5,'💰 Revenue'!AT2)</f>
        <v>47969</v>
      </c>
      <c r="AU5" s="112" t="n">
        <f aca="false">EDATE($C$5,'💰 Revenue'!AU2)</f>
        <v>48000</v>
      </c>
      <c r="AV5" s="112" t="n">
        <f aca="false">EDATE($C$5,'💰 Revenue'!AV2)</f>
        <v>48030</v>
      </c>
      <c r="AW5" s="112" t="n">
        <f aca="false">EDATE($C$5,'💰 Revenue'!AW2)</f>
        <v>48061</v>
      </c>
      <c r="AX5" s="112" t="n">
        <f aca="false">EDATE($C$5,'💰 Revenue'!AX2)</f>
        <v>48092</v>
      </c>
      <c r="AY5" s="112" t="n">
        <f aca="false">EDATE($C$5,'💰 Revenue'!AY2)</f>
        <v>48122</v>
      </c>
      <c r="AZ5" s="112" t="n">
        <f aca="false">EDATE($C$5,'💰 Revenue'!AZ2)</f>
        <v>48153</v>
      </c>
      <c r="BA5" s="112" t="n">
        <f aca="false">EDATE($C$5,'💰 Revenue'!BA2)</f>
        <v>48183</v>
      </c>
      <c r="BB5" s="112" t="n">
        <f aca="false">EDATE($C$5,'💰 Revenue'!BB2)</f>
        <v>48214</v>
      </c>
      <c r="BC5" s="112" t="n">
        <f aca="false">EDATE($C$5,'💰 Revenue'!BC2)</f>
        <v>48245</v>
      </c>
      <c r="BD5" s="112" t="n">
        <f aca="false">EDATE($C$5,'💰 Revenue'!BD2)</f>
        <v>48274</v>
      </c>
      <c r="BE5" s="112" t="n">
        <f aca="false">EDATE($C$5,'💰 Revenue'!BE2)</f>
        <v>48305</v>
      </c>
      <c r="BF5" s="112" t="n">
        <f aca="false">EDATE($C$5,'💰 Revenue'!BF2)</f>
        <v>48335</v>
      </c>
      <c r="BG5" s="112" t="n">
        <f aca="false">EDATE($C$5,'💰 Revenue'!BG2)</f>
        <v>48366</v>
      </c>
      <c r="BH5" s="112" t="n">
        <f aca="false">EDATE($C$5,'💰 Revenue'!BH2)</f>
        <v>48396</v>
      </c>
      <c r="BI5" s="112" t="n">
        <f aca="false">EDATE($C$5,'💰 Revenue'!BI2)</f>
        <v>48427</v>
      </c>
      <c r="BJ5" s="112" t="n">
        <f aca="false">EDATE($C$5,'💰 Revenue'!BJ2)</f>
        <v>48458</v>
      </c>
    </row>
    <row r="6" customFormat="false" ht="13.5" hidden="false" customHeight="true" outlineLevel="0" collapsed="false">
      <c r="A6" s="113" t="s">
        <v>408</v>
      </c>
      <c r="B6" s="113"/>
      <c r="C6" s="113"/>
      <c r="D6" s="113"/>
      <c r="E6" s="113"/>
      <c r="F6" s="113"/>
      <c r="G6" s="113"/>
      <c r="H6" s="113"/>
      <c r="I6" s="113"/>
      <c r="J6" s="113"/>
      <c r="K6" s="113"/>
      <c r="L6" s="113"/>
      <c r="M6" s="113"/>
      <c r="N6" s="113"/>
      <c r="O6" s="113"/>
      <c r="P6" s="113"/>
      <c r="Q6" s="113"/>
      <c r="R6" s="113"/>
      <c r="S6" s="113"/>
      <c r="T6" s="113"/>
      <c r="U6" s="113"/>
      <c r="V6" s="113"/>
      <c r="W6" s="113"/>
      <c r="X6" s="113"/>
      <c r="Y6" s="113"/>
      <c r="Z6" s="113"/>
      <c r="AA6" s="113"/>
      <c r="AB6" s="113"/>
      <c r="AC6" s="113"/>
      <c r="AD6" s="113"/>
      <c r="AE6" s="113"/>
      <c r="AF6" s="113"/>
      <c r="AG6" s="113"/>
      <c r="AH6" s="113"/>
      <c r="AI6" s="113"/>
      <c r="AJ6" s="113"/>
      <c r="AK6" s="113"/>
      <c r="AL6" s="113"/>
      <c r="AM6" s="113"/>
      <c r="AN6" s="113"/>
      <c r="AO6" s="113"/>
      <c r="AP6" s="113"/>
      <c r="AQ6" s="113"/>
      <c r="AR6" s="113"/>
      <c r="AS6" s="113"/>
      <c r="AT6" s="113"/>
      <c r="AU6" s="113"/>
      <c r="AV6" s="113"/>
      <c r="AW6" s="113"/>
      <c r="AX6" s="113"/>
      <c r="AY6" s="113"/>
      <c r="AZ6" s="113"/>
      <c r="BA6" s="113"/>
      <c r="BB6" s="113"/>
      <c r="BC6" s="113"/>
      <c r="BD6" s="113"/>
      <c r="BE6" s="113"/>
      <c r="BF6" s="113"/>
      <c r="BG6" s="113"/>
      <c r="BH6" s="113"/>
      <c r="BI6" s="113"/>
      <c r="BJ6" s="113"/>
    </row>
    <row r="7" customFormat="false" ht="13.5" hidden="false" customHeight="true" outlineLevel="0" collapsed="false">
      <c r="A7" s="85" t="s">
        <v>409</v>
      </c>
      <c r="B7" s="17" t="n">
        <f aca="false">SUM(C7:BJ7)</f>
        <v>7583082757.30756</v>
      </c>
      <c r="C7" s="17" t="n">
        <f aca="false">'📊 P&amp;L Detail'!C32</f>
        <v>-68761250</v>
      </c>
      <c r="D7" s="17" t="n">
        <f aca="false">'📊 P&amp;L Detail'!D32</f>
        <v>-68678965.0302803</v>
      </c>
      <c r="E7" s="17" t="n">
        <f aca="false">'📊 P&amp;L Detail'!E32</f>
        <v>-14302329.1732877</v>
      </c>
      <c r="F7" s="17" t="n">
        <f aca="false">'📊 P&amp;L Detail'!F32</f>
        <v>16013975.3545567</v>
      </c>
      <c r="G7" s="17" t="n">
        <f aca="false">'📊 P&amp;L Detail'!G32</f>
        <v>9001018.40746359</v>
      </c>
      <c r="H7" s="17" t="n">
        <f aca="false">'📊 P&amp;L Detail'!H32</f>
        <v>45220167.1624079</v>
      </c>
      <c r="I7" s="17" t="n">
        <f aca="false">'📊 P&amp;L Detail'!I32</f>
        <v>90127783.6607488</v>
      </c>
      <c r="J7" s="17" t="n">
        <f aca="false">'📊 P&amp;L Detail'!J32</f>
        <v>98509608.9132959</v>
      </c>
      <c r="K7" s="17" t="n">
        <f aca="false">'📊 P&amp;L Detail'!K32</f>
        <v>111885589.1193</v>
      </c>
      <c r="L7" s="17" t="n">
        <f aca="false">'📊 P&amp;L Detail'!L32</f>
        <v>124568794.572942</v>
      </c>
      <c r="M7" s="17" t="n">
        <f aca="false">'📊 P&amp;L Detail'!M32</f>
        <v>96175616.5385807</v>
      </c>
      <c r="N7" s="17" t="n">
        <f aca="false">'📊 P&amp;L Detail'!N32</f>
        <v>81509014.1259928</v>
      </c>
      <c r="O7" s="17" t="n">
        <f aca="false">'📊 P&amp;L Detail'!O32</f>
        <v>86845023.665623</v>
      </c>
      <c r="P7" s="17" t="n">
        <f aca="false">'📊 P&amp;L Detail'!P32</f>
        <v>111425768.083832</v>
      </c>
      <c r="Q7" s="17" t="n">
        <f aca="false">'📊 P&amp;L Detail'!Q32</f>
        <v>147908019.715646</v>
      </c>
      <c r="R7" s="17" t="n">
        <f aca="false">'📊 P&amp;L Detail'!R32</f>
        <v>149120192.805011</v>
      </c>
      <c r="S7" s="17" t="n">
        <f aca="false">'📊 P&amp;L Detail'!S32</f>
        <v>88144422.5675461</v>
      </c>
      <c r="T7" s="17" t="n">
        <f aca="false">'📊 P&amp;L Detail'!T32</f>
        <v>129865478.0033</v>
      </c>
      <c r="U7" s="17" t="n">
        <f aca="false">'📊 P&amp;L Detail'!U32</f>
        <v>169920786.89701</v>
      </c>
      <c r="V7" s="17" t="n">
        <f aca="false">'📊 P&amp;L Detail'!V32</f>
        <v>154111633.943361</v>
      </c>
      <c r="W7" s="17" t="n">
        <f aca="false">'📊 P&amp;L Detail'!W32</f>
        <v>172555788.872246</v>
      </c>
      <c r="X7" s="17" t="n">
        <f aca="false">'📊 P&amp;L Detail'!X32</f>
        <v>169264233.949036</v>
      </c>
      <c r="Y7" s="17" t="n">
        <f aca="false">'📊 P&amp;L Detail'!Y32</f>
        <v>134421292.724839</v>
      </c>
      <c r="Z7" s="17" t="n">
        <f aca="false">'📊 P&amp;L Detail'!Z32</f>
        <v>116477676.911773</v>
      </c>
      <c r="AA7" s="17" t="n">
        <f aca="false">'📊 P&amp;L Detail'!AA32</f>
        <v>122953330.133234</v>
      </c>
      <c r="AB7" s="17" t="n">
        <f aca="false">'📊 P&amp;L Detail'!AB32</f>
        <v>148834104.174168</v>
      </c>
      <c r="AC7" s="17" t="n">
        <f aca="false">'📊 P&amp;L Detail'!AC32</f>
        <v>192737060.606347</v>
      </c>
      <c r="AD7" s="17" t="n">
        <f aca="false">'📊 P&amp;L Detail'!AD32</f>
        <v>196442836.788643</v>
      </c>
      <c r="AE7" s="17" t="n">
        <f aca="false">'📊 P&amp;L Detail'!AE32</f>
        <v>91501678.9923054</v>
      </c>
      <c r="AF7" s="17" t="n">
        <f aca="false">'📊 P&amp;L Detail'!AF32</f>
        <v>133779743.651245</v>
      </c>
      <c r="AG7" s="17" t="n">
        <f aca="false">'📊 P&amp;L Detail'!AG32</f>
        <v>174333800.487315</v>
      </c>
      <c r="AH7" s="17" t="n">
        <f aca="false">'📊 P&amp;L Detail'!AH32</f>
        <v>158343054.635593</v>
      </c>
      <c r="AI7" s="17" t="n">
        <f aca="false">'📊 P&amp;L Detail'!AI32</f>
        <v>177130556.26967</v>
      </c>
      <c r="AJ7" s="17" t="n">
        <f aca="false">'📊 P&amp;L Detail'!AJ32</f>
        <v>173813048.10194</v>
      </c>
      <c r="AK7" s="17" t="n">
        <f aca="false">'📊 P&amp;L Detail'!AK32</f>
        <v>138526254.13389</v>
      </c>
      <c r="AL7" s="17" t="n">
        <f aca="false">'📊 P&amp;L Detail'!AL32</f>
        <v>120347826.531392</v>
      </c>
      <c r="AM7" s="17" t="n">
        <f aca="false">'📊 P&amp;L Detail'!AM32</f>
        <v>114098440.227241</v>
      </c>
      <c r="AN7" s="17" t="n">
        <f aca="false">'📊 P&amp;L Detail'!AN32</f>
        <v>139993679.883633</v>
      </c>
      <c r="AO7" s="17" t="n">
        <f aca="false">'📊 P&amp;L Detail'!AO32</f>
        <v>197283231</v>
      </c>
      <c r="AP7" s="17" t="n">
        <f aca="false">'📊 P&amp;L Detail'!AP32</f>
        <v>192537441</v>
      </c>
      <c r="AQ7" s="17" t="n">
        <f aca="false">'📊 P&amp;L Detail'!AQ32</f>
        <v>89215177.5</v>
      </c>
      <c r="AR7" s="17" t="n">
        <f aca="false">'📊 P&amp;L Detail'!AR32</f>
        <v>130681153.125</v>
      </c>
      <c r="AS7" s="17" t="n">
        <f aca="false">'📊 P&amp;L Detail'!AS32</f>
        <v>170498981.25</v>
      </c>
      <c r="AT7" s="17" t="n">
        <f aca="false">'📊 P&amp;L Detail'!AT32</f>
        <v>154664341.875</v>
      </c>
      <c r="AU7" s="17" t="n">
        <f aca="false">'📊 P&amp;L Detail'!AU32</f>
        <v>172918350</v>
      </c>
      <c r="AV7" s="17" t="n">
        <f aca="false">'📊 P&amp;L Detail'!AV32</f>
        <v>169551433.125</v>
      </c>
      <c r="AW7" s="17" t="n">
        <f aca="false">'📊 P&amp;L Detail'!AW32</f>
        <v>134763097.5</v>
      </c>
      <c r="AX7" s="17" t="n">
        <f aca="false">'📊 P&amp;L Detail'!AX32</f>
        <v>116808131.25</v>
      </c>
      <c r="AY7" s="17" t="n">
        <f aca="false">'📊 P&amp;L Detail'!AY32</f>
        <v>123166985.625</v>
      </c>
      <c r="AZ7" s="17" t="n">
        <f aca="false">'📊 P&amp;L Detail'!AZ32</f>
        <v>148896888.75</v>
      </c>
      <c r="BA7" s="17" t="n">
        <f aca="false">'📊 P&amp;L Detail'!BA32</f>
        <v>192537441</v>
      </c>
      <c r="BB7" s="17" t="n">
        <f aca="false">'📊 P&amp;L Detail'!BB32</f>
        <v>194245925.4</v>
      </c>
      <c r="BC7" s="17" t="n">
        <f aca="false">'📊 P&amp;L Detail'!BC32</f>
        <v>96300662.625</v>
      </c>
      <c r="BD7" s="17" t="n">
        <f aca="false">'📊 P&amp;L Detail'!BD32</f>
        <v>132183986.625</v>
      </c>
      <c r="BE7" s="17" t="n">
        <f aca="false">'📊 P&amp;L Detail'!BE32</f>
        <v>172259516.25</v>
      </c>
      <c r="BF7" s="17" t="n">
        <f aca="false">'📊 P&amp;L Detail'!BF32</f>
        <v>156325368.375</v>
      </c>
      <c r="BG7" s="17" t="n">
        <f aca="false">'📊 P&amp;L Detail'!BG32</f>
        <v>175673970</v>
      </c>
      <c r="BH7" s="17" t="n">
        <f aca="false">'📊 P&amp;L Detail'!BH32</f>
        <v>172280262.375</v>
      </c>
      <c r="BI7" s="17" t="n">
        <f aca="false">'📊 P&amp;L Detail'!BI32</f>
        <v>137135992.5</v>
      </c>
      <c r="BJ7" s="17" t="n">
        <f aca="false">'📊 P&amp;L Detail'!BJ32</f>
        <v>118989663.75</v>
      </c>
    </row>
    <row r="8" customFormat="false" ht="13.5" hidden="false" customHeight="true" outlineLevel="0" collapsed="false">
      <c r="A8" s="114" t="s">
        <v>410</v>
      </c>
      <c r="B8" s="115" t="n">
        <f aca="false">SUM(C8:AL8)</f>
        <v>180000000</v>
      </c>
      <c r="C8" s="115" t="n">
        <f aca="false">'📦 COGS &amp; OpEx'!C30</f>
        <v>5000000</v>
      </c>
      <c r="D8" s="115" t="n">
        <f aca="false">'📦 COGS &amp; OpEx'!D30</f>
        <v>5000000</v>
      </c>
      <c r="E8" s="115" t="n">
        <f aca="false">'📦 COGS &amp; OpEx'!E30</f>
        <v>5000000</v>
      </c>
      <c r="F8" s="115" t="n">
        <f aca="false">'📦 COGS &amp; OpEx'!F30</f>
        <v>5000000</v>
      </c>
      <c r="G8" s="115" t="n">
        <f aca="false">'📦 COGS &amp; OpEx'!G30</f>
        <v>5000000</v>
      </c>
      <c r="H8" s="115" t="n">
        <f aca="false">'📦 COGS &amp; OpEx'!H30</f>
        <v>5000000</v>
      </c>
      <c r="I8" s="115" t="n">
        <f aca="false">'📦 COGS &amp; OpEx'!I30</f>
        <v>5000000</v>
      </c>
      <c r="J8" s="115" t="n">
        <f aca="false">'📦 COGS &amp; OpEx'!J30</f>
        <v>5000000</v>
      </c>
      <c r="K8" s="115" t="n">
        <f aca="false">'📦 COGS &amp; OpEx'!K30</f>
        <v>5000000</v>
      </c>
      <c r="L8" s="115" t="n">
        <f aca="false">'📦 COGS &amp; OpEx'!L30</f>
        <v>5000000</v>
      </c>
      <c r="M8" s="115" t="n">
        <f aca="false">'📦 COGS &amp; OpEx'!M30</f>
        <v>5000000</v>
      </c>
      <c r="N8" s="115" t="n">
        <f aca="false">'📦 COGS &amp; OpEx'!N30</f>
        <v>5000000</v>
      </c>
      <c r="O8" s="115" t="n">
        <f aca="false">'📦 COGS &amp; OpEx'!O30</f>
        <v>5000000</v>
      </c>
      <c r="P8" s="115" t="n">
        <f aca="false">'📦 COGS &amp; OpEx'!P30</f>
        <v>5000000</v>
      </c>
      <c r="Q8" s="115" t="n">
        <f aca="false">'📦 COGS &amp; OpEx'!Q30</f>
        <v>5000000</v>
      </c>
      <c r="R8" s="115" t="n">
        <f aca="false">'📦 COGS &amp; OpEx'!R30</f>
        <v>5000000</v>
      </c>
      <c r="S8" s="115" t="n">
        <f aca="false">'📦 COGS &amp; OpEx'!S30</f>
        <v>5000000</v>
      </c>
      <c r="T8" s="115" t="n">
        <f aca="false">'📦 COGS &amp; OpEx'!T30</f>
        <v>5000000</v>
      </c>
      <c r="U8" s="115" t="n">
        <f aca="false">'📦 COGS &amp; OpEx'!U30</f>
        <v>5000000</v>
      </c>
      <c r="V8" s="115" t="n">
        <f aca="false">'📦 COGS &amp; OpEx'!V30</f>
        <v>5000000</v>
      </c>
      <c r="W8" s="115" t="n">
        <f aca="false">'📦 COGS &amp; OpEx'!W30</f>
        <v>5000000</v>
      </c>
      <c r="X8" s="115" t="n">
        <f aca="false">'📦 COGS &amp; OpEx'!X30</f>
        <v>5000000</v>
      </c>
      <c r="Y8" s="115" t="n">
        <f aca="false">'📦 COGS &amp; OpEx'!Y30</f>
        <v>5000000</v>
      </c>
      <c r="Z8" s="115" t="n">
        <f aca="false">'📦 COGS &amp; OpEx'!Z30</f>
        <v>5000000</v>
      </c>
      <c r="AA8" s="115" t="n">
        <f aca="false">'📦 COGS &amp; OpEx'!AA30</f>
        <v>5000000</v>
      </c>
      <c r="AB8" s="115" t="n">
        <f aca="false">'📦 COGS &amp; OpEx'!AB30</f>
        <v>5000000</v>
      </c>
      <c r="AC8" s="115" t="n">
        <f aca="false">'📦 COGS &amp; OpEx'!AC30</f>
        <v>5000000</v>
      </c>
      <c r="AD8" s="115" t="n">
        <f aca="false">'📦 COGS &amp; OpEx'!AD30</f>
        <v>5000000</v>
      </c>
      <c r="AE8" s="115" t="n">
        <f aca="false">'📦 COGS &amp; OpEx'!AE30</f>
        <v>5000000</v>
      </c>
      <c r="AF8" s="115" t="n">
        <f aca="false">'📦 COGS &amp; OpEx'!AF30</f>
        <v>5000000</v>
      </c>
      <c r="AG8" s="115" t="n">
        <f aca="false">'📦 COGS &amp; OpEx'!AG30</f>
        <v>5000000</v>
      </c>
      <c r="AH8" s="115" t="n">
        <f aca="false">'📦 COGS &amp; OpEx'!AH30</f>
        <v>5000000</v>
      </c>
      <c r="AI8" s="115" t="n">
        <f aca="false">'📦 COGS &amp; OpEx'!AI30</f>
        <v>5000000</v>
      </c>
      <c r="AJ8" s="115" t="n">
        <f aca="false">'📦 COGS &amp; OpEx'!AJ30</f>
        <v>5000000</v>
      </c>
      <c r="AK8" s="115" t="n">
        <f aca="false">'📦 COGS &amp; OpEx'!AK30</f>
        <v>5000000</v>
      </c>
      <c r="AL8" s="115" t="n">
        <f aca="false">'📦 COGS &amp; OpEx'!AL30</f>
        <v>5000000</v>
      </c>
      <c r="AM8" s="115" t="n">
        <f aca="false">'📦 COGS &amp; OpEx'!AM30</f>
        <v>5000000</v>
      </c>
      <c r="AN8" s="115" t="n">
        <f aca="false">'📦 COGS &amp; OpEx'!AN30</f>
        <v>5000000</v>
      </c>
      <c r="AO8" s="115" t="n">
        <f aca="false">'📦 COGS &amp; OpEx'!AO30</f>
        <v>5000000</v>
      </c>
      <c r="AP8" s="115" t="n">
        <f aca="false">'📦 COGS &amp; OpEx'!AP30</f>
        <v>5000000</v>
      </c>
      <c r="AQ8" s="115" t="n">
        <f aca="false">'📦 COGS &amp; OpEx'!AQ30</f>
        <v>5000000</v>
      </c>
      <c r="AR8" s="115" t="n">
        <f aca="false">'📦 COGS &amp; OpEx'!AR30</f>
        <v>5000000</v>
      </c>
      <c r="AS8" s="115" t="n">
        <f aca="false">'📦 COGS &amp; OpEx'!AS30</f>
        <v>5000000</v>
      </c>
      <c r="AT8" s="115" t="n">
        <f aca="false">'📦 COGS &amp; OpEx'!AT30</f>
        <v>5000000</v>
      </c>
      <c r="AU8" s="115" t="n">
        <f aca="false">'📦 COGS &amp; OpEx'!AU30</f>
        <v>5000000</v>
      </c>
      <c r="AV8" s="115" t="n">
        <f aca="false">'📦 COGS &amp; OpEx'!AV30</f>
        <v>5000000</v>
      </c>
      <c r="AW8" s="115" t="n">
        <f aca="false">'📦 COGS &amp; OpEx'!AW30</f>
        <v>5000000</v>
      </c>
      <c r="AX8" s="115" t="n">
        <f aca="false">'📦 COGS &amp; OpEx'!AX30</f>
        <v>5000000</v>
      </c>
      <c r="AY8" s="115" t="n">
        <f aca="false">'📦 COGS &amp; OpEx'!AY30</f>
        <v>5000000</v>
      </c>
      <c r="AZ8" s="115" t="n">
        <f aca="false">'📦 COGS &amp; OpEx'!AZ30</f>
        <v>5000000</v>
      </c>
      <c r="BA8" s="115" t="n">
        <f aca="false">'📦 COGS &amp; OpEx'!BA30</f>
        <v>5000000</v>
      </c>
      <c r="BB8" s="115" t="n">
        <f aca="false">'📦 COGS &amp; OpEx'!BB30</f>
        <v>5000000</v>
      </c>
      <c r="BC8" s="115" t="n">
        <f aca="false">'📦 COGS &amp; OpEx'!BC30</f>
        <v>5000000</v>
      </c>
      <c r="BD8" s="115" t="n">
        <f aca="false">'📦 COGS &amp; OpEx'!BD30</f>
        <v>5000000</v>
      </c>
      <c r="BE8" s="115" t="n">
        <f aca="false">'📦 COGS &amp; OpEx'!BE30</f>
        <v>5000000</v>
      </c>
      <c r="BF8" s="115" t="n">
        <f aca="false">'📦 COGS &amp; OpEx'!BF30</f>
        <v>5000000</v>
      </c>
      <c r="BG8" s="115" t="n">
        <f aca="false">'📦 COGS &amp; OpEx'!BG30</f>
        <v>5000000</v>
      </c>
      <c r="BH8" s="115" t="n">
        <f aca="false">'📦 COGS &amp; OpEx'!BH30</f>
        <v>5000000</v>
      </c>
      <c r="BI8" s="115" t="n">
        <f aca="false">'📦 COGS &amp; OpEx'!BI30</f>
        <v>5000000</v>
      </c>
      <c r="BJ8" s="115" t="n">
        <f aca="false">'📦 COGS &amp; OpEx'!BJ30</f>
        <v>5000000</v>
      </c>
    </row>
    <row r="9" customFormat="false" ht="13.5" hidden="false" customHeight="true" outlineLevel="0" collapsed="false">
      <c r="A9" s="85" t="s">
        <v>411</v>
      </c>
      <c r="B9" s="17" t="n">
        <f aca="false">SUM(C9:AL9)</f>
        <v>65372854.6546759</v>
      </c>
      <c r="C9" s="17" t="n">
        <f aca="false">'📊 P&amp;L Detail'!C24</f>
        <v>3386250</v>
      </c>
      <c r="D9" s="17" t="n">
        <f aca="false">'📊 P&amp;L Detail'!D24</f>
        <v>3303965.03028028</v>
      </c>
      <c r="E9" s="17" t="n">
        <f aca="false">'📊 P&amp;L Detail'!E24</f>
        <v>3221062.92328765</v>
      </c>
      <c r="F9" s="17" t="n">
        <f aca="false">'📊 P&amp;L Detail'!F24</f>
        <v>3137539.05049259</v>
      </c>
      <c r="G9" s="17" t="n">
        <f aca="false">'📊 P&amp;L Detail'!G24</f>
        <v>3053388.74865156</v>
      </c>
      <c r="H9" s="17" t="n">
        <f aca="false">'📊 P&amp;L Detail'!H24</f>
        <v>2968607.31954672</v>
      </c>
      <c r="I9" s="17" t="n">
        <f aca="false">'📊 P&amp;L Detail'!I24</f>
        <v>2883190.0297236</v>
      </c>
      <c r="J9" s="17" t="n">
        <f aca="false">'📊 P&amp;L Detail'!J24</f>
        <v>2797132.1102268</v>
      </c>
      <c r="K9" s="17" t="n">
        <f aca="false">'📊 P&amp;L Detail'!K24</f>
        <v>2710428.75633378</v>
      </c>
      <c r="L9" s="17" t="n">
        <f aca="false">'📊 P&amp;L Detail'!L24</f>
        <v>2623075.12728655</v>
      </c>
      <c r="M9" s="17" t="n">
        <f aca="false">'📊 P&amp;L Detail'!M24</f>
        <v>2535066.34602148</v>
      </c>
      <c r="N9" s="17" t="n">
        <f aca="false">'📊 P&amp;L Detail'!N24</f>
        <v>2446397.49889692</v>
      </c>
      <c r="O9" s="17" t="n">
        <f aca="false">'📊 P&amp;L Detail'!O24</f>
        <v>2357063.63541892</v>
      </c>
      <c r="P9" s="17" t="n">
        <f aca="false">'📊 P&amp;L Detail'!P24</f>
        <v>2267059.76796484</v>
      </c>
      <c r="Q9" s="17" t="n">
        <f aca="false">'📊 P&amp;L Detail'!Q24</f>
        <v>2176380.87150485</v>
      </c>
      <c r="R9" s="17" t="n">
        <f aca="false">'📊 P&amp;L Detail'!R24</f>
        <v>2085021.88332141</v>
      </c>
      <c r="S9" s="17" t="n">
        <f aca="false">'📊 P&amp;L Detail'!S24</f>
        <v>1992977.7027266</v>
      </c>
      <c r="T9" s="17" t="n">
        <f aca="false">'📊 P&amp;L Detail'!T24</f>
        <v>1900243.19077732</v>
      </c>
      <c r="U9" s="17" t="n">
        <f aca="false">'📊 P&amp;L Detail'!U24</f>
        <v>1806813.16998843</v>
      </c>
      <c r="V9" s="17" t="n">
        <f aca="false">'📊 P&amp;L Detail'!V24</f>
        <v>1712682.42404362</v>
      </c>
      <c r="W9" s="17" t="n">
        <f aca="false">'📊 P&amp;L Detail'!W24</f>
        <v>1617845.69750422</v>
      </c>
      <c r="X9" s="17" t="n">
        <f aca="false">'📊 P&amp;L Detail'!X24</f>
        <v>1522297.69551578</v>
      </c>
      <c r="Y9" s="17" t="n">
        <f aca="false">'📊 P&amp;L Detail'!Y24</f>
        <v>1426033.08351242</v>
      </c>
      <c r="Z9" s="17" t="n">
        <f aca="false">'📊 P&amp;L Detail'!Z24</f>
        <v>1329046.48691904</v>
      </c>
      <c r="AA9" s="17" t="n">
        <f aca="false">'📊 P&amp;L Detail'!AA24</f>
        <v>1231332.49085121</v>
      </c>
      <c r="AB9" s="17" t="n">
        <f aca="false">'📊 P&amp;L Detail'!AB24</f>
        <v>1132885.63981287</v>
      </c>
      <c r="AC9" s="17" t="n">
        <f aca="false">'📊 P&amp;L Detail'!AC24</f>
        <v>1033700.43739174</v>
      </c>
      <c r="AD9" s="17" t="n">
        <f aca="false">'📊 P&amp;L Detail'!AD24</f>
        <v>933771.345952457</v>
      </c>
      <c r="AE9" s="17" t="n">
        <f aca="false">'📊 P&amp;L Detail'!AE24</f>
        <v>833092.786327376</v>
      </c>
      <c r="AF9" s="17" t="n">
        <f aca="false">'📊 P&amp;L Detail'!AF24</f>
        <v>731659.137505107</v>
      </c>
      <c r="AG9" s="17" t="n">
        <f aca="false">'📊 P&amp;L Detail'!AG24</f>
        <v>629464.736316672</v>
      </c>
      <c r="AH9" s="17" t="n">
        <f aca="false">'📊 P&amp;L Detail'!AH24</f>
        <v>526503.877119322</v>
      </c>
      <c r="AI9" s="17" t="n">
        <f aca="false">'📊 P&amp;L Detail'!AI24</f>
        <v>422770.811477993</v>
      </c>
      <c r="AJ9" s="17" t="n">
        <f aca="false">'📊 P&amp;L Detail'!AJ24</f>
        <v>318259.747844354</v>
      </c>
      <c r="AK9" s="17" t="n">
        <f aca="false">'📊 P&amp;L Detail'!AK24</f>
        <v>212964.851233463</v>
      </c>
      <c r="AL9" s="17" t="n">
        <f aca="false">'📊 P&amp;L Detail'!AL24</f>
        <v>106880.242897989</v>
      </c>
      <c r="AM9" s="17" t="n">
        <f aca="false">'📊 P&amp;L Detail'!AM24</f>
        <v>14250699.0530652</v>
      </c>
      <c r="AN9" s="17" t="n">
        <f aca="false">'📊 P&amp;L Detail'!AN24</f>
        <v>14357579.2959632</v>
      </c>
      <c r="AO9" s="17" t="n">
        <f aca="false">'📊 P&amp;L Detail'!AO24</f>
        <v>0</v>
      </c>
      <c r="AP9" s="17" t="n">
        <f aca="false">'📊 P&amp;L Detail'!AP24</f>
        <v>0</v>
      </c>
      <c r="AQ9" s="17" t="n">
        <f aca="false">'📊 P&amp;L Detail'!AQ24</f>
        <v>0</v>
      </c>
      <c r="AR9" s="17" t="n">
        <f aca="false">'📊 P&amp;L Detail'!AR24</f>
        <v>0</v>
      </c>
      <c r="AS9" s="17" t="n">
        <f aca="false">'📊 P&amp;L Detail'!AS24</f>
        <v>0</v>
      </c>
      <c r="AT9" s="17" t="n">
        <f aca="false">'📊 P&amp;L Detail'!AT24</f>
        <v>0</v>
      </c>
      <c r="AU9" s="17" t="n">
        <f aca="false">'📊 P&amp;L Detail'!AU24</f>
        <v>0</v>
      </c>
      <c r="AV9" s="17" t="n">
        <f aca="false">'📊 P&amp;L Detail'!AV24</f>
        <v>0</v>
      </c>
      <c r="AW9" s="17" t="n">
        <f aca="false">'📊 P&amp;L Detail'!AW24</f>
        <v>0</v>
      </c>
      <c r="AX9" s="17" t="n">
        <f aca="false">'📊 P&amp;L Detail'!AX24</f>
        <v>0</v>
      </c>
      <c r="AY9" s="17" t="n">
        <f aca="false">'📊 P&amp;L Detail'!AY24</f>
        <v>0</v>
      </c>
      <c r="AZ9" s="17" t="n">
        <f aca="false">'📊 P&amp;L Detail'!AZ24</f>
        <v>0</v>
      </c>
      <c r="BA9" s="17" t="n">
        <f aca="false">'📊 P&amp;L Detail'!BA24</f>
        <v>0</v>
      </c>
      <c r="BB9" s="17" t="n">
        <f aca="false">'📊 P&amp;L Detail'!BB24</f>
        <v>0</v>
      </c>
      <c r="BC9" s="17" t="n">
        <f aca="false">'📊 P&amp;L Detail'!BC24</f>
        <v>0</v>
      </c>
      <c r="BD9" s="17" t="n">
        <f aca="false">'📊 P&amp;L Detail'!BD24</f>
        <v>0</v>
      </c>
      <c r="BE9" s="17" t="n">
        <f aca="false">'📊 P&amp;L Detail'!BE24</f>
        <v>0</v>
      </c>
      <c r="BF9" s="17" t="n">
        <f aca="false">'📊 P&amp;L Detail'!BF24</f>
        <v>0</v>
      </c>
      <c r="BG9" s="17" t="n">
        <f aca="false">'📊 P&amp;L Detail'!BG24</f>
        <v>0</v>
      </c>
      <c r="BH9" s="17" t="n">
        <f aca="false">'📊 P&amp;L Detail'!BH24</f>
        <v>0</v>
      </c>
      <c r="BI9" s="17" t="n">
        <f aca="false">'📊 P&amp;L Detail'!BI24</f>
        <v>0</v>
      </c>
      <c r="BJ9" s="17" t="n">
        <f aca="false">'📊 P&amp;L Detail'!BJ24</f>
        <v>0</v>
      </c>
    </row>
    <row r="10" customFormat="false" ht="13.5" hidden="false" customHeight="true" outlineLevel="0" collapsed="false">
      <c r="A10" s="114" t="s">
        <v>412</v>
      </c>
      <c r="B10" s="115" t="n">
        <f aca="false">SUM(C10:AL10)</f>
        <v>0</v>
      </c>
      <c r="C10" s="115"/>
      <c r="D10" s="115"/>
      <c r="E10" s="115"/>
      <c r="F10" s="115"/>
      <c r="G10" s="115"/>
      <c r="H10" s="115"/>
      <c r="I10" s="115"/>
      <c r="J10" s="115"/>
      <c r="K10" s="115"/>
      <c r="L10" s="115"/>
      <c r="M10" s="115"/>
      <c r="N10" s="115"/>
      <c r="O10" s="115"/>
      <c r="P10" s="115"/>
      <c r="Q10" s="115"/>
      <c r="R10" s="115"/>
      <c r="S10" s="115"/>
      <c r="T10" s="115"/>
      <c r="U10" s="115"/>
      <c r="V10" s="115"/>
      <c r="W10" s="115"/>
      <c r="X10" s="115"/>
      <c r="Y10" s="115"/>
      <c r="Z10" s="115"/>
      <c r="AA10" s="115"/>
      <c r="AB10" s="115"/>
      <c r="AC10" s="115"/>
      <c r="AD10" s="115"/>
      <c r="AE10" s="115"/>
      <c r="AF10" s="115"/>
      <c r="AG10" s="115"/>
      <c r="AH10" s="115"/>
      <c r="AI10" s="115"/>
      <c r="AJ10" s="115"/>
      <c r="AK10" s="115"/>
      <c r="AL10" s="115"/>
      <c r="AM10" s="115"/>
      <c r="AN10" s="115"/>
      <c r="AO10" s="115"/>
      <c r="AP10" s="115"/>
      <c r="AQ10" s="115"/>
      <c r="AR10" s="115"/>
      <c r="AS10" s="115"/>
      <c r="AT10" s="115"/>
      <c r="AU10" s="115"/>
      <c r="AV10" s="115"/>
      <c r="AW10" s="115"/>
      <c r="AX10" s="115"/>
      <c r="AY10" s="115"/>
      <c r="AZ10" s="115"/>
      <c r="BA10" s="115"/>
      <c r="BB10" s="115"/>
      <c r="BC10" s="115"/>
      <c r="BD10" s="115"/>
      <c r="BE10" s="115"/>
      <c r="BF10" s="115"/>
      <c r="BG10" s="115"/>
      <c r="BH10" s="115"/>
      <c r="BI10" s="115"/>
      <c r="BJ10" s="115"/>
    </row>
    <row r="11" customFormat="false" ht="13.5" hidden="false" customHeight="true" outlineLevel="0" collapsed="false">
      <c r="A11" s="90" t="s">
        <v>413</v>
      </c>
      <c r="B11" s="91" t="n">
        <f aca="false">SUM(C11:AL11)</f>
        <v>4225445490.95136</v>
      </c>
      <c r="C11" s="116" t="n">
        <f aca="false">C7+C8+C9+C10</f>
        <v>-60375000</v>
      </c>
      <c r="D11" s="116" t="n">
        <f aca="false">D7+D8+D9+D10</f>
        <v>-60375000</v>
      </c>
      <c r="E11" s="116" t="n">
        <f aca="false">E7+E8+E9+E10</f>
        <v>-6081266.25000001</v>
      </c>
      <c r="F11" s="116" t="n">
        <f aca="false">F7+F8+F9+F10</f>
        <v>24151514.4050493</v>
      </c>
      <c r="G11" s="116" t="n">
        <f aca="false">G7+G8+G9+G10</f>
        <v>17054407.1561152</v>
      </c>
      <c r="H11" s="116" t="n">
        <f aca="false">H7+H8+H9+H10</f>
        <v>53188774.4819547</v>
      </c>
      <c r="I11" s="116" t="n">
        <f aca="false">I7+I8+I9+I10</f>
        <v>98010973.6904724</v>
      </c>
      <c r="J11" s="116" t="n">
        <f aca="false">J7+J8+J9+J10</f>
        <v>106306741.023523</v>
      </c>
      <c r="K11" s="116" t="n">
        <f aca="false">K7+K8+K9+K10</f>
        <v>119596017.875633</v>
      </c>
      <c r="L11" s="116" t="n">
        <f aca="false">L7+L8+L9+L10</f>
        <v>132191869.700229</v>
      </c>
      <c r="M11" s="116" t="n">
        <f aca="false">M7+M8+M9+M10</f>
        <v>103710682.884602</v>
      </c>
      <c r="N11" s="116" t="n">
        <f aca="false">N7+N8+N9+N10</f>
        <v>88955411.6248897</v>
      </c>
      <c r="O11" s="116" t="n">
        <f aca="false">O7+O8+O9+O10</f>
        <v>94202087.3010419</v>
      </c>
      <c r="P11" s="116" t="n">
        <f aca="false">P7+P8+P9+P10</f>
        <v>118692827.851796</v>
      </c>
      <c r="Q11" s="116" t="n">
        <f aca="false">Q7+Q8+Q9+Q10</f>
        <v>155084400.58715</v>
      </c>
      <c r="R11" s="116" t="n">
        <f aca="false">R7+R8+R9+R10</f>
        <v>156205214.688332</v>
      </c>
      <c r="S11" s="116" t="n">
        <f aca="false">S7+S8+S9+S10</f>
        <v>95137400.2702727</v>
      </c>
      <c r="T11" s="116" t="n">
        <f aca="false">T7+T8+T9+T10</f>
        <v>136765721.194078</v>
      </c>
      <c r="U11" s="116" t="n">
        <f aca="false">U7+U8+U9+U10</f>
        <v>176727600.066999</v>
      </c>
      <c r="V11" s="116" t="n">
        <f aca="false">V7+V8+V9+V10</f>
        <v>160824316.367404</v>
      </c>
      <c r="W11" s="116" t="n">
        <f aca="false">W7+W8+W9+W10</f>
        <v>179173634.56975</v>
      </c>
      <c r="X11" s="116" t="n">
        <f aca="false">X7+X8+X9+X10</f>
        <v>175786531.644552</v>
      </c>
      <c r="Y11" s="116" t="n">
        <f aca="false">Y7+Y8+Y9+Y10</f>
        <v>140847325.808351</v>
      </c>
      <c r="Z11" s="116" t="n">
        <f aca="false">Z7+Z8+Z9+Z10</f>
        <v>122806723.398692</v>
      </c>
      <c r="AA11" s="116" t="n">
        <f aca="false">AA7+AA8+AA9+AA10</f>
        <v>129184662.624085</v>
      </c>
      <c r="AB11" s="116" t="n">
        <f aca="false">AB7+AB8+AB9+AB10</f>
        <v>154966989.813981</v>
      </c>
      <c r="AC11" s="116" t="n">
        <f aca="false">AC7+AC8+AC9+AC10</f>
        <v>198770761.043739</v>
      </c>
      <c r="AD11" s="116" t="n">
        <f aca="false">AD7+AD8+AD9+AD10</f>
        <v>202376608.134595</v>
      </c>
      <c r="AE11" s="116" t="n">
        <f aca="false">AE7+AE8+AE9+AE10</f>
        <v>97334771.7786328</v>
      </c>
      <c r="AF11" s="116" t="n">
        <f aca="false">AF7+AF8+AF9+AF10</f>
        <v>139511402.788751</v>
      </c>
      <c r="AG11" s="116" t="n">
        <f aca="false">AG7+AG8+AG9+AG10</f>
        <v>179963265.223632</v>
      </c>
      <c r="AH11" s="116" t="n">
        <f aca="false">AH7+AH8+AH9+AH10</f>
        <v>163869558.512712</v>
      </c>
      <c r="AI11" s="116" t="n">
        <f aca="false">AI7+AI8+AI9+AI10</f>
        <v>182553327.081148</v>
      </c>
      <c r="AJ11" s="116" t="n">
        <f aca="false">AJ7+AJ8+AJ9+AJ10</f>
        <v>179131307.849784</v>
      </c>
      <c r="AK11" s="116" t="n">
        <f aca="false">AK7+AK8+AK9+AK10</f>
        <v>143739218.985123</v>
      </c>
      <c r="AL11" s="116" t="n">
        <f aca="false">AL7+AL8+AL9+AL10</f>
        <v>125454706.77429</v>
      </c>
      <c r="AM11" s="116" t="n">
        <f aca="false">AM7+AM8+AM9+AM10</f>
        <v>133349139.280307</v>
      </c>
      <c r="AN11" s="116" t="n">
        <f aca="false">AN7+AN8+AN9+AN10</f>
        <v>159351259.179596</v>
      </c>
      <c r="AO11" s="116" t="n">
        <f aca="false">AO7+AO8+AO9+AO10</f>
        <v>202283231</v>
      </c>
      <c r="AP11" s="116" t="n">
        <f aca="false">AP7+AP8+AP9+AP10</f>
        <v>197537441</v>
      </c>
      <c r="AQ11" s="116" t="n">
        <f aca="false">AQ7+AQ8+AQ9+AQ10</f>
        <v>94215177.5</v>
      </c>
      <c r="AR11" s="116" t="n">
        <f aca="false">AR7+AR8+AR9+AR10</f>
        <v>135681153.125</v>
      </c>
      <c r="AS11" s="116" t="n">
        <f aca="false">AS7+AS8+AS9+AS10</f>
        <v>175498981.25</v>
      </c>
      <c r="AT11" s="116" t="n">
        <f aca="false">AT7+AT8+AT9+AT10</f>
        <v>159664341.875</v>
      </c>
      <c r="AU11" s="116" t="n">
        <f aca="false">AU7+AU8+AU9+AU10</f>
        <v>177918350</v>
      </c>
      <c r="AV11" s="116" t="n">
        <f aca="false">AV7+AV8+AV9+AV10</f>
        <v>174551433.125</v>
      </c>
      <c r="AW11" s="116" t="n">
        <f aca="false">AW7+AW8+AW9+AW10</f>
        <v>139763097.5</v>
      </c>
      <c r="AX11" s="116" t="n">
        <f aca="false">AX7+AX8+AX9+AX10</f>
        <v>121808131.25</v>
      </c>
      <c r="AY11" s="116" t="n">
        <f aca="false">AY7+AY8+AY9+AY10</f>
        <v>128166985.625</v>
      </c>
      <c r="AZ11" s="116" t="n">
        <f aca="false">AZ7+AZ8+AZ9+AZ10</f>
        <v>153896888.75</v>
      </c>
      <c r="BA11" s="116" t="n">
        <f aca="false">BA7+BA8+BA9+BA10</f>
        <v>197537441</v>
      </c>
      <c r="BB11" s="116" t="n">
        <f aca="false">BB7+BB8+BB9+BB10</f>
        <v>199245925.4</v>
      </c>
      <c r="BC11" s="116" t="n">
        <f aca="false">BC7+BC8+BC9+BC10</f>
        <v>101300662.625</v>
      </c>
      <c r="BD11" s="116" t="n">
        <f aca="false">BD7+BD8+BD9+BD10</f>
        <v>137183986.625</v>
      </c>
      <c r="BE11" s="116" t="n">
        <f aca="false">BE7+BE8+BE9+BE10</f>
        <v>177259516.25</v>
      </c>
      <c r="BF11" s="116" t="n">
        <f aca="false">BF7+BF8+BF9+BF10</f>
        <v>161325368.375</v>
      </c>
      <c r="BG11" s="116" t="n">
        <f aca="false">BG7+BG8+BG9+BG10</f>
        <v>180673970</v>
      </c>
      <c r="BH11" s="116" t="n">
        <f aca="false">BH7+BH8+BH9+BH10</f>
        <v>177280262.375</v>
      </c>
      <c r="BI11" s="116" t="n">
        <f aca="false">BI7+BI8+BI9+BI10</f>
        <v>142135992.5</v>
      </c>
      <c r="BJ11" s="116" t="n">
        <f aca="false">BJ7+BJ8+BJ9+BJ10</f>
        <v>123989663.75</v>
      </c>
    </row>
    <row r="12" customFormat="false" ht="13.5" hidden="false" customHeight="true" outlineLevel="0" collapsed="false">
      <c r="A12" s="113" t="s">
        <v>414</v>
      </c>
      <c r="B12" s="113"/>
      <c r="C12" s="113"/>
      <c r="D12" s="113"/>
      <c r="E12" s="113"/>
      <c r="F12" s="113"/>
      <c r="G12" s="113"/>
      <c r="H12" s="113"/>
      <c r="I12" s="113"/>
      <c r="J12" s="113"/>
      <c r="K12" s="113"/>
      <c r="L12" s="113"/>
      <c r="M12" s="113"/>
      <c r="N12" s="113"/>
      <c r="O12" s="113"/>
      <c r="P12" s="113"/>
      <c r="Q12" s="113"/>
      <c r="R12" s="113"/>
      <c r="S12" s="113"/>
      <c r="T12" s="113"/>
      <c r="U12" s="113"/>
      <c r="V12" s="113"/>
      <c r="W12" s="113"/>
      <c r="X12" s="113"/>
      <c r="Y12" s="113"/>
      <c r="Z12" s="113"/>
      <c r="AA12" s="113"/>
      <c r="AB12" s="113"/>
      <c r="AC12" s="113"/>
      <c r="AD12" s="113"/>
      <c r="AE12" s="113"/>
      <c r="AF12" s="113"/>
      <c r="AG12" s="113"/>
      <c r="AH12" s="113"/>
      <c r="AI12" s="113"/>
      <c r="AJ12" s="113"/>
      <c r="AK12" s="113"/>
      <c r="AL12" s="113"/>
      <c r="AM12" s="113"/>
      <c r="AN12" s="113"/>
      <c r="AO12" s="113"/>
      <c r="AP12" s="113"/>
      <c r="AQ12" s="113"/>
      <c r="AR12" s="113"/>
      <c r="AS12" s="113"/>
      <c r="AT12" s="113"/>
      <c r="AU12" s="113"/>
      <c r="AV12" s="113"/>
      <c r="AW12" s="113"/>
      <c r="AX12" s="113"/>
      <c r="AY12" s="113"/>
      <c r="AZ12" s="113"/>
      <c r="BA12" s="113"/>
      <c r="BB12" s="113"/>
      <c r="BC12" s="113"/>
      <c r="BD12" s="113"/>
      <c r="BE12" s="113"/>
      <c r="BF12" s="113"/>
      <c r="BG12" s="113"/>
      <c r="BH12" s="113"/>
      <c r="BI12" s="113"/>
      <c r="BJ12" s="113"/>
    </row>
    <row r="13" customFormat="false" ht="13.5" hidden="false" customHeight="true" outlineLevel="0" collapsed="false">
      <c r="A13" s="85" t="s">
        <v>415</v>
      </c>
      <c r="B13" s="17" t="n">
        <f aca="false">SUM(C13:AL13)</f>
        <v>-300000000</v>
      </c>
      <c r="C13" s="17" t="n">
        <f aca="false">-'📦 COGS &amp; OpEx'!$C$29</f>
        <v>-300000000</v>
      </c>
      <c r="D13" s="17"/>
      <c r="E13" s="17" t="n">
        <f aca="false">-'📦 COGS &amp; OpEx'!E29</f>
        <v>-0</v>
      </c>
      <c r="F13" s="17" t="n">
        <f aca="false">-'📦 COGS &amp; OpEx'!F29</f>
        <v>-0</v>
      </c>
      <c r="G13" s="17" t="n">
        <f aca="false">-'📦 COGS &amp; OpEx'!G29</f>
        <v>-0</v>
      </c>
      <c r="H13" s="17" t="n">
        <f aca="false">-'📦 COGS &amp; OpEx'!H29</f>
        <v>-0</v>
      </c>
      <c r="I13" s="17" t="n">
        <f aca="false">-'📦 COGS &amp; OpEx'!I29</f>
        <v>-0</v>
      </c>
      <c r="J13" s="17" t="n">
        <f aca="false">-'📦 COGS &amp; OpEx'!J29</f>
        <v>-0</v>
      </c>
      <c r="K13" s="17" t="n">
        <f aca="false">-'📦 COGS &amp; OpEx'!K29</f>
        <v>-0</v>
      </c>
      <c r="L13" s="17" t="n">
        <f aca="false">-'📦 COGS &amp; OpEx'!L29</f>
        <v>-0</v>
      </c>
      <c r="M13" s="17" t="n">
        <f aca="false">-'📦 COGS &amp; OpEx'!M29</f>
        <v>-0</v>
      </c>
      <c r="N13" s="17" t="n">
        <f aca="false">-'📦 COGS &amp; OpEx'!N29</f>
        <v>-0</v>
      </c>
      <c r="O13" s="17" t="n">
        <f aca="false">-'📦 COGS &amp; OpEx'!O29</f>
        <v>-0</v>
      </c>
      <c r="P13" s="17" t="n">
        <f aca="false">-'📦 COGS &amp; OpEx'!P29</f>
        <v>-0</v>
      </c>
      <c r="Q13" s="17" t="n">
        <f aca="false">-'📦 COGS &amp; OpEx'!Q29</f>
        <v>-0</v>
      </c>
      <c r="R13" s="17" t="n">
        <f aca="false">-'📦 COGS &amp; OpEx'!R29</f>
        <v>-0</v>
      </c>
      <c r="S13" s="17" t="n">
        <f aca="false">-'📦 COGS &amp; OpEx'!S29</f>
        <v>-0</v>
      </c>
      <c r="T13" s="17" t="n">
        <f aca="false">-'📦 COGS &amp; OpEx'!T29</f>
        <v>-0</v>
      </c>
      <c r="U13" s="17" t="n">
        <f aca="false">-'📦 COGS &amp; OpEx'!U29</f>
        <v>-0</v>
      </c>
      <c r="V13" s="17" t="n">
        <f aca="false">-'📦 COGS &amp; OpEx'!V29</f>
        <v>-0</v>
      </c>
      <c r="W13" s="17" t="n">
        <f aca="false">-'📦 COGS &amp; OpEx'!W29</f>
        <v>-0</v>
      </c>
      <c r="X13" s="17" t="n">
        <f aca="false">-'📦 COGS &amp; OpEx'!X29</f>
        <v>-0</v>
      </c>
      <c r="Y13" s="17" t="n">
        <f aca="false">-'📦 COGS &amp; OpEx'!Y29</f>
        <v>-0</v>
      </c>
      <c r="Z13" s="17" t="n">
        <f aca="false">-'📦 COGS &amp; OpEx'!Z29</f>
        <v>-0</v>
      </c>
      <c r="AA13" s="17" t="n">
        <f aca="false">-'📦 COGS &amp; OpEx'!AA29</f>
        <v>-0</v>
      </c>
      <c r="AB13" s="17" t="n">
        <f aca="false">-'📦 COGS &amp; OpEx'!AB29</f>
        <v>-0</v>
      </c>
      <c r="AC13" s="17" t="n">
        <f aca="false">-'📦 COGS &amp; OpEx'!AC29</f>
        <v>-0</v>
      </c>
      <c r="AD13" s="17" t="n">
        <f aca="false">-'📦 COGS &amp; OpEx'!AD29</f>
        <v>-0</v>
      </c>
      <c r="AE13" s="17" t="n">
        <f aca="false">-'📦 COGS &amp; OpEx'!AE29</f>
        <v>-0</v>
      </c>
      <c r="AF13" s="17" t="n">
        <f aca="false">-'📦 COGS &amp; OpEx'!AF29</f>
        <v>-0</v>
      </c>
      <c r="AG13" s="17" t="n">
        <f aca="false">-'📦 COGS &amp; OpEx'!AG29</f>
        <v>-0</v>
      </c>
      <c r="AH13" s="17" t="n">
        <f aca="false">-'📦 COGS &amp; OpEx'!AH29</f>
        <v>-0</v>
      </c>
      <c r="AI13" s="17" t="n">
        <f aca="false">-'📦 COGS &amp; OpEx'!AI29</f>
        <v>-0</v>
      </c>
      <c r="AJ13" s="17" t="n">
        <f aca="false">-'📦 COGS &amp; OpEx'!AJ29</f>
        <v>-0</v>
      </c>
      <c r="AK13" s="17" t="n">
        <f aca="false">-'📦 COGS &amp; OpEx'!AK29</f>
        <v>-0</v>
      </c>
      <c r="AL13" s="17" t="n">
        <f aca="false">-'📦 COGS &amp; OpEx'!AL29</f>
        <v>-0</v>
      </c>
      <c r="AM13" s="17" t="n">
        <f aca="false">-'📦 COGS &amp; OpEx'!AM29</f>
        <v>-0</v>
      </c>
      <c r="AN13" s="17" t="n">
        <f aca="false">-'📦 COGS &amp; OpEx'!AN29</f>
        <v>-0</v>
      </c>
      <c r="AO13" s="17" t="n">
        <f aca="false">-'📦 COGS &amp; OpEx'!AO29</f>
        <v>-0</v>
      </c>
      <c r="AP13" s="17" t="n">
        <f aca="false">-'📦 COGS &amp; OpEx'!AP29</f>
        <v>-0</v>
      </c>
      <c r="AQ13" s="17" t="n">
        <f aca="false">-'📦 COGS &amp; OpEx'!AQ29</f>
        <v>-0</v>
      </c>
      <c r="AR13" s="17" t="n">
        <f aca="false">-'📦 COGS &amp; OpEx'!AR29</f>
        <v>-0</v>
      </c>
      <c r="AS13" s="17" t="n">
        <f aca="false">-'📦 COGS &amp; OpEx'!AS29</f>
        <v>-0</v>
      </c>
      <c r="AT13" s="17" t="n">
        <f aca="false">-'📦 COGS &amp; OpEx'!AT29</f>
        <v>-0</v>
      </c>
      <c r="AU13" s="17" t="n">
        <f aca="false">-'📦 COGS &amp; OpEx'!AU29</f>
        <v>-0</v>
      </c>
      <c r="AV13" s="17" t="n">
        <f aca="false">-'📦 COGS &amp; OpEx'!AV29</f>
        <v>-0</v>
      </c>
      <c r="AW13" s="17" t="n">
        <f aca="false">-'📦 COGS &amp; OpEx'!AW29</f>
        <v>-0</v>
      </c>
      <c r="AX13" s="17" t="n">
        <f aca="false">-'📦 COGS &amp; OpEx'!AX29</f>
        <v>-0</v>
      </c>
      <c r="AY13" s="17" t="n">
        <f aca="false">-'📦 COGS &amp; OpEx'!AY29</f>
        <v>-0</v>
      </c>
      <c r="AZ13" s="17" t="n">
        <f aca="false">-'📦 COGS &amp; OpEx'!AZ29</f>
        <v>-0</v>
      </c>
      <c r="BA13" s="17" t="n">
        <f aca="false">-'📦 COGS &amp; OpEx'!BA29</f>
        <v>-0</v>
      </c>
      <c r="BB13" s="17" t="n">
        <f aca="false">-'📦 COGS &amp; OpEx'!BB29</f>
        <v>-0</v>
      </c>
      <c r="BC13" s="17" t="n">
        <f aca="false">-'📦 COGS &amp; OpEx'!BC29</f>
        <v>-0</v>
      </c>
      <c r="BD13" s="17" t="n">
        <f aca="false">-'📦 COGS &amp; OpEx'!BD29</f>
        <v>-0</v>
      </c>
      <c r="BE13" s="17" t="n">
        <f aca="false">-'📦 COGS &amp; OpEx'!BE29</f>
        <v>-0</v>
      </c>
      <c r="BF13" s="17" t="n">
        <f aca="false">-'📦 COGS &amp; OpEx'!BF29</f>
        <v>-0</v>
      </c>
      <c r="BG13" s="17" t="n">
        <f aca="false">-'📦 COGS &amp; OpEx'!BG29</f>
        <v>-0</v>
      </c>
      <c r="BH13" s="17" t="n">
        <f aca="false">-'📦 COGS &amp; OpEx'!BH29</f>
        <v>-0</v>
      </c>
      <c r="BI13" s="17" t="n">
        <f aca="false">-'📦 COGS &amp; OpEx'!BI29</f>
        <v>-0</v>
      </c>
      <c r="BJ13" s="17" t="n">
        <f aca="false">-'📦 COGS &amp; OpEx'!BJ29</f>
        <v>-0</v>
      </c>
    </row>
    <row r="14" customFormat="false" ht="13.5" hidden="false" customHeight="true" outlineLevel="0" collapsed="false">
      <c r="A14" s="85" t="str">
        <f aca="false">"  (-) Deposit " &amp; '⚙️ Assumptions'!B11&amp; " month rent"</f>
        <v>  (-) Deposit 6 month rent</v>
      </c>
      <c r="B14" s="17"/>
      <c r="C14" s="17" t="n">
        <f aca="false">-'⚙️ Assumptions'!$B$17</f>
        <v>-345000000</v>
      </c>
      <c r="D14" s="17"/>
      <c r="E14" s="17"/>
      <c r="F14" s="17"/>
      <c r="G14" s="17"/>
      <c r="H14" s="17"/>
      <c r="I14" s="17"/>
      <c r="J14" s="17"/>
      <c r="K14" s="17"/>
      <c r="L14" s="17"/>
      <c r="M14" s="17"/>
      <c r="N14" s="17"/>
      <c r="O14" s="17"/>
      <c r="P14" s="17"/>
      <c r="Q14" s="17"/>
      <c r="R14" s="17"/>
      <c r="S14" s="17"/>
      <c r="T14" s="17"/>
      <c r="U14" s="17"/>
      <c r="V14" s="17"/>
      <c r="W14" s="17"/>
      <c r="X14" s="17"/>
      <c r="Y14" s="17"/>
      <c r="Z14" s="17"/>
      <c r="AA14" s="17"/>
      <c r="AB14" s="17"/>
      <c r="AC14" s="17"/>
      <c r="AD14" s="17"/>
      <c r="AE14" s="17"/>
      <c r="AF14" s="17"/>
      <c r="AG14" s="17"/>
      <c r="AH14" s="17"/>
      <c r="AI14" s="17"/>
      <c r="AJ14" s="17"/>
      <c r="AK14" s="17"/>
      <c r="AL14" s="17"/>
      <c r="AM14" s="17"/>
      <c r="AN14" s="17"/>
      <c r="AO14" s="17"/>
      <c r="AP14" s="17"/>
      <c r="AQ14" s="17"/>
      <c r="AR14" s="17"/>
      <c r="AS14" s="17"/>
      <c r="AT14" s="17"/>
      <c r="AU14" s="17"/>
      <c r="AV14" s="17"/>
      <c r="AW14" s="17"/>
      <c r="AX14" s="17"/>
      <c r="AY14" s="17"/>
      <c r="AZ14" s="17"/>
      <c r="BA14" s="17"/>
      <c r="BB14" s="17"/>
      <c r="BC14" s="17"/>
      <c r="BD14" s="17"/>
      <c r="BE14" s="17"/>
      <c r="BF14" s="17"/>
      <c r="BG14" s="17"/>
      <c r="BH14" s="17"/>
      <c r="BI14" s="17"/>
      <c r="BJ14" s="17"/>
    </row>
    <row r="15" customFormat="false" ht="13.5" hidden="false" customHeight="true" outlineLevel="0" collapsed="false">
      <c r="A15" s="114" t="s">
        <v>416</v>
      </c>
      <c r="B15" s="115" t="n">
        <f aca="false">SUM(C15:AL15)</f>
        <v>0</v>
      </c>
      <c r="C15" s="115" t="n">
        <f aca="false">'💰 Revenue'!C27</f>
        <v>0</v>
      </c>
      <c r="D15" s="115" t="n">
        <f aca="false">'💰 Revenue'!D27</f>
        <v>0</v>
      </c>
      <c r="E15" s="115" t="n">
        <f aca="false">'💰 Revenue'!E27</f>
        <v>0</v>
      </c>
      <c r="F15" s="115" t="n">
        <f aca="false">'💰 Revenue'!F27</f>
        <v>0</v>
      </c>
      <c r="G15" s="115" t="n">
        <f aca="false">'💰 Revenue'!G27</f>
        <v>0</v>
      </c>
      <c r="H15" s="115" t="n">
        <f aca="false">'💰 Revenue'!H27</f>
        <v>0</v>
      </c>
      <c r="I15" s="115" t="n">
        <f aca="false">'💰 Revenue'!I27</f>
        <v>0</v>
      </c>
      <c r="J15" s="115" t="n">
        <f aca="false">'💰 Revenue'!J27</f>
        <v>0</v>
      </c>
      <c r="K15" s="115" t="n">
        <f aca="false">'💰 Revenue'!K27</f>
        <v>0</v>
      </c>
      <c r="L15" s="115" t="n">
        <f aca="false">'💰 Revenue'!L27</f>
        <v>0</v>
      </c>
      <c r="M15" s="115" t="n">
        <f aca="false">'💰 Revenue'!M27</f>
        <v>0</v>
      </c>
      <c r="N15" s="115" t="n">
        <f aca="false">'💰 Revenue'!N27</f>
        <v>0</v>
      </c>
      <c r="O15" s="115" t="n">
        <f aca="false">'💰 Revenue'!O27</f>
        <v>0</v>
      </c>
      <c r="P15" s="115" t="n">
        <f aca="false">'💰 Revenue'!P27</f>
        <v>0</v>
      </c>
      <c r="Q15" s="115" t="n">
        <f aca="false">'💰 Revenue'!Q27</f>
        <v>0</v>
      </c>
      <c r="R15" s="115" t="n">
        <f aca="false">'💰 Revenue'!R27</f>
        <v>0</v>
      </c>
      <c r="S15" s="115" t="n">
        <f aca="false">'💰 Revenue'!S27</f>
        <v>0</v>
      </c>
      <c r="T15" s="115" t="n">
        <f aca="false">'💰 Revenue'!T27</f>
        <v>0</v>
      </c>
      <c r="U15" s="115" t="n">
        <f aca="false">'💰 Revenue'!U27</f>
        <v>0</v>
      </c>
      <c r="V15" s="115" t="n">
        <f aca="false">'💰 Revenue'!V27</f>
        <v>0</v>
      </c>
      <c r="W15" s="115" t="n">
        <f aca="false">'💰 Revenue'!W27</f>
        <v>0</v>
      </c>
      <c r="X15" s="115" t="n">
        <f aca="false">'💰 Revenue'!X27</f>
        <v>0</v>
      </c>
      <c r="Y15" s="115" t="n">
        <f aca="false">'💰 Revenue'!Y27</f>
        <v>0</v>
      </c>
      <c r="Z15" s="115" t="n">
        <f aca="false">'💰 Revenue'!Z27</f>
        <v>0</v>
      </c>
      <c r="AA15" s="115" t="n">
        <f aca="false">'💰 Revenue'!AA27</f>
        <v>0</v>
      </c>
      <c r="AB15" s="115" t="n">
        <f aca="false">'💰 Revenue'!AB27</f>
        <v>0</v>
      </c>
      <c r="AC15" s="115" t="n">
        <f aca="false">'💰 Revenue'!AC27</f>
        <v>0</v>
      </c>
      <c r="AD15" s="115" t="n">
        <f aca="false">'💰 Revenue'!AD27</f>
        <v>0</v>
      </c>
      <c r="AE15" s="115" t="n">
        <f aca="false">'💰 Revenue'!AE27</f>
        <v>0</v>
      </c>
      <c r="AF15" s="115" t="n">
        <f aca="false">'💰 Revenue'!AF27</f>
        <v>0</v>
      </c>
      <c r="AG15" s="115" t="n">
        <f aca="false">'💰 Revenue'!AG27</f>
        <v>0</v>
      </c>
      <c r="AH15" s="115" t="n">
        <f aca="false">'💰 Revenue'!AH27</f>
        <v>0</v>
      </c>
      <c r="AI15" s="115" t="n">
        <f aca="false">'💰 Revenue'!AI27</f>
        <v>0</v>
      </c>
      <c r="AJ15" s="115" t="n">
        <f aca="false">'💰 Revenue'!AJ27</f>
        <v>0</v>
      </c>
      <c r="AK15" s="115" t="n">
        <f aca="false">'💰 Revenue'!AK27</f>
        <v>0</v>
      </c>
      <c r="AL15" s="115"/>
      <c r="AM15" s="115"/>
      <c r="AN15" s="115"/>
      <c r="AO15" s="115"/>
      <c r="AP15" s="115"/>
      <c r="AQ15" s="115"/>
      <c r="AR15" s="115"/>
      <c r="AS15" s="115"/>
      <c r="AT15" s="115"/>
      <c r="AU15" s="115"/>
      <c r="AV15" s="115"/>
      <c r="AW15" s="115"/>
      <c r="AX15" s="115"/>
      <c r="AY15" s="115"/>
      <c r="AZ15" s="115"/>
      <c r="BA15" s="115"/>
      <c r="BB15" s="115"/>
      <c r="BC15" s="115"/>
      <c r="BD15" s="115"/>
      <c r="BE15" s="115"/>
      <c r="BF15" s="115"/>
      <c r="BG15" s="115"/>
      <c r="BH15" s="115"/>
      <c r="BI15" s="115"/>
      <c r="BJ15" s="115"/>
    </row>
    <row r="16" customFormat="false" ht="13.5" hidden="false" customHeight="true" outlineLevel="0" collapsed="false">
      <c r="A16" s="90" t="s">
        <v>417</v>
      </c>
      <c r="B16" s="91" t="n">
        <f aca="false">SUM(C16:AL16)</f>
        <v>-645000000</v>
      </c>
      <c r="C16" s="116" t="n">
        <f aca="false">C13+C14+C15</f>
        <v>-645000000</v>
      </c>
      <c r="D16" s="116" t="n">
        <f aca="false">D13+D15</f>
        <v>0</v>
      </c>
      <c r="E16" s="116" t="n">
        <f aca="false">E13+E15</f>
        <v>0</v>
      </c>
      <c r="F16" s="116" t="n">
        <f aca="false">F13+F15</f>
        <v>0</v>
      </c>
      <c r="G16" s="116" t="n">
        <f aca="false">G13+G15</f>
        <v>0</v>
      </c>
      <c r="H16" s="116" t="n">
        <f aca="false">H13+H15</f>
        <v>0</v>
      </c>
      <c r="I16" s="116" t="n">
        <f aca="false">I13+I15</f>
        <v>0</v>
      </c>
      <c r="J16" s="116" t="n">
        <f aca="false">J13+J15</f>
        <v>0</v>
      </c>
      <c r="K16" s="116" t="n">
        <f aca="false">K13+K15</f>
        <v>0</v>
      </c>
      <c r="L16" s="116" t="n">
        <f aca="false">L13+L15</f>
        <v>0</v>
      </c>
      <c r="M16" s="116" t="n">
        <f aca="false">M13+M15</f>
        <v>0</v>
      </c>
      <c r="N16" s="116" t="n">
        <f aca="false">N13+N15</f>
        <v>0</v>
      </c>
      <c r="O16" s="116" t="n">
        <f aca="false">O13+O15</f>
        <v>0</v>
      </c>
      <c r="P16" s="116" t="n">
        <f aca="false">P13+P15</f>
        <v>0</v>
      </c>
      <c r="Q16" s="116" t="n">
        <f aca="false">Q13+Q15</f>
        <v>0</v>
      </c>
      <c r="R16" s="116" t="n">
        <f aca="false">R13+R15</f>
        <v>0</v>
      </c>
      <c r="S16" s="116" t="n">
        <f aca="false">S13+S15</f>
        <v>0</v>
      </c>
      <c r="T16" s="116" t="n">
        <f aca="false">T13+T15</f>
        <v>0</v>
      </c>
      <c r="U16" s="116" t="n">
        <f aca="false">U13+U15</f>
        <v>0</v>
      </c>
      <c r="V16" s="116" t="n">
        <f aca="false">V13+V15</f>
        <v>0</v>
      </c>
      <c r="W16" s="116" t="n">
        <f aca="false">W13+W15</f>
        <v>0</v>
      </c>
      <c r="X16" s="116" t="n">
        <f aca="false">X13+X15</f>
        <v>0</v>
      </c>
      <c r="Y16" s="116" t="n">
        <f aca="false">Y13+Y15</f>
        <v>0</v>
      </c>
      <c r="Z16" s="116" t="n">
        <f aca="false">Z13+Z15</f>
        <v>0</v>
      </c>
      <c r="AA16" s="116" t="n">
        <f aca="false">AA13+AA15</f>
        <v>0</v>
      </c>
      <c r="AB16" s="116" t="n">
        <f aca="false">AB13+AB15</f>
        <v>0</v>
      </c>
      <c r="AC16" s="116" t="n">
        <f aca="false">AC13+AC15</f>
        <v>0</v>
      </c>
      <c r="AD16" s="116" t="n">
        <f aca="false">AD13+AD15</f>
        <v>0</v>
      </c>
      <c r="AE16" s="116" t="n">
        <f aca="false">AE13+AE15</f>
        <v>0</v>
      </c>
      <c r="AF16" s="116" t="n">
        <f aca="false">AF13+AF15</f>
        <v>0</v>
      </c>
      <c r="AG16" s="116" t="n">
        <f aca="false">AG13+AG15</f>
        <v>0</v>
      </c>
      <c r="AH16" s="116" t="n">
        <f aca="false">AH13+AH15</f>
        <v>0</v>
      </c>
      <c r="AI16" s="116" t="n">
        <f aca="false">AI13+AI15</f>
        <v>0</v>
      </c>
      <c r="AJ16" s="116" t="n">
        <f aca="false">AJ13+AJ15</f>
        <v>0</v>
      </c>
      <c r="AK16" s="116" t="n">
        <f aca="false">AK13+AK15</f>
        <v>0</v>
      </c>
      <c r="AL16" s="116" t="n">
        <f aca="false">AL13+AL15</f>
        <v>0</v>
      </c>
      <c r="AM16" s="116" t="n">
        <f aca="false">AM13+AM15</f>
        <v>0</v>
      </c>
      <c r="AN16" s="116" t="n">
        <f aca="false">AN13+AN15</f>
        <v>0</v>
      </c>
      <c r="AO16" s="116" t="n">
        <f aca="false">AO13+AO15</f>
        <v>0</v>
      </c>
      <c r="AP16" s="116" t="n">
        <f aca="false">AP13+AP15</f>
        <v>0</v>
      </c>
      <c r="AQ16" s="116" t="n">
        <f aca="false">AQ13+AQ15</f>
        <v>0</v>
      </c>
      <c r="AR16" s="116" t="n">
        <f aca="false">AR13+AR15</f>
        <v>0</v>
      </c>
      <c r="AS16" s="116" t="n">
        <f aca="false">AS13+AS15</f>
        <v>0</v>
      </c>
      <c r="AT16" s="116" t="n">
        <f aca="false">AT13+AT15</f>
        <v>0</v>
      </c>
      <c r="AU16" s="116" t="n">
        <f aca="false">AU13+AU15</f>
        <v>0</v>
      </c>
      <c r="AV16" s="116" t="n">
        <f aca="false">AV13+AV15</f>
        <v>0</v>
      </c>
      <c r="AW16" s="116" t="n">
        <f aca="false">AW13+AW15</f>
        <v>0</v>
      </c>
      <c r="AX16" s="116" t="n">
        <f aca="false">AX13+AX15</f>
        <v>0</v>
      </c>
      <c r="AY16" s="116" t="n">
        <f aca="false">AY13+AY15</f>
        <v>0</v>
      </c>
      <c r="AZ16" s="116" t="n">
        <f aca="false">AZ13+AZ15</f>
        <v>0</v>
      </c>
      <c r="BA16" s="116" t="n">
        <f aca="false">BA13+BA15</f>
        <v>0</v>
      </c>
      <c r="BB16" s="116" t="n">
        <f aca="false">BB13+BB15</f>
        <v>0</v>
      </c>
      <c r="BC16" s="116" t="n">
        <f aca="false">BC13+BC15</f>
        <v>0</v>
      </c>
      <c r="BD16" s="116" t="n">
        <f aca="false">BD13+BD15</f>
        <v>0</v>
      </c>
      <c r="BE16" s="116" t="n">
        <f aca="false">BE13+BE15</f>
        <v>0</v>
      </c>
      <c r="BF16" s="116" t="n">
        <f aca="false">BF13+BF15</f>
        <v>0</v>
      </c>
      <c r="BG16" s="116" t="n">
        <f aca="false">BG13+BG15</f>
        <v>0</v>
      </c>
      <c r="BH16" s="116" t="n">
        <f aca="false">BH13+BH15</f>
        <v>0</v>
      </c>
      <c r="BI16" s="116" t="n">
        <f aca="false">BI13+BI15</f>
        <v>0</v>
      </c>
      <c r="BJ16" s="116" t="n">
        <f aca="false">BJ13+BJ15</f>
        <v>0</v>
      </c>
    </row>
    <row r="17" customFormat="false" ht="13.5" hidden="false" customHeight="true" outlineLevel="0" collapsed="false">
      <c r="A17" s="113" t="s">
        <v>418</v>
      </c>
      <c r="B17" s="113"/>
      <c r="C17" s="113"/>
      <c r="D17" s="113"/>
      <c r="E17" s="113"/>
      <c r="F17" s="113"/>
      <c r="G17" s="113"/>
      <c r="H17" s="113"/>
      <c r="I17" s="113"/>
      <c r="J17" s="113"/>
      <c r="K17" s="113"/>
      <c r="L17" s="113"/>
      <c r="M17" s="113"/>
      <c r="N17" s="113"/>
      <c r="O17" s="113"/>
      <c r="P17" s="113"/>
      <c r="Q17" s="113"/>
      <c r="R17" s="113"/>
      <c r="S17" s="113"/>
      <c r="T17" s="113"/>
      <c r="U17" s="113"/>
      <c r="V17" s="113"/>
      <c r="W17" s="113"/>
      <c r="X17" s="113"/>
      <c r="Y17" s="113"/>
      <c r="Z17" s="113"/>
      <c r="AA17" s="113"/>
      <c r="AB17" s="113"/>
      <c r="AC17" s="113"/>
      <c r="AD17" s="113"/>
      <c r="AE17" s="113"/>
      <c r="AF17" s="113"/>
      <c r="AG17" s="113"/>
      <c r="AH17" s="113"/>
      <c r="AI17" s="113"/>
      <c r="AJ17" s="113"/>
      <c r="AK17" s="113"/>
      <c r="AL17" s="113"/>
      <c r="AM17" s="113"/>
      <c r="AN17" s="113"/>
      <c r="AO17" s="113"/>
      <c r="AP17" s="113"/>
      <c r="AQ17" s="113"/>
      <c r="AR17" s="113"/>
      <c r="AS17" s="113"/>
      <c r="AT17" s="113"/>
      <c r="AU17" s="113"/>
      <c r="AV17" s="113"/>
      <c r="AW17" s="113"/>
      <c r="AX17" s="113"/>
      <c r="AY17" s="113"/>
      <c r="AZ17" s="113"/>
      <c r="BA17" s="113"/>
      <c r="BB17" s="113"/>
      <c r="BC17" s="113"/>
      <c r="BD17" s="113"/>
      <c r="BE17" s="113"/>
      <c r="BF17" s="113"/>
      <c r="BG17" s="113"/>
      <c r="BH17" s="113"/>
      <c r="BI17" s="113"/>
      <c r="BJ17" s="113"/>
    </row>
    <row r="18" customFormat="false" ht="13.5" hidden="false" customHeight="true" outlineLevel="0" collapsed="false">
      <c r="A18" s="85" t="s">
        <v>419</v>
      </c>
      <c r="B18" s="17" t="n">
        <f aca="false">SUM(C18:AL18)</f>
        <v>451500000</v>
      </c>
      <c r="C18" s="17" t="n">
        <f aca="false">'🏦 Loan Schedule'!B6</f>
        <v>451500000</v>
      </c>
      <c r="D18" s="17"/>
      <c r="E18" s="17"/>
      <c r="F18" s="17"/>
      <c r="G18" s="17"/>
      <c r="H18" s="17"/>
      <c r="I18" s="17"/>
      <c r="J18" s="17"/>
      <c r="K18" s="17"/>
      <c r="L18" s="17"/>
      <c r="M18" s="17"/>
      <c r="N18" s="17"/>
      <c r="O18" s="17"/>
      <c r="P18" s="17"/>
      <c r="Q18" s="17"/>
      <c r="R18" s="17"/>
      <c r="S18" s="17"/>
      <c r="T18" s="17"/>
      <c r="U18" s="17"/>
      <c r="V18" s="17"/>
      <c r="W18" s="17"/>
      <c r="X18" s="17"/>
      <c r="Y18" s="17"/>
      <c r="Z18" s="17"/>
      <c r="AA18" s="17"/>
      <c r="AB18" s="17"/>
      <c r="AC18" s="17"/>
      <c r="AD18" s="17"/>
      <c r="AE18" s="17"/>
      <c r="AF18" s="17"/>
      <c r="AG18" s="17"/>
      <c r="AH18" s="17"/>
      <c r="AI18" s="17"/>
      <c r="AJ18" s="17"/>
      <c r="AK18" s="17"/>
      <c r="AL18" s="17"/>
      <c r="AM18" s="17"/>
      <c r="AN18" s="17"/>
      <c r="AO18" s="17"/>
      <c r="AP18" s="17"/>
      <c r="AQ18" s="17"/>
      <c r="AR18" s="17"/>
      <c r="AS18" s="17"/>
      <c r="AT18" s="17"/>
      <c r="AU18" s="17"/>
      <c r="AV18" s="17"/>
      <c r="AW18" s="17"/>
      <c r="AX18" s="17"/>
      <c r="AY18" s="17"/>
      <c r="AZ18" s="17"/>
      <c r="BA18" s="17"/>
      <c r="BB18" s="17"/>
      <c r="BC18" s="17"/>
      <c r="BD18" s="17"/>
      <c r="BE18" s="17"/>
      <c r="BF18" s="17"/>
      <c r="BG18" s="17"/>
      <c r="BH18" s="17"/>
      <c r="BI18" s="17"/>
      <c r="BJ18" s="17"/>
    </row>
    <row r="19" customFormat="false" ht="13.5" hidden="false" customHeight="true" outlineLevel="0" collapsed="false">
      <c r="A19" s="114" t="s">
        <v>420</v>
      </c>
      <c r="B19" s="115" t="n">
        <f aca="false">SUM(C19:AL19)</f>
        <v>-451500000</v>
      </c>
      <c r="C19" s="115" t="n">
        <f aca="false">-'🏦 Loan Schedule'!E14</f>
        <v>-10971329.2959632</v>
      </c>
      <c r="D19" s="115" t="n">
        <f aca="false">-'🏦 Loan Schedule'!E15</f>
        <v>-11053614.2656829</v>
      </c>
      <c r="E19" s="115" t="n">
        <f aca="false">-'🏦 Loan Schedule'!E16</f>
        <v>-11136516.3726756</v>
      </c>
      <c r="F19" s="115" t="n">
        <f aca="false">-'🏦 Loan Schedule'!E17</f>
        <v>-11220040.2454706</v>
      </c>
      <c r="G19" s="115" t="n">
        <f aca="false">-'🏦 Loan Schedule'!E18</f>
        <v>-11304190.5473117</v>
      </c>
      <c r="H19" s="115" t="n">
        <f aca="false">-'🏦 Loan Schedule'!E19</f>
        <v>-11388971.9764165</v>
      </c>
      <c r="I19" s="115" t="n">
        <f aca="false">-'🏦 Loan Schedule'!E20</f>
        <v>-11474389.2662396</v>
      </c>
      <c r="J19" s="115" t="n">
        <f aca="false">-'🏦 Loan Schedule'!E21</f>
        <v>-11560447.1857364</v>
      </c>
      <c r="K19" s="115" t="n">
        <f aca="false">-'🏦 Loan Schedule'!E22</f>
        <v>-11647150.5396294</v>
      </c>
      <c r="L19" s="115" t="n">
        <f aca="false">-'🏦 Loan Schedule'!E23</f>
        <v>-11734504.1686767</v>
      </c>
      <c r="M19" s="115" t="n">
        <f aca="false">-'🏦 Loan Schedule'!E24</f>
        <v>-11822512.9499417</v>
      </c>
      <c r="N19" s="115" t="n">
        <f aca="false">-'🏦 Loan Schedule'!E25</f>
        <v>-11911181.7970663</v>
      </c>
      <c r="O19" s="115" t="n">
        <f aca="false">-'🏦 Loan Schedule'!E26</f>
        <v>-12000515.6605443</v>
      </c>
      <c r="P19" s="115" t="n">
        <f aca="false">-'🏦 Loan Schedule'!E27</f>
        <v>-12090519.5279984</v>
      </c>
      <c r="Q19" s="115" t="n">
        <f aca="false">-'🏦 Loan Schedule'!E28</f>
        <v>-12181198.4244584</v>
      </c>
      <c r="R19" s="115" t="n">
        <f aca="false">-'🏦 Loan Schedule'!E29</f>
        <v>-12272557.4126418</v>
      </c>
      <c r="S19" s="115" t="n">
        <f aca="false">-'🏦 Loan Schedule'!E30</f>
        <v>-12364601.5932366</v>
      </c>
      <c r="T19" s="115" t="n">
        <f aca="false">-'🏦 Loan Schedule'!E31</f>
        <v>-12457336.1051859</v>
      </c>
      <c r="U19" s="115" t="n">
        <f aca="false">-'🏦 Loan Schedule'!E32</f>
        <v>-12550766.1259748</v>
      </c>
      <c r="V19" s="115" t="n">
        <f aca="false">-'🏦 Loan Schedule'!E33</f>
        <v>-12644896.8719196</v>
      </c>
      <c r="W19" s="115" t="n">
        <f aca="false">-'🏦 Loan Schedule'!E34</f>
        <v>-12739733.598459</v>
      </c>
      <c r="X19" s="115" t="n">
        <f aca="false">-'🏦 Loan Schedule'!E35</f>
        <v>-12835281.6004474</v>
      </c>
      <c r="Y19" s="115" t="n">
        <f aca="false">-'🏦 Loan Schedule'!E36</f>
        <v>-12931546.2124508</v>
      </c>
      <c r="Z19" s="115" t="n">
        <f aca="false">-'🏦 Loan Schedule'!E37</f>
        <v>-13028532.8090442</v>
      </c>
      <c r="AA19" s="115" t="n">
        <f aca="false">-'🏦 Loan Schedule'!E38</f>
        <v>-13126246.805112</v>
      </c>
      <c r="AB19" s="115" t="n">
        <f aca="false">-'🏦 Loan Schedule'!E39</f>
        <v>-13224693.6561503</v>
      </c>
      <c r="AC19" s="115" t="n">
        <f aca="false">-'🏦 Loan Schedule'!E40</f>
        <v>-13323878.8585715</v>
      </c>
      <c r="AD19" s="115" t="n">
        <f aca="false">-'🏦 Loan Schedule'!E41</f>
        <v>-13423807.9500108</v>
      </c>
      <c r="AE19" s="115" t="n">
        <f aca="false">-'🏦 Loan Schedule'!E42</f>
        <v>-13524486.5096358</v>
      </c>
      <c r="AF19" s="115" t="n">
        <f aca="false">-'🏦 Loan Schedule'!E43</f>
        <v>-13625920.1584581</v>
      </c>
      <c r="AG19" s="115" t="n">
        <f aca="false">-'🏦 Loan Schedule'!E44</f>
        <v>-13728114.5596465</v>
      </c>
      <c r="AH19" s="115" t="n">
        <f aca="false">-'🏦 Loan Schedule'!E45</f>
        <v>-13831075.4188439</v>
      </c>
      <c r="AI19" s="115" t="n">
        <f aca="false">-'🏦 Loan Schedule'!E46</f>
        <v>-13934808.4844852</v>
      </c>
      <c r="AJ19" s="115" t="n">
        <f aca="false">-'🏦 Loan Schedule'!E47</f>
        <v>-14039319.5481189</v>
      </c>
      <c r="AK19" s="115" t="n">
        <f aca="false">-'🏦 Loan Schedule'!E48</f>
        <v>-14144614.4447298</v>
      </c>
      <c r="AL19" s="115" t="n">
        <f aca="false">-'🏦 Loan Schedule'!E49</f>
        <v>-14250699.0530652</v>
      </c>
      <c r="AM19" s="115" t="n">
        <f aca="false">-'🏦 Loan Schedule'!F49</f>
        <v>-14357579.2959632</v>
      </c>
      <c r="AN19" s="115" t="n">
        <f aca="false">-'🏦 Loan Schedule'!G49</f>
        <v>-0</v>
      </c>
      <c r="AO19" s="115" t="n">
        <f aca="false">-'🏦 Loan Schedule'!H49</f>
        <v>-0</v>
      </c>
      <c r="AP19" s="115" t="n">
        <f aca="false">-'🏦 Loan Schedule'!I49</f>
        <v>-0</v>
      </c>
      <c r="AQ19" s="115" t="n">
        <f aca="false">-'🏦 Loan Schedule'!J49</f>
        <v>-0</v>
      </c>
      <c r="AR19" s="115" t="n">
        <f aca="false">-'🏦 Loan Schedule'!K49</f>
        <v>-0</v>
      </c>
      <c r="AS19" s="115" t="n">
        <f aca="false">-'🏦 Loan Schedule'!L49</f>
        <v>-0</v>
      </c>
      <c r="AT19" s="115" t="n">
        <f aca="false">-'🏦 Loan Schedule'!M49</f>
        <v>-0</v>
      </c>
      <c r="AU19" s="115" t="n">
        <f aca="false">-'🏦 Loan Schedule'!N49</f>
        <v>-0</v>
      </c>
      <c r="AV19" s="115" t="n">
        <f aca="false">-'🏦 Loan Schedule'!O49</f>
        <v>-0</v>
      </c>
      <c r="AW19" s="115" t="n">
        <f aca="false">-'🏦 Loan Schedule'!P49</f>
        <v>-0</v>
      </c>
      <c r="AX19" s="115" t="n">
        <f aca="false">-'🏦 Loan Schedule'!Q49</f>
        <v>-0</v>
      </c>
      <c r="AY19" s="115" t="n">
        <f aca="false">-'🏦 Loan Schedule'!R49</f>
        <v>-0</v>
      </c>
      <c r="AZ19" s="115" t="n">
        <f aca="false">-'🏦 Loan Schedule'!S49</f>
        <v>-0</v>
      </c>
      <c r="BA19" s="115" t="n">
        <f aca="false">-'🏦 Loan Schedule'!T49</f>
        <v>-0</v>
      </c>
      <c r="BB19" s="115" t="n">
        <f aca="false">-'🏦 Loan Schedule'!U49</f>
        <v>-0</v>
      </c>
      <c r="BC19" s="115" t="n">
        <f aca="false">-'🏦 Loan Schedule'!V49</f>
        <v>-0</v>
      </c>
      <c r="BD19" s="115" t="n">
        <f aca="false">-'🏦 Loan Schedule'!W49</f>
        <v>-0</v>
      </c>
      <c r="BE19" s="115" t="n">
        <f aca="false">-'🏦 Loan Schedule'!X49</f>
        <v>-0</v>
      </c>
      <c r="BF19" s="115" t="n">
        <f aca="false">-'🏦 Loan Schedule'!Y49</f>
        <v>-0</v>
      </c>
      <c r="BG19" s="115" t="n">
        <f aca="false">-'🏦 Loan Schedule'!Z49</f>
        <v>-0</v>
      </c>
      <c r="BH19" s="115" t="n">
        <f aca="false">-'🏦 Loan Schedule'!AA49</f>
        <v>-0</v>
      </c>
      <c r="BI19" s="115" t="n">
        <f aca="false">-'🏦 Loan Schedule'!AB49</f>
        <v>-0</v>
      </c>
      <c r="BJ19" s="115" t="n">
        <f aca="false">-'🏦 Loan Schedule'!AC49</f>
        <v>-0</v>
      </c>
    </row>
    <row r="20" customFormat="false" ht="13.5" hidden="false" customHeight="true" outlineLevel="0" collapsed="false">
      <c r="A20" s="85" t="s">
        <v>421</v>
      </c>
      <c r="B20" s="17" t="n">
        <f aca="false">SUM(C20:AL20)</f>
        <v>-65372854.6546759</v>
      </c>
      <c r="C20" s="17" t="n">
        <f aca="false">-'🏦 Loan Schedule'!D14</f>
        <v>-3386250</v>
      </c>
      <c r="D20" s="17" t="n">
        <f aca="false">-'🏦 Loan Schedule'!D15</f>
        <v>-3303965.03028028</v>
      </c>
      <c r="E20" s="17" t="n">
        <f aca="false">-'🏦 Loan Schedule'!D16</f>
        <v>-3221062.92328765</v>
      </c>
      <c r="F20" s="17" t="n">
        <f aca="false">-'🏦 Loan Schedule'!D17</f>
        <v>-3137539.05049259</v>
      </c>
      <c r="G20" s="17" t="n">
        <f aca="false">-'🏦 Loan Schedule'!D18</f>
        <v>-3053388.74865156</v>
      </c>
      <c r="H20" s="17" t="n">
        <f aca="false">-'🏦 Loan Schedule'!D19</f>
        <v>-2968607.31954672</v>
      </c>
      <c r="I20" s="17" t="n">
        <f aca="false">-'🏦 Loan Schedule'!D20</f>
        <v>-2883190.0297236</v>
      </c>
      <c r="J20" s="17" t="n">
        <f aca="false">-'🏦 Loan Schedule'!D21</f>
        <v>-2797132.1102268</v>
      </c>
      <c r="K20" s="17" t="n">
        <f aca="false">-'🏦 Loan Schedule'!D22</f>
        <v>-2710428.75633378</v>
      </c>
      <c r="L20" s="17" t="n">
        <f aca="false">-'🏦 Loan Schedule'!D23</f>
        <v>-2623075.12728655</v>
      </c>
      <c r="M20" s="17" t="n">
        <f aca="false">-'🏦 Loan Schedule'!D24</f>
        <v>-2535066.34602148</v>
      </c>
      <c r="N20" s="17" t="n">
        <f aca="false">-'🏦 Loan Schedule'!D25</f>
        <v>-2446397.49889692</v>
      </c>
      <c r="O20" s="17" t="n">
        <f aca="false">-'🏦 Loan Schedule'!D26</f>
        <v>-2357063.63541892</v>
      </c>
      <c r="P20" s="17" t="n">
        <f aca="false">-'🏦 Loan Schedule'!D27</f>
        <v>-2267059.76796484</v>
      </c>
      <c r="Q20" s="17" t="n">
        <f aca="false">-'🏦 Loan Schedule'!D28</f>
        <v>-2176380.87150485</v>
      </c>
      <c r="R20" s="17" t="n">
        <f aca="false">-'🏦 Loan Schedule'!D29</f>
        <v>-2085021.88332141</v>
      </c>
      <c r="S20" s="17" t="n">
        <f aca="false">-'🏦 Loan Schedule'!D30</f>
        <v>-1992977.7027266</v>
      </c>
      <c r="T20" s="17" t="n">
        <f aca="false">-'🏦 Loan Schedule'!D31</f>
        <v>-1900243.19077732</v>
      </c>
      <c r="U20" s="17" t="n">
        <f aca="false">-'🏦 Loan Schedule'!D32</f>
        <v>-1806813.16998843</v>
      </c>
      <c r="V20" s="17" t="n">
        <f aca="false">-'🏦 Loan Schedule'!D33</f>
        <v>-1712682.42404362</v>
      </c>
      <c r="W20" s="17" t="n">
        <f aca="false">-'🏦 Loan Schedule'!D34</f>
        <v>-1617845.69750422</v>
      </c>
      <c r="X20" s="17" t="n">
        <f aca="false">-'🏦 Loan Schedule'!D35</f>
        <v>-1522297.69551578</v>
      </c>
      <c r="Y20" s="17" t="n">
        <f aca="false">-'🏦 Loan Schedule'!D36</f>
        <v>-1426033.08351242</v>
      </c>
      <c r="Z20" s="17" t="n">
        <f aca="false">-'🏦 Loan Schedule'!D37</f>
        <v>-1329046.48691904</v>
      </c>
      <c r="AA20" s="17" t="n">
        <f aca="false">-'🏦 Loan Schedule'!D38</f>
        <v>-1231332.49085121</v>
      </c>
      <c r="AB20" s="17" t="n">
        <f aca="false">-'🏦 Loan Schedule'!D39</f>
        <v>-1132885.63981287</v>
      </c>
      <c r="AC20" s="17" t="n">
        <f aca="false">-'🏦 Loan Schedule'!D40</f>
        <v>-1033700.43739174</v>
      </c>
      <c r="AD20" s="17" t="n">
        <f aca="false">-'🏦 Loan Schedule'!D41</f>
        <v>-933771.345952457</v>
      </c>
      <c r="AE20" s="17" t="n">
        <f aca="false">-'🏦 Loan Schedule'!D42</f>
        <v>-833092.786327376</v>
      </c>
      <c r="AF20" s="17" t="n">
        <f aca="false">-'🏦 Loan Schedule'!D43</f>
        <v>-731659.137505107</v>
      </c>
      <c r="AG20" s="17" t="n">
        <f aca="false">-'🏦 Loan Schedule'!D44</f>
        <v>-629464.736316672</v>
      </c>
      <c r="AH20" s="17" t="n">
        <f aca="false">-'🏦 Loan Schedule'!D45</f>
        <v>-526503.877119322</v>
      </c>
      <c r="AI20" s="17" t="n">
        <f aca="false">-'🏦 Loan Schedule'!D46</f>
        <v>-422770.811477993</v>
      </c>
      <c r="AJ20" s="17" t="n">
        <f aca="false">-'🏦 Loan Schedule'!D47</f>
        <v>-318259.747844354</v>
      </c>
      <c r="AK20" s="17" t="n">
        <f aca="false">-'🏦 Loan Schedule'!D48</f>
        <v>-212964.851233463</v>
      </c>
      <c r="AL20" s="17" t="n">
        <f aca="false">-'🏦 Loan Schedule'!D49</f>
        <v>-106880.242897989</v>
      </c>
      <c r="AM20" s="17" t="n">
        <f aca="false">-'🏦 Loan Schedule'!E49</f>
        <v>-14250699.0530652</v>
      </c>
      <c r="AN20" s="17" t="n">
        <f aca="false">-'🏦 Loan Schedule'!F49</f>
        <v>-14357579.2959632</v>
      </c>
      <c r="AO20" s="17" t="n">
        <f aca="false">-'🏦 Loan Schedule'!G49</f>
        <v>-0</v>
      </c>
      <c r="AP20" s="17" t="n">
        <f aca="false">-'🏦 Loan Schedule'!H49</f>
        <v>-0</v>
      </c>
      <c r="AQ20" s="17" t="n">
        <f aca="false">-'🏦 Loan Schedule'!I49</f>
        <v>-0</v>
      </c>
      <c r="AR20" s="17" t="n">
        <f aca="false">-'🏦 Loan Schedule'!J49</f>
        <v>-0</v>
      </c>
      <c r="AS20" s="17" t="n">
        <f aca="false">-'🏦 Loan Schedule'!K49</f>
        <v>-0</v>
      </c>
      <c r="AT20" s="17" t="n">
        <f aca="false">-'🏦 Loan Schedule'!L49</f>
        <v>-0</v>
      </c>
      <c r="AU20" s="17" t="n">
        <f aca="false">-'🏦 Loan Schedule'!M49</f>
        <v>-0</v>
      </c>
      <c r="AV20" s="17" t="n">
        <f aca="false">-'🏦 Loan Schedule'!N49</f>
        <v>-0</v>
      </c>
      <c r="AW20" s="17" t="n">
        <f aca="false">-'🏦 Loan Schedule'!O49</f>
        <v>-0</v>
      </c>
      <c r="AX20" s="17" t="n">
        <f aca="false">-'🏦 Loan Schedule'!P49</f>
        <v>-0</v>
      </c>
      <c r="AY20" s="17" t="n">
        <f aca="false">-'🏦 Loan Schedule'!Q49</f>
        <v>-0</v>
      </c>
      <c r="AZ20" s="17" t="n">
        <f aca="false">-'🏦 Loan Schedule'!R49</f>
        <v>-0</v>
      </c>
      <c r="BA20" s="17" t="n">
        <f aca="false">-'🏦 Loan Schedule'!S49</f>
        <v>-0</v>
      </c>
      <c r="BB20" s="17" t="n">
        <f aca="false">-'🏦 Loan Schedule'!T49</f>
        <v>-0</v>
      </c>
      <c r="BC20" s="17" t="n">
        <f aca="false">-'🏦 Loan Schedule'!U49</f>
        <v>-0</v>
      </c>
      <c r="BD20" s="17" t="n">
        <f aca="false">-'🏦 Loan Schedule'!V49</f>
        <v>-0</v>
      </c>
      <c r="BE20" s="17" t="n">
        <f aca="false">-'🏦 Loan Schedule'!W49</f>
        <v>-0</v>
      </c>
      <c r="BF20" s="17" t="n">
        <f aca="false">-'🏦 Loan Schedule'!X49</f>
        <v>-0</v>
      </c>
      <c r="BG20" s="17" t="n">
        <f aca="false">-'🏦 Loan Schedule'!Y49</f>
        <v>-0</v>
      </c>
      <c r="BH20" s="17" t="n">
        <f aca="false">-'🏦 Loan Schedule'!Z49</f>
        <v>-0</v>
      </c>
      <c r="BI20" s="17" t="n">
        <f aca="false">-'🏦 Loan Schedule'!AA49</f>
        <v>-0</v>
      </c>
      <c r="BJ20" s="17" t="n">
        <f aca="false">-'🏦 Loan Schedule'!AB49</f>
        <v>-0</v>
      </c>
    </row>
    <row r="21" customFormat="false" ht="13.5" hidden="false" customHeight="true" outlineLevel="0" collapsed="false">
      <c r="A21" s="114" t="s">
        <v>422</v>
      </c>
      <c r="B21" s="115" t="n">
        <f aca="false">SUM(C21:AL21)</f>
        <v>363404004.13789</v>
      </c>
      <c r="C21" s="115" t="n">
        <f aca="false">IF(C18=0,'⚙️ Assumptions'!$B$18 *1,('⚙️ Assumptions'!$B$18*(1-'🏦 Loan Schedule'!B5))) +'⚙️ Assumptions'!B14</f>
        <v>363404004.13789</v>
      </c>
      <c r="D21" s="115"/>
      <c r="E21" s="115"/>
      <c r="F21" s="115"/>
      <c r="G21" s="115"/>
      <c r="H21" s="115"/>
      <c r="I21" s="117"/>
      <c r="J21" s="117"/>
      <c r="K21" s="117"/>
      <c r="L21" s="117"/>
      <c r="M21" s="117"/>
      <c r="N21" s="117"/>
      <c r="O21" s="117"/>
      <c r="P21" s="117"/>
      <c r="Q21" s="117"/>
      <c r="R21" s="117"/>
      <c r="S21" s="117"/>
      <c r="T21" s="117"/>
      <c r="U21" s="117"/>
      <c r="V21" s="117"/>
      <c r="W21" s="117"/>
      <c r="X21" s="117"/>
      <c r="Y21" s="117"/>
      <c r="Z21" s="117"/>
      <c r="AA21" s="117"/>
      <c r="AB21" s="117"/>
      <c r="AC21" s="117"/>
      <c r="AD21" s="117"/>
      <c r="AE21" s="117"/>
      <c r="AF21" s="117"/>
      <c r="AG21" s="117"/>
      <c r="AH21" s="117"/>
      <c r="AI21" s="117"/>
      <c r="AJ21" s="117"/>
      <c r="AK21" s="117"/>
      <c r="AL21" s="117"/>
      <c r="AM21" s="117"/>
      <c r="AN21" s="117"/>
      <c r="AO21" s="117"/>
      <c r="AP21" s="117"/>
      <c r="AQ21" s="117"/>
      <c r="AR21" s="117"/>
      <c r="AS21" s="117"/>
      <c r="AT21" s="117"/>
      <c r="AU21" s="117"/>
      <c r="AV21" s="117"/>
      <c r="AW21" s="117"/>
      <c r="AX21" s="117"/>
      <c r="AY21" s="117"/>
      <c r="AZ21" s="117"/>
      <c r="BA21" s="117"/>
      <c r="BB21" s="117"/>
      <c r="BC21" s="117"/>
      <c r="BD21" s="117"/>
      <c r="BE21" s="117"/>
      <c r="BF21" s="117"/>
      <c r="BG21" s="117"/>
      <c r="BH21" s="117"/>
      <c r="BI21" s="117"/>
      <c r="BJ21" s="117"/>
    </row>
    <row r="22" customFormat="false" ht="13.5" hidden="false" customHeight="true" outlineLevel="0" collapsed="false">
      <c r="A22" s="90" t="s">
        <v>423</v>
      </c>
      <c r="B22" s="91" t="n">
        <f aca="false">SUM(C22:AL22)</f>
        <v>298031149.483214</v>
      </c>
      <c r="C22" s="116" t="n">
        <f aca="false">C18+C19+C20+C21</f>
        <v>800546424.841926</v>
      </c>
      <c r="D22" s="116" t="n">
        <f aca="false">D18+D19+D20+D21</f>
        <v>-14357579.2959632</v>
      </c>
      <c r="E22" s="116" t="n">
        <f aca="false">E18+E19+E20+E21</f>
        <v>-14357579.2959632</v>
      </c>
      <c r="F22" s="116" t="n">
        <f aca="false">F18+F19+F20+F21</f>
        <v>-14357579.2959632</v>
      </c>
      <c r="G22" s="116" t="n">
        <f aca="false">G18+G19+G20+G21</f>
        <v>-14357579.2959632</v>
      </c>
      <c r="H22" s="116" t="n">
        <f aca="false">H18+H19+H20+H21</f>
        <v>-14357579.2959632</v>
      </c>
      <c r="I22" s="116" t="n">
        <f aca="false">I18+I19+I20+I21</f>
        <v>-14357579.2959632</v>
      </c>
      <c r="J22" s="116" t="n">
        <f aca="false">J18+J19+J20+J21</f>
        <v>-14357579.2959632</v>
      </c>
      <c r="K22" s="116" t="n">
        <f aca="false">K18+K19+K20+K21</f>
        <v>-14357579.2959632</v>
      </c>
      <c r="L22" s="116" t="n">
        <f aca="false">L18+L19+L20+L21</f>
        <v>-14357579.2959632</v>
      </c>
      <c r="M22" s="116" t="n">
        <f aca="false">M18+M19+M20+M21</f>
        <v>-14357579.2959632</v>
      </c>
      <c r="N22" s="116" t="n">
        <f aca="false">N18+N19+N20+N21</f>
        <v>-14357579.2959632</v>
      </c>
      <c r="O22" s="116" t="n">
        <f aca="false">O18+O19+O20+O21</f>
        <v>-14357579.2959632</v>
      </c>
      <c r="P22" s="116" t="n">
        <f aca="false">P18+P19+P20+P21</f>
        <v>-14357579.2959632</v>
      </c>
      <c r="Q22" s="116" t="n">
        <f aca="false">Q18+Q19+Q20+Q21</f>
        <v>-14357579.2959632</v>
      </c>
      <c r="R22" s="116" t="n">
        <f aca="false">R18+R19+R20+R21</f>
        <v>-14357579.2959632</v>
      </c>
      <c r="S22" s="116" t="n">
        <f aca="false">S18+S19+S20+S21</f>
        <v>-14357579.2959632</v>
      </c>
      <c r="T22" s="116" t="n">
        <f aca="false">T18+T19+T20+T21</f>
        <v>-14357579.2959632</v>
      </c>
      <c r="U22" s="116" t="n">
        <f aca="false">U18+U19+U20+U21</f>
        <v>-14357579.2959632</v>
      </c>
      <c r="V22" s="116" t="n">
        <f aca="false">V18+V19+V20+V21</f>
        <v>-14357579.2959632</v>
      </c>
      <c r="W22" s="116" t="n">
        <f aca="false">W18+W19+W20+W21</f>
        <v>-14357579.2959632</v>
      </c>
      <c r="X22" s="116" t="n">
        <f aca="false">X18+X19+X20+X21</f>
        <v>-14357579.2959632</v>
      </c>
      <c r="Y22" s="116" t="n">
        <f aca="false">Y18+Y19+Y20+Y21</f>
        <v>-14357579.2959632</v>
      </c>
      <c r="Z22" s="116" t="n">
        <f aca="false">Z18+Z19+Z20+Z21</f>
        <v>-14357579.2959632</v>
      </c>
      <c r="AA22" s="116" t="n">
        <f aca="false">AA18+AA19+AA20+AA21</f>
        <v>-14357579.2959632</v>
      </c>
      <c r="AB22" s="116" t="n">
        <f aca="false">AB18+AB19+AB20+AB21</f>
        <v>-14357579.2959632</v>
      </c>
      <c r="AC22" s="116" t="n">
        <f aca="false">AC18+AC19+AC20+AC21</f>
        <v>-14357579.2959632</v>
      </c>
      <c r="AD22" s="116" t="n">
        <f aca="false">AD18+AD19+AD20+AD21</f>
        <v>-14357579.2959632</v>
      </c>
      <c r="AE22" s="116" t="n">
        <f aca="false">AE18+AE19+AE20+AE21</f>
        <v>-14357579.2959632</v>
      </c>
      <c r="AF22" s="116" t="n">
        <f aca="false">AF18+AF19+AF20+AF21</f>
        <v>-14357579.2959632</v>
      </c>
      <c r="AG22" s="116" t="n">
        <f aca="false">AG18+AG19+AG20+AG21</f>
        <v>-14357579.2959632</v>
      </c>
      <c r="AH22" s="116" t="n">
        <f aca="false">AH18+AH19+AH20+AH21</f>
        <v>-14357579.2959632</v>
      </c>
      <c r="AI22" s="116" t="n">
        <f aca="false">AI18+AI19+AI20+AI21</f>
        <v>-14357579.2959632</v>
      </c>
      <c r="AJ22" s="116" t="n">
        <f aca="false">AJ18+AJ19+AJ20+AJ21</f>
        <v>-14357579.2959632</v>
      </c>
      <c r="AK22" s="116" t="n">
        <f aca="false">AK18+AK19+AK20+AK21</f>
        <v>-14357579.2959632</v>
      </c>
      <c r="AL22" s="116" t="n">
        <f aca="false">AL18+AL19+AL20+AL21</f>
        <v>-14357579.2959632</v>
      </c>
      <c r="AM22" s="116" t="n">
        <f aca="false">AM18+AM19+AM20+AM21</f>
        <v>-28608278.3490284</v>
      </c>
      <c r="AN22" s="116" t="n">
        <f aca="false">AN18+AN19+AN20+AN21</f>
        <v>-14357579.2959632</v>
      </c>
      <c r="AO22" s="116" t="n">
        <f aca="false">AO18+AO19+AO20+AO21</f>
        <v>0</v>
      </c>
      <c r="AP22" s="116" t="n">
        <f aca="false">AP18+AP19+AP20+AP21</f>
        <v>0</v>
      </c>
      <c r="AQ22" s="116" t="n">
        <f aca="false">AQ18+AQ19+AQ20+AQ21</f>
        <v>0</v>
      </c>
      <c r="AR22" s="116" t="n">
        <f aca="false">AR18+AR19+AR20+AR21</f>
        <v>0</v>
      </c>
      <c r="AS22" s="116" t="n">
        <f aca="false">AS18+AS19+AS20+AS21</f>
        <v>0</v>
      </c>
      <c r="AT22" s="116" t="n">
        <f aca="false">AT18+AT19+AT20+AT21</f>
        <v>0</v>
      </c>
      <c r="AU22" s="116" t="n">
        <f aca="false">AU18+AU19+AU20+AU21</f>
        <v>0</v>
      </c>
      <c r="AV22" s="116" t="n">
        <f aca="false">AV18+AV19+AV20+AV21</f>
        <v>0</v>
      </c>
      <c r="AW22" s="116" t="n">
        <f aca="false">AW18+AW19+AW20+AW21</f>
        <v>0</v>
      </c>
      <c r="AX22" s="116" t="n">
        <f aca="false">AX18+AX19+AX20+AX21</f>
        <v>0</v>
      </c>
      <c r="AY22" s="116" t="n">
        <f aca="false">AY18+AY19+AY20+AY21</f>
        <v>0</v>
      </c>
      <c r="AZ22" s="116" t="n">
        <f aca="false">AZ18+AZ19+AZ20+AZ21</f>
        <v>0</v>
      </c>
      <c r="BA22" s="116" t="n">
        <f aca="false">BA18+BA19+BA20+BA21</f>
        <v>0</v>
      </c>
      <c r="BB22" s="116" t="n">
        <f aca="false">BB18+BB19+BB20+BB21</f>
        <v>0</v>
      </c>
      <c r="BC22" s="116" t="n">
        <f aca="false">BC18+BC19+BC20+BC21</f>
        <v>0</v>
      </c>
      <c r="BD22" s="116" t="n">
        <f aca="false">BD18+BD19+BD20+BD21</f>
        <v>0</v>
      </c>
      <c r="BE22" s="116" t="n">
        <f aca="false">BE18+BE19+BE20+BE21</f>
        <v>0</v>
      </c>
      <c r="BF22" s="116" t="n">
        <f aca="false">BF18+BF19+BF20+BF21</f>
        <v>0</v>
      </c>
      <c r="BG22" s="116" t="n">
        <f aca="false">BG18+BG19+BG20+BG21</f>
        <v>0</v>
      </c>
      <c r="BH22" s="116" t="n">
        <f aca="false">BH18+BH19+BH20+BH21</f>
        <v>0</v>
      </c>
      <c r="BI22" s="116" t="n">
        <f aca="false">BI18+BI19+BI20+BI21</f>
        <v>0</v>
      </c>
      <c r="BJ22" s="116" t="n">
        <f aca="false">BJ18+BJ19+BJ20+BJ21</f>
        <v>0</v>
      </c>
    </row>
    <row r="23" customFormat="false" ht="13.5" hidden="false" customHeight="true" outlineLevel="0" collapsed="false">
      <c r="A23" s="113" t="s">
        <v>424</v>
      </c>
      <c r="B23" s="113"/>
      <c r="C23" s="113"/>
      <c r="D23" s="113"/>
      <c r="E23" s="113"/>
      <c r="F23" s="113"/>
      <c r="G23" s="113"/>
      <c r="H23" s="113"/>
      <c r="I23" s="113"/>
      <c r="J23" s="113"/>
      <c r="K23" s="113"/>
      <c r="L23" s="113"/>
      <c r="M23" s="113"/>
      <c r="N23" s="113"/>
      <c r="O23" s="113"/>
      <c r="P23" s="113"/>
      <c r="Q23" s="113"/>
      <c r="R23" s="113"/>
      <c r="S23" s="113"/>
      <c r="T23" s="113"/>
      <c r="U23" s="113"/>
      <c r="V23" s="113"/>
      <c r="W23" s="113"/>
      <c r="X23" s="113"/>
      <c r="Y23" s="113"/>
      <c r="Z23" s="113"/>
      <c r="AA23" s="113"/>
      <c r="AB23" s="113"/>
      <c r="AC23" s="113"/>
      <c r="AD23" s="113"/>
      <c r="AE23" s="113"/>
      <c r="AF23" s="113"/>
      <c r="AG23" s="113"/>
      <c r="AH23" s="113"/>
      <c r="AI23" s="113"/>
      <c r="AJ23" s="113"/>
      <c r="AK23" s="113"/>
      <c r="AL23" s="113"/>
      <c r="AM23" s="113"/>
      <c r="AN23" s="113"/>
      <c r="AO23" s="113"/>
      <c r="AP23" s="113"/>
      <c r="AQ23" s="113"/>
      <c r="AR23" s="113"/>
      <c r="AS23" s="113"/>
      <c r="AT23" s="113"/>
      <c r="AU23" s="113"/>
      <c r="AV23" s="113"/>
      <c r="AW23" s="113"/>
      <c r="AX23" s="113"/>
      <c r="AY23" s="113"/>
      <c r="AZ23" s="113"/>
      <c r="BA23" s="113"/>
      <c r="BB23" s="113"/>
      <c r="BC23" s="113"/>
      <c r="BD23" s="113"/>
      <c r="BE23" s="113"/>
      <c r="BF23" s="113"/>
      <c r="BG23" s="113"/>
      <c r="BH23" s="113"/>
      <c r="BI23" s="113"/>
      <c r="BJ23" s="113"/>
    </row>
    <row r="24" customFormat="false" ht="13.5" hidden="false" customHeight="true" outlineLevel="0" collapsed="false">
      <c r="A24" s="118" t="s">
        <v>425</v>
      </c>
      <c r="B24" s="119" t="n">
        <f aca="false">SUM(C24:AL24)</f>
        <v>3878476640.43458</v>
      </c>
      <c r="C24" s="119" t="n">
        <f aca="false">C11+C16+C22</f>
        <v>95171424.8419263</v>
      </c>
      <c r="D24" s="119" t="n">
        <f aca="false">D11+D16+D22</f>
        <v>-74732579.2959632</v>
      </c>
      <c r="E24" s="119" t="n">
        <f aca="false">E11+E16+E22</f>
        <v>-20438845.5459632</v>
      </c>
      <c r="F24" s="119" t="n">
        <f aca="false">F11+F16+F22</f>
        <v>9793935.10908606</v>
      </c>
      <c r="G24" s="119" t="n">
        <f aca="false">G11+G16+G22</f>
        <v>2696827.86015195</v>
      </c>
      <c r="H24" s="119" t="n">
        <f aca="false">H11+H16+H22</f>
        <v>38831195.1859915</v>
      </c>
      <c r="I24" s="119" t="n">
        <f aca="false">I11+I16+I22</f>
        <v>83653394.3945092</v>
      </c>
      <c r="J24" s="119" t="n">
        <f aca="false">J11+J16+J22</f>
        <v>91949161.7275595</v>
      </c>
      <c r="K24" s="119" t="n">
        <f aca="false">K11+K16+K22</f>
        <v>105238438.57967</v>
      </c>
      <c r="L24" s="119" t="n">
        <f aca="false">L11+L16+L22</f>
        <v>117834290.404265</v>
      </c>
      <c r="M24" s="119" t="n">
        <f aca="false">M11+M16+M22</f>
        <v>89353103.588639</v>
      </c>
      <c r="N24" s="119" t="n">
        <f aca="false">N11+N16+N22</f>
        <v>74597832.3289265</v>
      </c>
      <c r="O24" s="119" t="n">
        <f aca="false">O11+O16+O22</f>
        <v>79844508.0050787</v>
      </c>
      <c r="P24" s="119" t="n">
        <f aca="false">P11+P16+P22</f>
        <v>104335248.555833</v>
      </c>
      <c r="Q24" s="119" t="n">
        <f aca="false">Q11+Q16+Q22</f>
        <v>140726821.291187</v>
      </c>
      <c r="R24" s="119" t="n">
        <f aca="false">R11+R16+R22</f>
        <v>141847635.392369</v>
      </c>
      <c r="S24" s="119" t="n">
        <f aca="false">S11+S16+S22</f>
        <v>80779820.9743095</v>
      </c>
      <c r="T24" s="119" t="n">
        <f aca="false">T11+T16+T22</f>
        <v>122408141.898115</v>
      </c>
      <c r="U24" s="119" t="n">
        <f aca="false">U11+U16+U22</f>
        <v>162370020.771036</v>
      </c>
      <c r="V24" s="119" t="n">
        <f aca="false">V11+V16+V22</f>
        <v>146466737.071441</v>
      </c>
      <c r="W24" s="119" t="n">
        <f aca="false">W11+W16+W22</f>
        <v>164816055.273787</v>
      </c>
      <c r="X24" s="119" t="n">
        <f aca="false">X11+X16+X22</f>
        <v>161428952.348588</v>
      </c>
      <c r="Y24" s="119" t="n">
        <f aca="false">Y11+Y16+Y22</f>
        <v>126489746.512388</v>
      </c>
      <c r="Z24" s="119" t="n">
        <f aca="false">Z11+Z16+Z22</f>
        <v>108449144.102729</v>
      </c>
      <c r="AA24" s="119" t="n">
        <f aca="false">AA11+AA16+AA22</f>
        <v>114827083.328122</v>
      </c>
      <c r="AB24" s="119" t="n">
        <f aca="false">AB11+AB16+AB22</f>
        <v>140609410.518018</v>
      </c>
      <c r="AC24" s="119" t="n">
        <f aca="false">AC11+AC16+AC22</f>
        <v>184413181.747776</v>
      </c>
      <c r="AD24" s="119" t="n">
        <f aca="false">AD11+AD16+AD22</f>
        <v>188019028.838632</v>
      </c>
      <c r="AE24" s="119" t="n">
        <f aca="false">AE11+AE16+AE22</f>
        <v>82977192.4826696</v>
      </c>
      <c r="AF24" s="119" t="n">
        <f aca="false">AF11+AF16+AF22</f>
        <v>125153823.492787</v>
      </c>
      <c r="AG24" s="119" t="n">
        <f aca="false">AG11+AG16+AG22</f>
        <v>165605685.927668</v>
      </c>
      <c r="AH24" s="119" t="n">
        <f aca="false">AH11+AH16+AH22</f>
        <v>149511979.216749</v>
      </c>
      <c r="AI24" s="119" t="n">
        <f aca="false">AI11+AI16+AI22</f>
        <v>168195747.785185</v>
      </c>
      <c r="AJ24" s="119" t="n">
        <f aca="false">AJ11+AJ16+AJ22</f>
        <v>164773728.553821</v>
      </c>
      <c r="AK24" s="119" t="n">
        <f aca="false">AK11+AK16+AK22</f>
        <v>129381639.68916</v>
      </c>
      <c r="AL24" s="119" t="n">
        <f aca="false">AL11+AL16+AL22</f>
        <v>111097127.478327</v>
      </c>
      <c r="AM24" s="119" t="n">
        <f aca="false">AM11+AM16+AM22</f>
        <v>104740860.931278</v>
      </c>
      <c r="AN24" s="119" t="n">
        <f aca="false">AN11+AN16+AN22</f>
        <v>144993679.883633</v>
      </c>
      <c r="AO24" s="119" t="n">
        <f aca="false">AO11+AO16+AO22</f>
        <v>202283231</v>
      </c>
      <c r="AP24" s="119" t="n">
        <f aca="false">AP11+AP16+AP22</f>
        <v>197537441</v>
      </c>
      <c r="AQ24" s="119" t="n">
        <f aca="false">AQ11+AQ16+AQ22</f>
        <v>94215177.5</v>
      </c>
      <c r="AR24" s="119" t="n">
        <f aca="false">AR11+AR16+AR22</f>
        <v>135681153.125</v>
      </c>
      <c r="AS24" s="119" t="n">
        <f aca="false">AS11+AS16+AS22</f>
        <v>175498981.25</v>
      </c>
      <c r="AT24" s="119" t="n">
        <f aca="false">AT11+AT16+AT22</f>
        <v>159664341.875</v>
      </c>
      <c r="AU24" s="119" t="n">
        <f aca="false">AU11+AU16+AU22</f>
        <v>177918350</v>
      </c>
      <c r="AV24" s="119" t="n">
        <f aca="false">AV11+AV16+AV22</f>
        <v>174551433.125</v>
      </c>
      <c r="AW24" s="119" t="n">
        <f aca="false">AW11+AW16+AW22</f>
        <v>139763097.5</v>
      </c>
      <c r="AX24" s="119" t="n">
        <f aca="false">AX11+AX16+AX22</f>
        <v>121808131.25</v>
      </c>
      <c r="AY24" s="119" t="n">
        <f aca="false">AY11+AY16+AY22</f>
        <v>128166985.625</v>
      </c>
      <c r="AZ24" s="119" t="n">
        <f aca="false">AZ11+AZ16+AZ22</f>
        <v>153896888.75</v>
      </c>
      <c r="BA24" s="119" t="n">
        <f aca="false">BA11+BA16+BA22</f>
        <v>197537441</v>
      </c>
      <c r="BB24" s="119" t="n">
        <f aca="false">BB11+BB16+BB22</f>
        <v>199245925.4</v>
      </c>
      <c r="BC24" s="119" t="n">
        <f aca="false">BC11+BC16+BC22</f>
        <v>101300662.625</v>
      </c>
      <c r="BD24" s="119" t="n">
        <f aca="false">BD11+BD16+BD22</f>
        <v>137183986.625</v>
      </c>
      <c r="BE24" s="119" t="n">
        <f aca="false">BE11+BE16+BE22</f>
        <v>177259516.25</v>
      </c>
      <c r="BF24" s="119" t="n">
        <f aca="false">BF11+BF16+BF22</f>
        <v>161325368.375</v>
      </c>
      <c r="BG24" s="119" t="n">
        <f aca="false">BG11+BG16+BG22</f>
        <v>180673970</v>
      </c>
      <c r="BH24" s="119" t="n">
        <f aca="false">BH11+BH16+BH22</f>
        <v>177280262.375</v>
      </c>
      <c r="BI24" s="119" t="n">
        <f aca="false">BI11+BI16+BI22</f>
        <v>142135992.5</v>
      </c>
      <c r="BJ24" s="119" t="n">
        <f aca="false">BJ11+BJ16+BJ22</f>
        <v>123989663.75</v>
      </c>
    </row>
    <row r="25" customFormat="false" ht="13.5" hidden="false" customHeight="true" outlineLevel="0" collapsed="false">
      <c r="A25" s="118" t="s">
        <v>426</v>
      </c>
      <c r="B25" s="119" t="n">
        <f aca="false">AL25</f>
        <v>3878476640.43458</v>
      </c>
      <c r="C25" s="119" t="n">
        <f aca="false">C24</f>
        <v>95171424.8419263</v>
      </c>
      <c r="D25" s="119" t="n">
        <f aca="false">D24+C25</f>
        <v>20438845.5459631</v>
      </c>
      <c r="E25" s="119" t="n">
        <f aca="false">E24+D25</f>
        <v>0</v>
      </c>
      <c r="F25" s="119" t="n">
        <f aca="false">F24+E25</f>
        <v>9793935.10908606</v>
      </c>
      <c r="G25" s="119" t="n">
        <f aca="false">G24+F25</f>
        <v>12490762.969238</v>
      </c>
      <c r="H25" s="119" t="n">
        <f aca="false">H24+G25</f>
        <v>51321958.1552295</v>
      </c>
      <c r="I25" s="119" t="n">
        <f aca="false">I24+H25</f>
        <v>134975352.549739</v>
      </c>
      <c r="J25" s="119" t="n">
        <f aca="false">J24+I25</f>
        <v>226924514.277298</v>
      </c>
      <c r="K25" s="119" t="n">
        <f aca="false">K24+J25</f>
        <v>332162952.856968</v>
      </c>
      <c r="L25" s="119" t="n">
        <f aca="false">L24+K25</f>
        <v>449997243.261234</v>
      </c>
      <c r="M25" s="119" t="n">
        <f aca="false">M24+L25</f>
        <v>539350346.849873</v>
      </c>
      <c r="N25" s="119" t="n">
        <f aca="false">N24+M25</f>
        <v>613948179.178799</v>
      </c>
      <c r="O25" s="119" t="n">
        <f aca="false">O24+N25</f>
        <v>693792687.183878</v>
      </c>
      <c r="P25" s="119" t="n">
        <f aca="false">P24+O25</f>
        <v>798127935.739711</v>
      </c>
      <c r="Q25" s="119" t="n">
        <f aca="false">Q24+P25</f>
        <v>938854757.030898</v>
      </c>
      <c r="R25" s="119" t="n">
        <f aca="false">R24+Q25</f>
        <v>1080702392.42327</v>
      </c>
      <c r="S25" s="119" t="n">
        <f aca="false">S24+R25</f>
        <v>1161482213.39758</v>
      </c>
      <c r="T25" s="119" t="n">
        <f aca="false">T24+S25</f>
        <v>1283890355.29569</v>
      </c>
      <c r="U25" s="119" t="n">
        <f aca="false">U24+T25</f>
        <v>1446260376.06673</v>
      </c>
      <c r="V25" s="119" t="n">
        <f aca="false">V24+U25</f>
        <v>1592727113.13817</v>
      </c>
      <c r="W25" s="119" t="n">
        <f aca="false">W24+V25</f>
        <v>1757543168.41196</v>
      </c>
      <c r="X25" s="119" t="n">
        <f aca="false">X24+W25</f>
        <v>1918972120.76054</v>
      </c>
      <c r="Y25" s="119" t="n">
        <f aca="false">Y24+X25</f>
        <v>2045461867.27293</v>
      </c>
      <c r="Z25" s="119" t="n">
        <f aca="false">Z24+Y25</f>
        <v>2153911011.37566</v>
      </c>
      <c r="AA25" s="119" t="n">
        <f aca="false">AA24+Z25</f>
        <v>2268738094.70378</v>
      </c>
      <c r="AB25" s="119" t="n">
        <f aca="false">AB24+AA25</f>
        <v>2409347505.2218</v>
      </c>
      <c r="AC25" s="119" t="n">
        <f aca="false">AC24+AB25</f>
        <v>2593760686.96958</v>
      </c>
      <c r="AD25" s="119" t="n">
        <f aca="false">AD24+AC25</f>
        <v>2781779715.80821</v>
      </c>
      <c r="AE25" s="119" t="n">
        <f aca="false">AE24+AD25</f>
        <v>2864756908.29088</v>
      </c>
      <c r="AF25" s="119" t="n">
        <f aca="false">AF24+AE25</f>
        <v>2989910731.78367</v>
      </c>
      <c r="AG25" s="119" t="n">
        <f aca="false">AG24+AF25</f>
        <v>3155516417.71133</v>
      </c>
      <c r="AH25" s="119" t="n">
        <f aca="false">AH24+AG25</f>
        <v>3305028396.92808</v>
      </c>
      <c r="AI25" s="119" t="n">
        <f aca="false">AI24+AH25</f>
        <v>3473224144.71327</v>
      </c>
      <c r="AJ25" s="119" t="n">
        <f aca="false">AJ24+AI25</f>
        <v>3637997873.26709</v>
      </c>
      <c r="AK25" s="119" t="n">
        <f aca="false">AK24+AJ25</f>
        <v>3767379512.95625</v>
      </c>
      <c r="AL25" s="119" t="n">
        <f aca="false">AL24+AK25</f>
        <v>3878476640.43458</v>
      </c>
      <c r="AM25" s="119" t="n">
        <f aca="false">AM24+AL25</f>
        <v>3983217501.36585</v>
      </c>
      <c r="AN25" s="119" t="n">
        <f aca="false">AN24+AM25</f>
        <v>4128211181.24949</v>
      </c>
      <c r="AO25" s="119" t="n">
        <f aca="false">AO24+AN25</f>
        <v>4330494412.24949</v>
      </c>
      <c r="AP25" s="119" t="n">
        <f aca="false">AP24+AO25</f>
        <v>4528031853.24949</v>
      </c>
      <c r="AQ25" s="119" t="n">
        <f aca="false">AQ24+AP25</f>
        <v>4622247030.74949</v>
      </c>
      <c r="AR25" s="119" t="n">
        <f aca="false">AR24+AQ25</f>
        <v>4757928183.87449</v>
      </c>
      <c r="AS25" s="119" t="n">
        <f aca="false">AS24+AR25</f>
        <v>4933427165.12449</v>
      </c>
      <c r="AT25" s="119" t="n">
        <f aca="false">AT24+AS25</f>
        <v>5093091506.99949</v>
      </c>
      <c r="AU25" s="119" t="n">
        <f aca="false">AU24+AT25</f>
        <v>5271009856.99949</v>
      </c>
      <c r="AV25" s="119" t="n">
        <f aca="false">AV24+AU25</f>
        <v>5445561290.12449</v>
      </c>
      <c r="AW25" s="119" t="n">
        <f aca="false">AW24+AV25</f>
        <v>5585324387.62449</v>
      </c>
      <c r="AX25" s="119" t="n">
        <f aca="false">AX24+AW25</f>
        <v>5707132518.87449</v>
      </c>
      <c r="AY25" s="119" t="n">
        <f aca="false">AY24+AX25</f>
        <v>5835299504.49949</v>
      </c>
      <c r="AZ25" s="119" t="n">
        <f aca="false">AZ24+AY25</f>
        <v>5989196393.24949</v>
      </c>
      <c r="BA25" s="119" t="n">
        <f aca="false">BA24+AZ25</f>
        <v>6186733834.24949</v>
      </c>
      <c r="BB25" s="119" t="n">
        <f aca="false">BB24+BA25</f>
        <v>6385979759.64949</v>
      </c>
      <c r="BC25" s="119" t="n">
        <f aca="false">BC24+BB25</f>
        <v>6487280422.27449</v>
      </c>
      <c r="BD25" s="119" t="n">
        <f aca="false">BD24+BC25</f>
        <v>6624464408.89949</v>
      </c>
      <c r="BE25" s="119" t="n">
        <f aca="false">BE24+BD25</f>
        <v>6801723925.14949</v>
      </c>
      <c r="BF25" s="119" t="n">
        <f aca="false">BF24+BE25</f>
        <v>6963049293.52449</v>
      </c>
      <c r="BG25" s="119" t="n">
        <f aca="false">BG24+BF25</f>
        <v>7143723263.52449</v>
      </c>
      <c r="BH25" s="119" t="n">
        <f aca="false">BH24+BG25</f>
        <v>7321003525.89949</v>
      </c>
      <c r="BI25" s="119" t="n">
        <f aca="false">BI24+BH25</f>
        <v>7463139518.39949</v>
      </c>
      <c r="BJ25" s="119" t="n">
        <f aca="false">BJ24+BI25</f>
        <v>7587129182.14949</v>
      </c>
    </row>
    <row r="26" customFormat="false" ht="13.5" hidden="false" customHeight="true" outlineLevel="0" collapsed="false">
      <c r="A26" s="113" t="s">
        <v>427</v>
      </c>
      <c r="B26" s="113"/>
      <c r="C26" s="113"/>
      <c r="D26" s="113"/>
      <c r="E26" s="113"/>
      <c r="F26" s="113"/>
      <c r="G26" s="113"/>
      <c r="H26" s="113"/>
      <c r="I26" s="113"/>
      <c r="J26" s="113"/>
      <c r="K26" s="113"/>
      <c r="L26" s="113"/>
      <c r="M26" s="113"/>
      <c r="N26" s="113"/>
      <c r="O26" s="113"/>
      <c r="P26" s="113"/>
      <c r="Q26" s="113"/>
      <c r="R26" s="113"/>
      <c r="S26" s="113"/>
      <c r="T26" s="113"/>
      <c r="U26" s="113"/>
      <c r="V26" s="113"/>
      <c r="W26" s="113"/>
      <c r="X26" s="113"/>
      <c r="Y26" s="113"/>
      <c r="Z26" s="113"/>
      <c r="AA26" s="113"/>
      <c r="AB26" s="113"/>
      <c r="AC26" s="113"/>
      <c r="AD26" s="113"/>
      <c r="AE26" s="113"/>
      <c r="AF26" s="113"/>
      <c r="AG26" s="113"/>
      <c r="AH26" s="113"/>
      <c r="AI26" s="113"/>
      <c r="AJ26" s="113"/>
      <c r="AK26" s="113"/>
      <c r="AL26" s="113"/>
      <c r="AM26" s="113"/>
    </row>
    <row r="27" customFormat="false" ht="15" hidden="false" customHeight="true" outlineLevel="0" collapsed="false">
      <c r="A27" s="120" t="s">
        <v>428</v>
      </c>
      <c r="B27" s="121" t="n">
        <f aca="false">B21</f>
        <v>363404004.13789</v>
      </c>
    </row>
    <row r="28" customFormat="false" ht="15" hidden="false" customHeight="true" outlineLevel="0" collapsed="false">
      <c r="A28" s="122" t="s">
        <v>429</v>
      </c>
      <c r="B28" s="123" t="n">
        <f aca="false">SUM(C7:BJ7)</f>
        <v>7583082757.30756</v>
      </c>
    </row>
    <row r="29" customFormat="false" ht="15" hidden="false" customHeight="true" outlineLevel="0" collapsed="false">
      <c r="A29" s="120" t="s">
        <v>430</v>
      </c>
      <c r="B29" s="124"/>
    </row>
    <row r="30" customFormat="false" ht="15" hidden="false" customHeight="true" outlineLevel="0" collapsed="false">
      <c r="A30" s="125" t="s">
        <v>431</v>
      </c>
      <c r="B30" s="126" t="n">
        <f aca="false">($B$7 * 0.8 + $B$8 - $B$27)/B27</f>
        <v>16.1887654916314</v>
      </c>
    </row>
    <row r="31" customFormat="false" ht="15" hidden="false" customHeight="true" outlineLevel="0" collapsed="false">
      <c r="A31" s="125" t="s">
        <v>432</v>
      </c>
      <c r="B31" s="126" t="n">
        <f aca="false">(1 + B30)^(1/5)-1</f>
        <v>0.766236833092421</v>
      </c>
      <c r="C31" s="4"/>
    </row>
    <row r="32" customFormat="false" ht="15" hidden="false" customHeight="true" outlineLevel="0" collapsed="false">
      <c r="A32" s="120" t="s">
        <v>433</v>
      </c>
      <c r="B32" s="127" t="e">
        <f aca="false">_xlfn.LET(
_xlpm.Last_neg_month, _xlfn.XLOOKUP(-1,SIGN($C$25:$BJ$25),$C$3:$BJ$3,"No Negative",0,-1),
_xlpm.Last_neg_month_val, _xlfn.XLOOKUP(-1,SIGN($C$25:$BJ$25),$C$25:$BJ$25,"No Negative",0,-1),
_xlpm.First_turn_pos_month_val, _xlfn.XLOOKUP(1,SIGN($C$25:$BJ$25),$C$24:$BJ$24,"No Negative",0,1),
_xlpm.Last_neg_month + (_xlpm.Last_neg_month_val*-1)/_xlpm.First_turn_pos_month_val
)</f>
        <v>#VALUE!</v>
      </c>
      <c r="C32" s="128"/>
      <c r="D32" s="128"/>
    </row>
    <row r="33" customFormat="false" ht="15" hidden="false" customHeight="true" outlineLevel="0" collapsed="false">
      <c r="A33" s="120" t="s">
        <v>434</v>
      </c>
      <c r="B33" s="129" t="n">
        <f aca="false">'IRR '!B7</f>
        <v>0.10790894347991</v>
      </c>
    </row>
    <row r="34" customFormat="false" ht="15" hidden="false" customHeight="true" outlineLevel="0" collapsed="false">
      <c r="A34" s="120" t="s">
        <v>435</v>
      </c>
      <c r="B34" s="130"/>
      <c r="D34" s="131"/>
    </row>
    <row r="37" customFormat="false" ht="13.8" hidden="false" customHeight="false" outlineLevel="0" collapsed="false">
      <c r="A37" s="81" t="s">
        <v>436</v>
      </c>
    </row>
    <row r="38" customFormat="false" ht="13.8" hidden="false" customHeight="false" outlineLevel="0" collapsed="false">
      <c r="A38" s="132"/>
      <c r="B38" s="133" t="s">
        <v>437</v>
      </c>
      <c r="C38" s="133" t="s">
        <v>107</v>
      </c>
      <c r="D38" s="133" t="s">
        <v>306</v>
      </c>
      <c r="E38" s="133" t="s">
        <v>307</v>
      </c>
      <c r="F38" s="133" t="s">
        <v>308</v>
      </c>
      <c r="G38" s="133" t="s">
        <v>309</v>
      </c>
      <c r="H38" s="133" t="s">
        <v>310</v>
      </c>
      <c r="I38" s="133" t="s">
        <v>133</v>
      </c>
      <c r="J38" s="133" t="s">
        <v>311</v>
      </c>
      <c r="K38" s="133" t="s">
        <v>312</v>
      </c>
      <c r="L38" s="133" t="s">
        <v>313</v>
      </c>
      <c r="M38" s="133" t="s">
        <v>314</v>
      </c>
      <c r="N38" s="133" t="s">
        <v>315</v>
      </c>
      <c r="O38" s="133" t="s">
        <v>316</v>
      </c>
      <c r="P38" s="133" t="s">
        <v>317</v>
      </c>
      <c r="Q38" s="133" t="s">
        <v>318</v>
      </c>
      <c r="R38" s="133" t="s">
        <v>319</v>
      </c>
      <c r="S38" s="133" t="s">
        <v>320</v>
      </c>
      <c r="T38" s="133" t="s">
        <v>321</v>
      </c>
      <c r="U38" s="133" t="s">
        <v>322</v>
      </c>
      <c r="V38" s="133" t="s">
        <v>323</v>
      </c>
      <c r="W38" s="133" t="s">
        <v>324</v>
      </c>
      <c r="X38" s="133" t="s">
        <v>325</v>
      </c>
      <c r="Y38" s="133" t="s">
        <v>326</v>
      </c>
      <c r="Z38" s="133" t="s">
        <v>327</v>
      </c>
      <c r="AA38" s="133" t="s">
        <v>328</v>
      </c>
      <c r="AB38" s="133" t="s">
        <v>329</v>
      </c>
      <c r="AC38" s="133" t="s">
        <v>330</v>
      </c>
      <c r="AD38" s="133" t="s">
        <v>331</v>
      </c>
      <c r="AE38" s="133" t="s">
        <v>332</v>
      </c>
      <c r="AF38" s="133" t="s">
        <v>333</v>
      </c>
      <c r="AG38" s="133" t="s">
        <v>334</v>
      </c>
      <c r="AH38" s="133" t="s">
        <v>335</v>
      </c>
      <c r="AI38" s="133" t="s">
        <v>336</v>
      </c>
      <c r="AJ38" s="133" t="s">
        <v>337</v>
      </c>
      <c r="AK38" s="133" t="s">
        <v>338</v>
      </c>
      <c r="AL38" s="133" t="s">
        <v>339</v>
      </c>
      <c r="AM38" s="133" t="s">
        <v>340</v>
      </c>
      <c r="AN38" s="133" t="s">
        <v>341</v>
      </c>
      <c r="AO38" s="133" t="s">
        <v>342</v>
      </c>
      <c r="AP38" s="133" t="s">
        <v>343</v>
      </c>
      <c r="AQ38" s="133" t="s">
        <v>344</v>
      </c>
      <c r="AR38" s="133" t="s">
        <v>345</v>
      </c>
      <c r="AS38" s="133" t="s">
        <v>346</v>
      </c>
      <c r="AT38" s="133" t="s">
        <v>347</v>
      </c>
      <c r="AU38" s="133" t="s">
        <v>348</v>
      </c>
      <c r="AV38" s="133" t="s">
        <v>349</v>
      </c>
      <c r="AW38" s="133" t="s">
        <v>350</v>
      </c>
      <c r="AX38" s="133" t="s">
        <v>351</v>
      </c>
      <c r="AY38" s="133" t="s">
        <v>352</v>
      </c>
      <c r="AZ38" s="133" t="s">
        <v>353</v>
      </c>
      <c r="BA38" s="133" t="s">
        <v>354</v>
      </c>
      <c r="BB38" s="133" t="s">
        <v>355</v>
      </c>
      <c r="BC38" s="133" t="s">
        <v>356</v>
      </c>
      <c r="BD38" s="133" t="s">
        <v>357</v>
      </c>
      <c r="BE38" s="133" t="s">
        <v>358</v>
      </c>
      <c r="BF38" s="133" t="s">
        <v>359</v>
      </c>
      <c r="BG38" s="133" t="s">
        <v>360</v>
      </c>
      <c r="BH38" s="133" t="s">
        <v>361</v>
      </c>
      <c r="BI38" s="133" t="s">
        <v>362</v>
      </c>
      <c r="BJ38" s="133" t="s">
        <v>363</v>
      </c>
    </row>
    <row r="39" customFormat="false" ht="13.8" hidden="false" customHeight="false" outlineLevel="0" collapsed="false">
      <c r="A39" s="133" t="s">
        <v>438</v>
      </c>
      <c r="B39" s="132" t="n">
        <f aca="false">C21</f>
        <v>363404004.13789</v>
      </c>
      <c r="C39" s="132" t="n">
        <f aca="false">B50</f>
        <v>363404004.13789</v>
      </c>
      <c r="D39" s="132" t="n">
        <f aca="false">C50</f>
        <v>95171424.8419265</v>
      </c>
      <c r="E39" s="132" t="n">
        <f aca="false">D50</f>
        <v>20438845.5459633</v>
      </c>
      <c r="F39" s="132" t="n">
        <f aca="false">E50</f>
        <v>0</v>
      </c>
      <c r="G39" s="132" t="n">
        <f aca="false">F50</f>
        <v>9793935.10908607</v>
      </c>
      <c r="H39" s="132" t="n">
        <f aca="false">G50</f>
        <v>12490762.969238</v>
      </c>
      <c r="I39" s="132" t="n">
        <f aca="false">H50</f>
        <v>51321958.1552294</v>
      </c>
      <c r="J39" s="132" t="n">
        <f aca="false">I50</f>
        <v>134975352.549738</v>
      </c>
      <c r="K39" s="132" t="n">
        <f aca="false">J50</f>
        <v>226924514.277298</v>
      </c>
      <c r="L39" s="132" t="n">
        <f aca="false">K50</f>
        <v>332162952.856968</v>
      </c>
      <c r="M39" s="132" t="n">
        <f aca="false">L50</f>
        <v>449997243.261234</v>
      </c>
      <c r="N39" s="132" t="n">
        <f aca="false">M50</f>
        <v>539350346.849873</v>
      </c>
      <c r="O39" s="132" t="n">
        <f aca="false">N50</f>
        <v>613948179.178799</v>
      </c>
      <c r="P39" s="132" t="n">
        <f aca="false">O50</f>
        <v>693792687.183878</v>
      </c>
      <c r="Q39" s="132" t="n">
        <f aca="false">P50</f>
        <v>798127935.739711</v>
      </c>
      <c r="R39" s="132" t="n">
        <f aca="false">Q50</f>
        <v>938854757.030898</v>
      </c>
      <c r="S39" s="132" t="n">
        <f aca="false">R50</f>
        <v>1080702392.42327</v>
      </c>
      <c r="T39" s="132" t="n">
        <f aca="false">S50</f>
        <v>1161482213.39758</v>
      </c>
      <c r="U39" s="132" t="n">
        <f aca="false">T50</f>
        <v>1283890355.29569</v>
      </c>
      <c r="V39" s="132" t="n">
        <f aca="false">U50</f>
        <v>1446260376.06673</v>
      </c>
      <c r="W39" s="132" t="n">
        <f aca="false">V50</f>
        <v>1592727113.13817</v>
      </c>
      <c r="X39" s="132" t="n">
        <f aca="false">W50</f>
        <v>1757543168.41195</v>
      </c>
      <c r="Y39" s="132" t="n">
        <f aca="false">X50</f>
        <v>1918972120.76054</v>
      </c>
      <c r="Z39" s="132" t="n">
        <f aca="false">Y50</f>
        <v>2045461867.27293</v>
      </c>
      <c r="AA39" s="132" t="n">
        <f aca="false">Z50</f>
        <v>2153911011.37566</v>
      </c>
      <c r="AB39" s="132" t="n">
        <f aca="false">AA50</f>
        <v>2268738094.70378</v>
      </c>
      <c r="AC39" s="132" t="n">
        <f aca="false">AB50</f>
        <v>2409347505.2218</v>
      </c>
      <c r="AD39" s="132" t="n">
        <f aca="false">AC50</f>
        <v>2593760686.96958</v>
      </c>
      <c r="AE39" s="132" t="n">
        <f aca="false">AD50</f>
        <v>2781779715.80821</v>
      </c>
      <c r="AF39" s="132" t="n">
        <f aca="false">AE50</f>
        <v>2864756908.29088</v>
      </c>
      <c r="AG39" s="132" t="n">
        <f aca="false">AF50</f>
        <v>2989910731.78367</v>
      </c>
      <c r="AH39" s="132" t="n">
        <f aca="false">AG50</f>
        <v>3155516417.71133</v>
      </c>
      <c r="AI39" s="132" t="n">
        <f aca="false">AH50</f>
        <v>3305028396.92808</v>
      </c>
      <c r="AJ39" s="132" t="n">
        <f aca="false">AI50</f>
        <v>3473224144.71327</v>
      </c>
      <c r="AK39" s="132" t="n">
        <f aca="false">AJ50</f>
        <v>3637997873.26709</v>
      </c>
      <c r="AL39" s="132" t="n">
        <f aca="false">AK50</f>
        <v>3767379512.95625</v>
      </c>
      <c r="AM39" s="132" t="n">
        <f aca="false">AL50</f>
        <v>3878476640.43458</v>
      </c>
      <c r="AN39" s="132" t="n">
        <f aca="false">AM50</f>
        <v>3997468200.41892</v>
      </c>
      <c r="AO39" s="132" t="n">
        <f aca="false">AN50</f>
        <v>4156819459.59852</v>
      </c>
      <c r="AP39" s="132" t="n">
        <f aca="false">AO50</f>
        <v>4359102690.59852</v>
      </c>
      <c r="AQ39" s="132" t="n">
        <f aca="false">AP50</f>
        <v>4556640131.59852</v>
      </c>
      <c r="AR39" s="132" t="n">
        <f aca="false">AQ50</f>
        <v>4650855309.09852</v>
      </c>
      <c r="AS39" s="132" t="n">
        <f aca="false">AR50</f>
        <v>4786536462.22352</v>
      </c>
      <c r="AT39" s="132" t="n">
        <f aca="false">AS50</f>
        <v>4962035443.47352</v>
      </c>
      <c r="AU39" s="132" t="n">
        <f aca="false">AT50</f>
        <v>5121699785.34852</v>
      </c>
      <c r="AV39" s="132" t="n">
        <f aca="false">AU50</f>
        <v>5299618135.34852</v>
      </c>
      <c r="AW39" s="132" t="n">
        <f aca="false">AV50</f>
        <v>5474169568.47352</v>
      </c>
      <c r="AX39" s="132" t="n">
        <f aca="false">AW50</f>
        <v>5613932665.97352</v>
      </c>
      <c r="AY39" s="132" t="n">
        <f aca="false">AX50</f>
        <v>5735740797.22352</v>
      </c>
      <c r="AZ39" s="132" t="n">
        <f aca="false">AY50</f>
        <v>5863907782.84852</v>
      </c>
      <c r="BA39" s="132" t="n">
        <f aca="false">AZ50</f>
        <v>6017804671.59852</v>
      </c>
      <c r="BB39" s="132" t="n">
        <f aca="false">BA50</f>
        <v>6215342112.59852</v>
      </c>
      <c r="BC39" s="132" t="n">
        <f aca="false">BB50</f>
        <v>6414588037.99851</v>
      </c>
      <c r="BD39" s="132" t="n">
        <f aca="false">BC50</f>
        <v>6515888700.62351</v>
      </c>
      <c r="BE39" s="132" t="n">
        <f aca="false">BD50</f>
        <v>6653072687.24851</v>
      </c>
      <c r="BF39" s="132" t="n">
        <f aca="false">BE50</f>
        <v>6830332203.49851</v>
      </c>
      <c r="BG39" s="132" t="n">
        <f aca="false">BF50</f>
        <v>6991657571.87351</v>
      </c>
      <c r="BH39" s="132" t="n">
        <f aca="false">BG50</f>
        <v>7172331541.87351</v>
      </c>
      <c r="BI39" s="132" t="n">
        <f aca="false">BH50</f>
        <v>7349611804.24851</v>
      </c>
      <c r="BJ39" s="132" t="n">
        <f aca="false">BI50</f>
        <v>7491747796.74851</v>
      </c>
    </row>
    <row r="40" customFormat="false" ht="13.8" hidden="false" customHeight="false" outlineLevel="0" collapsed="false">
      <c r="A40" s="132" t="s">
        <v>439</v>
      </c>
      <c r="B40" s="132"/>
      <c r="C40" s="132" t="n">
        <f aca="false">INDEX('💰 Revenue'!$C$14:$BJ$14,MATCH(C5,'💰 Revenue'!$C$5:$BJ$5,0))</f>
        <v>0</v>
      </c>
      <c r="D40" s="132" t="n">
        <f aca="false">INDEX('💰 Revenue'!$C$14:$BJ$14,MATCH(D5,'💰 Revenue'!$C$5:$BJ$5,0))</f>
        <v>0</v>
      </c>
      <c r="E40" s="132" t="n">
        <f aca="false">INDEX('💰 Revenue'!$C$14:$BJ$14,MATCH(E5,'💰 Revenue'!$C$5:$BJ$5,0))</f>
        <v>188325000</v>
      </c>
      <c r="F40" s="132" t="n">
        <f aca="false">INDEX('💰 Revenue'!$C$14:$BJ$14,MATCH(F5,'💰 Revenue'!$C$5:$BJ$5,0))</f>
        <v>251100000</v>
      </c>
      <c r="G40" s="132" t="n">
        <f aca="false">INDEX('💰 Revenue'!$C$14:$BJ$14,MATCH(G5,'💰 Revenue'!$C$5:$BJ$5,0))</f>
        <v>194118750</v>
      </c>
      <c r="H40" s="132" t="n">
        <f aca="false">INDEX('💰 Revenue'!$C$14:$BJ$14,MATCH(H5,'💰 Revenue'!$C$5:$BJ$5,0))</f>
        <v>265050000</v>
      </c>
      <c r="I40" s="132" t="n">
        <f aca="false">INDEX('💰 Revenue'!$C$14:$BJ$14,MATCH(I5,'💰 Revenue'!$C$5:$BJ$5,0))</f>
        <v>349312500</v>
      </c>
      <c r="J40" s="132" t="n">
        <f aca="false">INDEX('💰 Revenue'!$C$14:$BJ$14,MATCH(J5,'💰 Revenue'!$C$5:$BJ$5,0))</f>
        <v>366187500</v>
      </c>
      <c r="K40" s="132" t="n">
        <f aca="false">INDEX('💰 Revenue'!$C$14:$BJ$14,MATCH(K5,'💰 Revenue'!$C$5:$BJ$5,0))</f>
        <v>405000000</v>
      </c>
      <c r="L40" s="132" t="n">
        <f aca="false">INDEX('💰 Revenue'!$C$14:$BJ$14,MATCH(L5,'💰 Revenue'!$C$5:$BJ$5,0))</f>
        <v>401062500</v>
      </c>
      <c r="M40" s="132" t="n">
        <f aca="false">INDEX('💰 Revenue'!$C$14:$BJ$14,MATCH(M5,'💰 Revenue'!$C$5:$BJ$5,0))</f>
        <v>348750000</v>
      </c>
      <c r="N40" s="132" t="n">
        <f aca="false">INDEX('💰 Revenue'!$C$14:$BJ$14,MATCH(N5,'💰 Revenue'!$C$5:$BJ$5,0))</f>
        <v>320625000</v>
      </c>
      <c r="O40" s="132" t="n">
        <f aca="false">INDEX('💰 Revenue'!$C$14:$BJ$14,MATCH(O5,'💰 Revenue'!$C$5:$BJ$5,0))</f>
        <v>331312500</v>
      </c>
      <c r="P40" s="132" t="n">
        <f aca="false">INDEX('💰 Revenue'!$C$14:$BJ$14,MATCH(P5,'💰 Revenue'!$C$5:$BJ$5,0))</f>
        <v>354375000</v>
      </c>
      <c r="Q40" s="132" t="n">
        <f aca="false">INDEX('💰 Revenue'!$C$14:$BJ$14,MATCH(Q5,'💰 Revenue'!$C$5:$BJ$5,0))</f>
        <v>418500000</v>
      </c>
      <c r="R40" s="132" t="n">
        <f aca="false">INDEX('💰 Revenue'!$C$14:$BJ$14,MATCH(R5,'💰 Revenue'!$C$5:$BJ$5,0))</f>
        <v>418500000</v>
      </c>
      <c r="S40" s="132" t="n">
        <f aca="false">INDEX('💰 Revenue'!$C$14:$BJ$14,MATCH(S5,'💰 Revenue'!$C$5:$BJ$5,0))</f>
        <v>321300000</v>
      </c>
      <c r="T40" s="132" t="n">
        <f aca="false">INDEX('💰 Revenue'!$C$14:$BJ$14,MATCH(T5,'💰 Revenue'!$C$5:$BJ$5,0))</f>
        <v>397575000</v>
      </c>
      <c r="U40" s="132" t="n">
        <f aca="false">INDEX('💰 Revenue'!$C$14:$BJ$14,MATCH(U5,'💰 Revenue'!$C$5:$BJ$5,0))</f>
        <v>465750000</v>
      </c>
      <c r="V40" s="132" t="n">
        <f aca="false">INDEX('💰 Revenue'!$C$14:$BJ$14,MATCH(V5,'💰 Revenue'!$C$5:$BJ$5,0))</f>
        <v>439425000</v>
      </c>
      <c r="W40" s="132" t="n">
        <f aca="false">INDEX('💰 Revenue'!$C$14:$BJ$14,MATCH(W5,'💰 Revenue'!$C$5:$BJ$5,0))</f>
        <v>486000000</v>
      </c>
      <c r="X40" s="132" t="n">
        <f aca="false">INDEX('💰 Revenue'!$C$14:$BJ$14,MATCH(X5,'💰 Revenue'!$C$5:$BJ$5,0))</f>
        <v>481275000</v>
      </c>
      <c r="Y40" s="132" t="n">
        <f aca="false">INDEX('💰 Revenue'!$C$14:$BJ$14,MATCH(Y5,'💰 Revenue'!$C$5:$BJ$5,0))</f>
        <v>418500000</v>
      </c>
      <c r="Z40" s="132" t="n">
        <f aca="false">INDEX('💰 Revenue'!$C$14:$BJ$14,MATCH(Z5,'💰 Revenue'!$C$5:$BJ$5,0))</f>
        <v>384750000</v>
      </c>
      <c r="AA40" s="132" t="n">
        <f aca="false">INDEX('💰 Revenue'!$C$14:$BJ$14,MATCH(AA5,'💰 Revenue'!$C$5:$BJ$5,0))</f>
        <v>397575000</v>
      </c>
      <c r="AB40" s="132" t="n">
        <f aca="false">INDEX('💰 Revenue'!$C$14:$BJ$14,MATCH(AB5,'💰 Revenue'!$C$5:$BJ$5,0))</f>
        <v>425250000</v>
      </c>
      <c r="AC40" s="132" t="n">
        <f aca="false">INDEX('💰 Revenue'!$C$14:$BJ$14,MATCH(AC5,'💰 Revenue'!$C$5:$BJ$5,0))</f>
        <v>502200000</v>
      </c>
      <c r="AD40" s="132" t="n">
        <f aca="false">INDEX('💰 Revenue'!$C$14:$BJ$14,MATCH(AD5,'💰 Revenue'!$C$5:$BJ$5,0))</f>
        <v>502200000</v>
      </c>
      <c r="AE40" s="132" t="n">
        <f aca="false">INDEX('💰 Revenue'!$C$14:$BJ$14,MATCH(AE5,'💰 Revenue'!$C$5:$BJ$5,0))</f>
        <v>321300000</v>
      </c>
      <c r="AF40" s="132" t="n">
        <f aca="false">INDEX('💰 Revenue'!$C$14:$BJ$14,MATCH(AF5,'💰 Revenue'!$C$5:$BJ$5,0))</f>
        <v>397575000</v>
      </c>
      <c r="AG40" s="132" t="n">
        <f aca="false">INDEX('💰 Revenue'!$C$14:$BJ$14,MATCH(AG5,'💰 Revenue'!$C$5:$BJ$5,0))</f>
        <v>465750000</v>
      </c>
      <c r="AH40" s="132" t="n">
        <f aca="false">INDEX('💰 Revenue'!$C$14:$BJ$14,MATCH(AH5,'💰 Revenue'!$C$5:$BJ$5,0))</f>
        <v>439425000</v>
      </c>
      <c r="AI40" s="132" t="n">
        <f aca="false">INDEX('💰 Revenue'!$C$14:$BJ$14,MATCH(AI5,'💰 Revenue'!$C$5:$BJ$5,0))</f>
        <v>486000000</v>
      </c>
      <c r="AJ40" s="132" t="n">
        <f aca="false">INDEX('💰 Revenue'!$C$14:$BJ$14,MATCH(AJ5,'💰 Revenue'!$C$5:$BJ$5,0))</f>
        <v>481275000</v>
      </c>
      <c r="AK40" s="132" t="n">
        <f aca="false">INDEX('💰 Revenue'!$C$14:$BJ$14,MATCH(AK5,'💰 Revenue'!$C$5:$BJ$5,0))</f>
        <v>418500000</v>
      </c>
      <c r="AL40" s="132" t="n">
        <f aca="false">INDEX('💰 Revenue'!$C$14:$BJ$14,MATCH(AL5,'💰 Revenue'!$C$5:$BJ$5,0))</f>
        <v>384750000</v>
      </c>
      <c r="AM40" s="132" t="n">
        <f aca="false">INDEX('💰 Revenue'!$C$14:$BJ$14,MATCH(AM5,'💰 Revenue'!$C$5:$BJ$5,0))</f>
        <v>397575000</v>
      </c>
      <c r="AN40" s="132" t="n">
        <f aca="false">INDEX('💰 Revenue'!$C$14:$BJ$14,MATCH(AN5,'💰 Revenue'!$C$5:$BJ$5,0))</f>
        <v>425250000</v>
      </c>
      <c r="AO40" s="132" t="n">
        <f aca="false">INDEX('💰 Revenue'!$C$14:$BJ$14,MATCH(AO5,'💰 Revenue'!$C$5:$BJ$5,0))</f>
        <v>502200000</v>
      </c>
      <c r="AP40" s="132" t="n">
        <f aca="false">INDEX('💰 Revenue'!$C$14:$BJ$14,MATCH(AP5,'💰 Revenue'!$C$5:$BJ$5,0))</f>
        <v>502200000</v>
      </c>
      <c r="AQ40" s="132" t="n">
        <f aca="false">INDEX('💰 Revenue'!$C$14:$BJ$14,MATCH(AQ5,'💰 Revenue'!$C$5:$BJ$5,0))</f>
        <v>321300000</v>
      </c>
      <c r="AR40" s="132" t="n">
        <f aca="false">INDEX('💰 Revenue'!$C$14:$BJ$14,MATCH(AR5,'💰 Revenue'!$C$5:$BJ$5,0))</f>
        <v>397575000</v>
      </c>
      <c r="AS40" s="132" t="n">
        <f aca="false">INDEX('💰 Revenue'!$C$14:$BJ$14,MATCH(AS5,'💰 Revenue'!$C$5:$BJ$5,0))</f>
        <v>465750000</v>
      </c>
      <c r="AT40" s="132" t="n">
        <f aca="false">INDEX('💰 Revenue'!$C$14:$BJ$14,MATCH(AT5,'💰 Revenue'!$C$5:$BJ$5,0))</f>
        <v>439425000</v>
      </c>
      <c r="AU40" s="132" t="n">
        <f aca="false">INDEX('💰 Revenue'!$C$14:$BJ$14,MATCH(AU5,'💰 Revenue'!$C$5:$BJ$5,0))</f>
        <v>486000000</v>
      </c>
      <c r="AV40" s="132" t="n">
        <f aca="false">INDEX('💰 Revenue'!$C$14:$BJ$14,MATCH(AV5,'💰 Revenue'!$C$5:$BJ$5,0))</f>
        <v>481275000</v>
      </c>
      <c r="AW40" s="132" t="n">
        <f aca="false">INDEX('💰 Revenue'!$C$14:$BJ$14,MATCH(AW5,'💰 Revenue'!$C$5:$BJ$5,0))</f>
        <v>418500000</v>
      </c>
      <c r="AX40" s="132" t="n">
        <f aca="false">INDEX('💰 Revenue'!$C$14:$BJ$14,MATCH(AX5,'💰 Revenue'!$C$5:$BJ$5,0))</f>
        <v>384750000</v>
      </c>
      <c r="AY40" s="132" t="n">
        <f aca="false">INDEX('💰 Revenue'!$C$14:$BJ$14,MATCH(AY5,'💰 Revenue'!$C$5:$BJ$5,0))</f>
        <v>397575000</v>
      </c>
      <c r="AZ40" s="132" t="n">
        <f aca="false">INDEX('💰 Revenue'!$C$14:$BJ$14,MATCH(AZ5,'💰 Revenue'!$C$5:$BJ$5,0))</f>
        <v>425250000</v>
      </c>
      <c r="BA40" s="132" t="n">
        <f aca="false">INDEX('💰 Revenue'!$C$14:$BJ$14,MATCH(BA5,'💰 Revenue'!$C$5:$BJ$5,0))</f>
        <v>502200000</v>
      </c>
      <c r="BB40" s="132" t="n">
        <f aca="false">INDEX('💰 Revenue'!$C$14:$BJ$14,MATCH(BB5,'💰 Revenue'!$C$5:$BJ$5,0))</f>
        <v>502200000</v>
      </c>
      <c r="BC40" s="132" t="n">
        <f aca="false">INDEX('💰 Revenue'!$C$14:$BJ$14,MATCH(BC5,'💰 Revenue'!$C$5:$BJ$5,0))</f>
        <v>332775000</v>
      </c>
      <c r="BD40" s="132" t="n">
        <f aca="false">INDEX('💰 Revenue'!$C$14:$BJ$14,MATCH(BD5,'💰 Revenue'!$C$5:$BJ$5,0))</f>
        <v>397575000</v>
      </c>
      <c r="BE40" s="132" t="n">
        <f aca="false">INDEX('💰 Revenue'!$C$14:$BJ$14,MATCH(BE5,'💰 Revenue'!$C$5:$BJ$5,0))</f>
        <v>465750000</v>
      </c>
      <c r="BF40" s="132" t="n">
        <f aca="false">INDEX('💰 Revenue'!$C$14:$BJ$14,MATCH(BF5,'💰 Revenue'!$C$5:$BJ$5,0))</f>
        <v>439425000</v>
      </c>
      <c r="BG40" s="132" t="n">
        <f aca="false">INDEX('💰 Revenue'!$C$14:$BJ$14,MATCH(BG5,'💰 Revenue'!$C$5:$BJ$5,0))</f>
        <v>486000000</v>
      </c>
      <c r="BH40" s="132" t="n">
        <f aca="false">INDEX('💰 Revenue'!$C$14:$BJ$14,MATCH(BH5,'💰 Revenue'!$C$5:$BJ$5,0))</f>
        <v>481275000</v>
      </c>
      <c r="BI40" s="132" t="n">
        <f aca="false">INDEX('💰 Revenue'!$C$14:$BJ$14,MATCH(BI5,'💰 Revenue'!$C$5:$BJ$5,0))</f>
        <v>418500000</v>
      </c>
      <c r="BJ40" s="132" t="n">
        <f aca="false">INDEX('💰 Revenue'!$C$14:$BJ$14,MATCH(BJ5,'💰 Revenue'!$C$5:$BJ$5,0))</f>
        <v>384750000</v>
      </c>
    </row>
    <row r="41" customFormat="false" ht="13.8" hidden="false" customHeight="false" outlineLevel="0" collapsed="false">
      <c r="A41" s="132" t="s">
        <v>440</v>
      </c>
      <c r="B41" s="132"/>
      <c r="C41" s="132" t="n">
        <f aca="false">'🏦 Loan Schedule'!B6</f>
        <v>451500000</v>
      </c>
      <c r="D41" s="132"/>
      <c r="E41" s="132"/>
      <c r="F41" s="132"/>
      <c r="G41" s="132"/>
      <c r="H41" s="132"/>
      <c r="I41" s="132"/>
      <c r="J41" s="132"/>
      <c r="K41" s="132"/>
      <c r="L41" s="132"/>
      <c r="M41" s="132"/>
      <c r="N41" s="132"/>
      <c r="O41" s="132"/>
      <c r="P41" s="132"/>
      <c r="Q41" s="132"/>
      <c r="R41" s="132"/>
      <c r="S41" s="132"/>
      <c r="T41" s="132"/>
      <c r="U41" s="132"/>
      <c r="V41" s="132"/>
      <c r="W41" s="132"/>
      <c r="X41" s="132"/>
      <c r="Y41" s="132"/>
      <c r="Z41" s="132"/>
      <c r="AA41" s="132"/>
      <c r="AB41" s="132"/>
      <c r="AC41" s="132"/>
      <c r="AD41" s="132"/>
      <c r="AE41" s="132"/>
      <c r="AF41" s="132"/>
      <c r="AG41" s="132"/>
      <c r="AH41" s="132"/>
      <c r="AI41" s="132"/>
      <c r="AJ41" s="132"/>
      <c r="AK41" s="132"/>
      <c r="AL41" s="132"/>
      <c r="AM41" s="132"/>
      <c r="AN41" s="132"/>
      <c r="AO41" s="132"/>
      <c r="AP41" s="132"/>
      <c r="AQ41" s="132"/>
      <c r="AR41" s="132"/>
      <c r="AS41" s="132"/>
      <c r="AT41" s="132"/>
      <c r="AU41" s="132"/>
      <c r="AV41" s="132"/>
      <c r="AW41" s="132"/>
      <c r="AX41" s="132"/>
      <c r="AY41" s="132"/>
      <c r="AZ41" s="132"/>
      <c r="BA41" s="132"/>
      <c r="BB41" s="132"/>
      <c r="BC41" s="132"/>
      <c r="BD41" s="132"/>
      <c r="BE41" s="132"/>
      <c r="BF41" s="132"/>
      <c r="BG41" s="132"/>
      <c r="BH41" s="132"/>
      <c r="BI41" s="132"/>
      <c r="BJ41" s="132"/>
    </row>
    <row r="42" s="4" customFormat="true" ht="13.8" hidden="false" customHeight="false" outlineLevel="0" collapsed="false">
      <c r="A42" s="133" t="s">
        <v>441</v>
      </c>
      <c r="B42" s="132"/>
      <c r="C42" s="132" t="n">
        <f aca="false">SUM(C40:C41)</f>
        <v>451500000</v>
      </c>
      <c r="D42" s="132" t="n">
        <f aca="false">D40+D41</f>
        <v>0</v>
      </c>
      <c r="E42" s="132" t="n">
        <f aca="false">E40+E41</f>
        <v>188325000</v>
      </c>
      <c r="F42" s="132" t="n">
        <f aca="false">F40+F41</f>
        <v>251100000</v>
      </c>
      <c r="G42" s="132" t="n">
        <f aca="false">G40+G41</f>
        <v>194118750</v>
      </c>
      <c r="H42" s="132" t="n">
        <f aca="false">H40+H41</f>
        <v>265050000</v>
      </c>
      <c r="I42" s="132" t="n">
        <f aca="false">I40+I41</f>
        <v>349312500</v>
      </c>
      <c r="J42" s="132" t="n">
        <f aca="false">J40+J41</f>
        <v>366187500</v>
      </c>
      <c r="K42" s="132" t="n">
        <f aca="false">K40+K41</f>
        <v>405000000</v>
      </c>
      <c r="L42" s="132" t="n">
        <f aca="false">L40+L41</f>
        <v>401062500</v>
      </c>
      <c r="M42" s="132" t="n">
        <f aca="false">M40+M41</f>
        <v>348750000</v>
      </c>
      <c r="N42" s="132" t="n">
        <f aca="false">N40+N41</f>
        <v>320625000</v>
      </c>
      <c r="O42" s="132" t="n">
        <f aca="false">O40+O41</f>
        <v>331312500</v>
      </c>
      <c r="P42" s="132" t="n">
        <f aca="false">P40+P41</f>
        <v>354375000</v>
      </c>
      <c r="Q42" s="132" t="n">
        <f aca="false">Q40+Q41</f>
        <v>418500000</v>
      </c>
      <c r="R42" s="132" t="n">
        <f aca="false">R40+R41</f>
        <v>418500000</v>
      </c>
      <c r="S42" s="132" t="n">
        <f aca="false">S40+S41</f>
        <v>321300000</v>
      </c>
      <c r="T42" s="132" t="n">
        <f aca="false">T40+T41</f>
        <v>397575000</v>
      </c>
      <c r="U42" s="132" t="n">
        <f aca="false">U40+U41</f>
        <v>465750000</v>
      </c>
      <c r="V42" s="132" t="n">
        <f aca="false">V40+V41</f>
        <v>439425000</v>
      </c>
      <c r="W42" s="132" t="n">
        <f aca="false">W40+W41</f>
        <v>486000000</v>
      </c>
      <c r="X42" s="132" t="n">
        <f aca="false">X40+X41</f>
        <v>481275000</v>
      </c>
      <c r="Y42" s="132" t="n">
        <f aca="false">Y40+Y41</f>
        <v>418500000</v>
      </c>
      <c r="Z42" s="132" t="n">
        <f aca="false">Z40+Z41</f>
        <v>384750000</v>
      </c>
      <c r="AA42" s="132" t="n">
        <f aca="false">AA40+AA41</f>
        <v>397575000</v>
      </c>
      <c r="AB42" s="132" t="n">
        <f aca="false">AB40+AB41</f>
        <v>425250000</v>
      </c>
      <c r="AC42" s="132" t="n">
        <f aca="false">AC40+AC41</f>
        <v>502200000</v>
      </c>
      <c r="AD42" s="132" t="n">
        <f aca="false">AD40+AD41</f>
        <v>502200000</v>
      </c>
      <c r="AE42" s="132" t="n">
        <f aca="false">AE40+AE41</f>
        <v>321300000</v>
      </c>
      <c r="AF42" s="132" t="n">
        <f aca="false">AF40+AF41</f>
        <v>397575000</v>
      </c>
      <c r="AG42" s="132" t="n">
        <f aca="false">AG40+AG41</f>
        <v>465750000</v>
      </c>
      <c r="AH42" s="132" t="n">
        <f aca="false">AH40+AH41</f>
        <v>439425000</v>
      </c>
      <c r="AI42" s="132" t="n">
        <f aca="false">AI40+AI41</f>
        <v>486000000</v>
      </c>
      <c r="AJ42" s="132" t="n">
        <f aca="false">AJ40+AJ41</f>
        <v>481275000</v>
      </c>
      <c r="AK42" s="132" t="n">
        <f aca="false">AK40+AK41</f>
        <v>418500000</v>
      </c>
      <c r="AL42" s="132" t="n">
        <f aca="false">AL40+AL41</f>
        <v>384750000</v>
      </c>
      <c r="AM42" s="132" t="n">
        <f aca="false">AM40+AM41</f>
        <v>397575000</v>
      </c>
      <c r="AN42" s="132" t="n">
        <f aca="false">AN40+AN41</f>
        <v>425250000</v>
      </c>
      <c r="AO42" s="132" t="n">
        <f aca="false">AO40+AO41</f>
        <v>502200000</v>
      </c>
      <c r="AP42" s="132" t="n">
        <f aca="false">AP40+AP41</f>
        <v>502200000</v>
      </c>
      <c r="AQ42" s="132" t="n">
        <f aca="false">AQ40+AQ41</f>
        <v>321300000</v>
      </c>
      <c r="AR42" s="132" t="n">
        <f aca="false">AR40+AR41</f>
        <v>397575000</v>
      </c>
      <c r="AS42" s="132" t="n">
        <f aca="false">AS40+AS41</f>
        <v>465750000</v>
      </c>
      <c r="AT42" s="132" t="n">
        <f aca="false">AT40+AT41</f>
        <v>439425000</v>
      </c>
      <c r="AU42" s="132" t="n">
        <f aca="false">AU40+AU41</f>
        <v>486000000</v>
      </c>
      <c r="AV42" s="132" t="n">
        <f aca="false">AV40+AV41</f>
        <v>481275000</v>
      </c>
      <c r="AW42" s="132" t="n">
        <f aca="false">AW40+AW41</f>
        <v>418500000</v>
      </c>
      <c r="AX42" s="132" t="n">
        <f aca="false">AX40+AX41</f>
        <v>384750000</v>
      </c>
      <c r="AY42" s="132" t="n">
        <f aca="false">AY40+AY41</f>
        <v>397575000</v>
      </c>
      <c r="AZ42" s="132" t="n">
        <f aca="false">AZ40+AZ41</f>
        <v>425250000</v>
      </c>
      <c r="BA42" s="132" t="n">
        <f aca="false">BA40+BA41</f>
        <v>502200000</v>
      </c>
      <c r="BB42" s="132" t="n">
        <f aca="false">BB40+BB41</f>
        <v>502200000</v>
      </c>
      <c r="BC42" s="132" t="n">
        <f aca="false">BC40+BC41</f>
        <v>332775000</v>
      </c>
      <c r="BD42" s="132" t="n">
        <f aca="false">BD40+BD41</f>
        <v>397575000</v>
      </c>
      <c r="BE42" s="132" t="n">
        <f aca="false">BE40+BE41</f>
        <v>465750000</v>
      </c>
      <c r="BF42" s="132" t="n">
        <f aca="false">BF40+BF41</f>
        <v>439425000</v>
      </c>
      <c r="BG42" s="132" t="n">
        <f aca="false">BG40+BG41</f>
        <v>486000000</v>
      </c>
      <c r="BH42" s="132" t="n">
        <f aca="false">BH40+BH41</f>
        <v>481275000</v>
      </c>
      <c r="BI42" s="132" t="n">
        <f aca="false">BI40+BI41</f>
        <v>418500000</v>
      </c>
      <c r="BJ42" s="132" t="n">
        <f aca="false">BJ40+BJ41</f>
        <v>384750000</v>
      </c>
      <c r="XFD42" s="0"/>
    </row>
    <row r="43" customFormat="false" ht="13.8" hidden="false" customHeight="false" outlineLevel="0" collapsed="false">
      <c r="A43" s="134" t="str">
        <f aca="false">"Deposit " &amp; '⚙️ Assumptions'!B11&amp; " month rent"</f>
        <v>Deposit 6 month rent</v>
      </c>
      <c r="B43" s="135"/>
      <c r="C43" s="135" t="n">
        <f aca="false">-'⚙️ Assumptions'!$B$17</f>
        <v>-345000000</v>
      </c>
      <c r="D43" s="132"/>
      <c r="E43" s="132"/>
      <c r="F43" s="132"/>
      <c r="G43" s="132"/>
      <c r="H43" s="132"/>
      <c r="I43" s="132"/>
      <c r="J43" s="132"/>
      <c r="K43" s="132"/>
      <c r="L43" s="132"/>
      <c r="M43" s="132"/>
      <c r="N43" s="132"/>
      <c r="O43" s="132"/>
      <c r="P43" s="132"/>
      <c r="Q43" s="132"/>
      <c r="R43" s="132"/>
      <c r="S43" s="132"/>
      <c r="T43" s="132"/>
      <c r="U43" s="132"/>
      <c r="V43" s="132"/>
      <c r="W43" s="132"/>
      <c r="X43" s="132"/>
      <c r="Y43" s="132"/>
      <c r="Z43" s="132"/>
      <c r="AA43" s="132"/>
      <c r="AB43" s="132"/>
      <c r="AC43" s="132"/>
      <c r="AD43" s="132"/>
      <c r="AE43" s="132"/>
      <c r="AF43" s="132"/>
      <c r="AG43" s="132"/>
      <c r="AH43" s="132"/>
      <c r="AI43" s="132"/>
      <c r="AJ43" s="132"/>
      <c r="AK43" s="132"/>
      <c r="AL43" s="132"/>
      <c r="AM43" s="132"/>
      <c r="AN43" s="132"/>
      <c r="AO43" s="132"/>
      <c r="AP43" s="132"/>
      <c r="AQ43" s="132"/>
      <c r="AR43" s="132"/>
      <c r="AS43" s="132"/>
      <c r="AT43" s="132"/>
      <c r="AU43" s="132"/>
      <c r="AV43" s="132"/>
      <c r="AW43" s="132"/>
      <c r="AX43" s="132"/>
      <c r="AY43" s="132"/>
      <c r="AZ43" s="132"/>
      <c r="BA43" s="132"/>
      <c r="BB43" s="132"/>
      <c r="BC43" s="132"/>
      <c r="BD43" s="132"/>
      <c r="BE43" s="132"/>
      <c r="BF43" s="132"/>
      <c r="BG43" s="132"/>
      <c r="BH43" s="132"/>
      <c r="BI43" s="132"/>
      <c r="BJ43" s="132"/>
    </row>
    <row r="44" customFormat="false" ht="13.8" hidden="false" customHeight="false" outlineLevel="0" collapsed="false">
      <c r="A44" s="134" t="s">
        <v>442</v>
      </c>
      <c r="B44" s="135"/>
      <c r="C44" s="135" t="n">
        <f aca="false">-'⚙️ Assumptions'!$B$16</f>
        <v>-300000000</v>
      </c>
      <c r="D44" s="132"/>
      <c r="E44" s="132"/>
      <c r="F44" s="132"/>
      <c r="G44" s="132"/>
      <c r="H44" s="132"/>
      <c r="I44" s="132"/>
      <c r="J44" s="132"/>
      <c r="K44" s="132"/>
      <c r="L44" s="132"/>
      <c r="M44" s="132"/>
      <c r="N44" s="132"/>
      <c r="O44" s="132"/>
      <c r="P44" s="132"/>
      <c r="Q44" s="132"/>
      <c r="R44" s="132"/>
      <c r="S44" s="132"/>
      <c r="T44" s="132"/>
      <c r="U44" s="132"/>
      <c r="V44" s="132"/>
      <c r="W44" s="132"/>
      <c r="X44" s="132"/>
      <c r="Y44" s="132"/>
      <c r="Z44" s="132"/>
      <c r="AA44" s="132"/>
      <c r="AB44" s="132"/>
      <c r="AC44" s="132"/>
      <c r="AD44" s="132"/>
      <c r="AE44" s="132"/>
      <c r="AF44" s="132"/>
      <c r="AG44" s="132"/>
      <c r="AH44" s="132"/>
      <c r="AI44" s="132"/>
      <c r="AJ44" s="132"/>
      <c r="AK44" s="132"/>
      <c r="AL44" s="132"/>
      <c r="AM44" s="132"/>
      <c r="AN44" s="132"/>
      <c r="AO44" s="132"/>
      <c r="AP44" s="132"/>
      <c r="AQ44" s="132"/>
      <c r="AR44" s="132"/>
      <c r="AS44" s="132"/>
      <c r="AT44" s="132"/>
      <c r="AU44" s="132"/>
      <c r="AV44" s="132"/>
      <c r="AW44" s="132"/>
      <c r="AX44" s="132"/>
      <c r="AY44" s="132"/>
      <c r="AZ44" s="132"/>
      <c r="BA44" s="132"/>
      <c r="BB44" s="132"/>
      <c r="BC44" s="132"/>
      <c r="BD44" s="132"/>
      <c r="BE44" s="132"/>
      <c r="BF44" s="132"/>
      <c r="BG44" s="132"/>
      <c r="BH44" s="132"/>
      <c r="BI44" s="132"/>
      <c r="BJ44" s="132"/>
    </row>
    <row r="45" customFormat="false" ht="13.8" hidden="false" customHeight="false" outlineLevel="0" collapsed="false">
      <c r="A45" s="132" t="s">
        <v>443</v>
      </c>
      <c r="B45" s="132"/>
      <c r="C45" s="135" t="n">
        <f aca="false">INDEX('📦 COGS &amp; OpEx'!$C$32:$BJ$32,MATCH(C5,'📦 COGS &amp; OpEx'!$C$3:$BJ$3,0))*-1</f>
        <v>-60375000</v>
      </c>
      <c r="D45" s="135" t="n">
        <f aca="false">INDEX('📦 COGS &amp; OpEx'!$C$32:$BJ$32,MATCH(D5,'📦 COGS &amp; OpEx'!$C$3:$BJ$3,0))*-1</f>
        <v>-60375000</v>
      </c>
      <c r="E45" s="135" t="n">
        <f aca="false">INDEX('📦 COGS &amp; OpEx'!$C$32:$BJ$32,MATCH(E5,'📦 COGS &amp; OpEx'!$C$3:$BJ$3,0))*-1</f>
        <v>-194406266.25</v>
      </c>
      <c r="F45" s="135" t="n">
        <f aca="false">INDEX('📦 COGS &amp; OpEx'!$C$32:$BJ$32,MATCH(F5,'📦 COGS &amp; OpEx'!$C$3:$BJ$3,0))*-1</f>
        <v>-225169155</v>
      </c>
      <c r="G45" s="135" t="n">
        <f aca="false">INDEX('📦 COGS &amp; OpEx'!$C$32:$BJ$32,MATCH(G5,'📦 COGS &amp; OpEx'!$C$3:$BJ$3,0))*-1</f>
        <v>-176064229.6875</v>
      </c>
      <c r="H45" s="135" t="n">
        <f aca="false">INDEX('📦 COGS &amp; OpEx'!$C$32:$BJ$32,MATCH(H5,'📦 COGS &amp; OpEx'!$C$3:$BJ$3,0))*-1</f>
        <v>-206836762.5</v>
      </c>
      <c r="I45" s="135" t="n">
        <f aca="false">INDEX('📦 COGS &amp; OpEx'!$C$32:$BJ$32,MATCH(I5,'📦 COGS &amp; OpEx'!$C$3:$BJ$3,0))*-1</f>
        <v>-241287328.125</v>
      </c>
      <c r="J45" s="135" t="n">
        <f aca="false">INDEX('📦 COGS &amp; OpEx'!$C$32:$BJ$32,MATCH(J5,'📦 COGS &amp; OpEx'!$C$3:$BJ$3,0))*-1</f>
        <v>-248935246.875</v>
      </c>
      <c r="K45" s="135" t="n">
        <f aca="false">INDEX('📦 COGS &amp; OpEx'!$C$32:$BJ$32,MATCH(K5,'📦 COGS &amp; OpEx'!$C$3:$BJ$3,0))*-1</f>
        <v>-272972250</v>
      </c>
      <c r="L45" s="135" t="n">
        <f aca="false">INDEX('📦 COGS &amp; OpEx'!$C$32:$BJ$32,MATCH(L5,'📦 COGS &amp; OpEx'!$C$3:$BJ$3,0))*-1</f>
        <v>-255029653.125</v>
      </c>
      <c r="M45" s="135" t="n">
        <f aca="false">INDEX('📦 COGS &amp; OpEx'!$C$32:$BJ$32,MATCH(M5,'📦 COGS &amp; OpEx'!$C$3:$BJ$3,0))*-1</f>
        <v>-234353137.5</v>
      </c>
      <c r="N45" s="135" t="n">
        <f aca="false">INDEX('📦 COGS &amp; OpEx'!$C$32:$BJ$32,MATCH(N5,'📦 COGS &amp; OpEx'!$C$3:$BJ$3,0))*-1</f>
        <v>-222613031.25</v>
      </c>
      <c r="O45" s="135" t="n">
        <f aca="false">INDEX('📦 COGS &amp; OpEx'!$C$32:$BJ$32,MATCH(O5,'📦 COGS &amp; OpEx'!$C$3:$BJ$3,0))*-1</f>
        <v>-227460965.625</v>
      </c>
      <c r="P45" s="135" t="n">
        <f aca="false">INDEX('📦 COGS &amp; OpEx'!$C$32:$BJ$32,MATCH(P5,'📦 COGS &amp; OpEx'!$C$3:$BJ$3,0))*-1</f>
        <v>-223301531.25</v>
      </c>
      <c r="Q45" s="135" t="n">
        <f aca="false">INDEX('📦 COGS &amp; OpEx'!$C$32:$BJ$32,MATCH(Q5,'📦 COGS &amp; OpEx'!$C$3:$BJ$3,0))*-1</f>
        <v>-246981375</v>
      </c>
      <c r="R45" s="135" t="n">
        <f aca="false">INDEX('📦 COGS &amp; OpEx'!$C$32:$BJ$32,MATCH(R5,'📦 COGS &amp; OpEx'!$C$3:$BJ$3,0))*-1</f>
        <v>-245725875</v>
      </c>
      <c r="S45" s="135" t="n">
        <f aca="false">INDEX('📦 COGS &amp; OpEx'!$C$32:$BJ$32,MATCH(S5,'📦 COGS &amp; OpEx'!$C$3:$BJ$3,0))*-1</f>
        <v>-216368775</v>
      </c>
      <c r="T45" s="135" t="n">
        <f aca="false">INDEX('📦 COGS &amp; OpEx'!$C$32:$BJ$32,MATCH(T5,'📦 COGS &amp; OpEx'!$C$3:$BJ$3,0))*-1</f>
        <v>-246379781.25</v>
      </c>
      <c r="U45" s="135" t="n">
        <f aca="false">INDEX('📦 COGS &amp; OpEx'!$C$32:$BJ$32,MATCH(U5,'📦 COGS &amp; OpEx'!$C$3:$BJ$3,0))*-1</f>
        <v>-270142312.5</v>
      </c>
      <c r="V45" s="135" t="n">
        <f aca="false">INDEX('📦 COGS &amp; OpEx'!$C$32:$BJ$32,MATCH(V5,'📦 COGS &amp; OpEx'!$C$3:$BJ$3,0))*-1</f>
        <v>-261477168.75</v>
      </c>
      <c r="W45" s="135" t="n">
        <f aca="false">INDEX('📦 COGS &amp; OpEx'!$C$32:$BJ$32,MATCH(W5,'📦 COGS &amp; OpEx'!$C$3:$BJ$3,0))*-1</f>
        <v>-287653500</v>
      </c>
      <c r="X45" s="135" t="n">
        <f aca="false">INDEX('📦 COGS &amp; OpEx'!$C$32:$BJ$32,MATCH(X5,'📦 COGS &amp; OpEx'!$C$3:$BJ$3,0))*-1</f>
        <v>-286681331.25</v>
      </c>
      <c r="Y45" s="135" t="n">
        <f aca="false">INDEX('📦 COGS &amp; OpEx'!$C$32:$BJ$32,MATCH(Y5,'📦 COGS &amp; OpEx'!$C$3:$BJ$3,0))*-1</f>
        <v>-262716975</v>
      </c>
      <c r="Z45" s="135" t="n">
        <f aca="false">INDEX('📦 COGS &amp; OpEx'!$C$32:$BJ$32,MATCH(Z5,'📦 COGS &amp; OpEx'!$C$3:$BJ$3,0))*-1</f>
        <v>-249001312.5</v>
      </c>
      <c r="AA45" s="135" t="n">
        <f aca="false">INDEX('📦 COGS &amp; OpEx'!$C$32:$BJ$32,MATCH(AA5,'📦 COGS &amp; OpEx'!$C$3:$BJ$3,0))*-1</f>
        <v>-254728856.25</v>
      </c>
      <c r="AB45" s="135" t="n">
        <f aca="false">INDEX('📦 COGS &amp; OpEx'!$C$32:$BJ$32,MATCH(AB5,'📦 COGS &amp; OpEx'!$C$3:$BJ$3,0))*-1</f>
        <v>-253745887.5</v>
      </c>
      <c r="AC45" s="135" t="n">
        <f aca="false">INDEX('📦 COGS &amp; OpEx'!$C$32:$BJ$32,MATCH(AC5,'📦 COGS &amp; OpEx'!$C$3:$BJ$3,0))*-1</f>
        <v>-282014010</v>
      </c>
      <c r="AD45" s="135" t="n">
        <f aca="false">INDEX('📦 COGS &amp; OpEx'!$C$32:$BJ$32,MATCH(AD5,'📦 COGS &amp; OpEx'!$C$3:$BJ$3,0))*-1</f>
        <v>-277996410</v>
      </c>
      <c r="AE45" s="135" t="n">
        <f aca="false">INDEX('📦 COGS &amp; OpEx'!$C$32:$BJ$32,MATCH(AE5,'📦 COGS &amp; OpEx'!$C$3:$BJ$3,0))*-1</f>
        <v>-213798375</v>
      </c>
      <c r="AF45" s="135" t="n">
        <f aca="false">INDEX('📦 COGS &amp; OpEx'!$C$32:$BJ$32,MATCH(AF5,'📦 COGS &amp; OpEx'!$C$3:$BJ$3,0))*-1</f>
        <v>-243199181.25</v>
      </c>
      <c r="AG45" s="135" t="n">
        <f aca="false">INDEX('📦 COGS &amp; OpEx'!$C$32:$BJ$32,MATCH(AG5,'📦 COGS &amp; OpEx'!$C$3:$BJ$3,0))*-1</f>
        <v>-266416312.5</v>
      </c>
      <c r="AH45" s="135" t="n">
        <f aca="false">INDEX('📦 COGS &amp; OpEx'!$C$32:$BJ$32,MATCH(AH5,'📦 COGS &amp; OpEx'!$C$3:$BJ$3,0))*-1</f>
        <v>-257961768.75</v>
      </c>
      <c r="AI45" s="135" t="n">
        <f aca="false">INDEX('📦 COGS &amp; OpEx'!$C$32:$BJ$32,MATCH(AI5,'📦 COGS &amp; OpEx'!$C$3:$BJ$3,0))*-1</f>
        <v>-283765500</v>
      </c>
      <c r="AJ45" s="135" t="n">
        <f aca="false">INDEX('📦 COGS &amp; OpEx'!$C$32:$BJ$32,MATCH(AJ5,'📦 COGS &amp; OpEx'!$C$3:$BJ$3,0))*-1</f>
        <v>-282831131.25</v>
      </c>
      <c r="AK45" s="135" t="n">
        <f aca="false">INDEX('📦 COGS &amp; OpEx'!$C$32:$BJ$32,MATCH(AK5,'📦 COGS &amp; OpEx'!$C$3:$BJ$3,0))*-1</f>
        <v>-259368975</v>
      </c>
      <c r="AL45" s="135" t="n">
        <f aca="false">INDEX('📦 COGS &amp; OpEx'!$C$32:$BJ$32,MATCH(AL5,'📦 COGS &amp; OpEx'!$C$3:$BJ$3,0))*-1</f>
        <v>-245923312.5</v>
      </c>
      <c r="AM45" s="135" t="n">
        <f aca="false">INDEX('📦 COGS &amp; OpEx'!$C$32:$BJ$32,MATCH(AM5,'📦 COGS &amp; OpEx'!$C$3:$BJ$3,0))*-1</f>
        <v>-251548256.25</v>
      </c>
      <c r="AN45" s="135" t="n">
        <f aca="false">INDEX('📦 COGS &amp; OpEx'!$C$32:$BJ$32,MATCH(AN5,'📦 COGS &amp; OpEx'!$C$3:$BJ$3,0))*-1</f>
        <v>-250343887.5</v>
      </c>
      <c r="AO45" s="135" t="n">
        <f aca="false">INDEX('📦 COGS &amp; OpEx'!$C$32:$BJ$32,MATCH(AO5,'📦 COGS &amp; OpEx'!$C$3:$BJ$3,0))*-1</f>
        <v>-277996410</v>
      </c>
      <c r="AP45" s="135" t="n">
        <f aca="false">INDEX('📦 COGS &amp; OpEx'!$C$32:$BJ$32,MATCH(AP5,'📦 COGS &amp; OpEx'!$C$3:$BJ$3,0))*-1</f>
        <v>-283269510</v>
      </c>
      <c r="AQ45" s="135" t="n">
        <f aca="false">INDEX('📦 COGS &amp; OpEx'!$C$32:$BJ$32,MATCH(AQ5,'📦 COGS &amp; OpEx'!$C$3:$BJ$3,0))*-1</f>
        <v>-217172025</v>
      </c>
      <c r="AR45" s="135" t="n">
        <f aca="false">INDEX('📦 COGS &amp; OpEx'!$C$32:$BJ$32,MATCH(AR5,'📦 COGS &amp; OpEx'!$C$3:$BJ$3,0))*-1</f>
        <v>-247373718.75</v>
      </c>
      <c r="AS45" s="135" t="n">
        <f aca="false">INDEX('📦 COGS &amp; OpEx'!$C$32:$BJ$32,MATCH(AS5,'📦 COGS &amp; OpEx'!$C$3:$BJ$3,0))*-1</f>
        <v>-271306687.5</v>
      </c>
      <c r="AT45" s="135" t="n">
        <f aca="false">INDEX('📦 COGS &amp; OpEx'!$C$32:$BJ$32,MATCH(AT5,'📦 COGS &amp; OpEx'!$C$3:$BJ$3,0))*-1</f>
        <v>-262575731.25</v>
      </c>
      <c r="AU45" s="135" t="n">
        <f aca="false">INDEX('📦 COGS &amp; OpEx'!$C$32:$BJ$32,MATCH(AU5,'📦 COGS &amp; OpEx'!$C$3:$BJ$3,0))*-1</f>
        <v>-288868500</v>
      </c>
      <c r="AV45" s="135" t="n">
        <f aca="false">INDEX('📦 COGS &amp; OpEx'!$C$32:$BJ$32,MATCH(AV5,'📦 COGS &amp; OpEx'!$C$3:$BJ$3,0))*-1</f>
        <v>-287884518.75</v>
      </c>
      <c r="AW45" s="135" t="n">
        <f aca="false">INDEX('📦 COGS &amp; OpEx'!$C$32:$BJ$32,MATCH(AW5,'📦 COGS &amp; OpEx'!$C$3:$BJ$3,0))*-1</f>
        <v>-263763225</v>
      </c>
      <c r="AX45" s="135" t="n">
        <f aca="false">INDEX('📦 COGS &amp; OpEx'!$C$32:$BJ$32,MATCH(AX5,'📦 COGS &amp; OpEx'!$C$3:$BJ$3,0))*-1</f>
        <v>-249963187.5</v>
      </c>
      <c r="AY45" s="135" t="n">
        <f aca="false">INDEX('📦 COGS &amp; OpEx'!$C$32:$BJ$32,MATCH(AY5,'📦 COGS &amp; OpEx'!$C$3:$BJ$3,0))*-1</f>
        <v>-255722793.75</v>
      </c>
      <c r="AZ45" s="135" t="n">
        <f aca="false">INDEX('📦 COGS &amp; OpEx'!$C$32:$BJ$32,MATCH(AZ5,'📦 COGS &amp; OpEx'!$C$3:$BJ$3,0))*-1</f>
        <v>-254809012.5</v>
      </c>
      <c r="BA45" s="135" t="n">
        <f aca="false">INDEX('📦 COGS &amp; OpEx'!$C$32:$BJ$32,MATCH(BA5,'📦 COGS &amp; OpEx'!$C$3:$BJ$3,0))*-1</f>
        <v>-283269510</v>
      </c>
      <c r="BB45" s="135" t="n">
        <f aca="false">INDEX('📦 COGS &amp; OpEx'!$C$32:$BJ$32,MATCH(BB5,'📦 COGS &amp; OpEx'!$C$3:$BJ$3,0))*-1</f>
        <v>-281371194</v>
      </c>
      <c r="BC45" s="135" t="n">
        <f aca="false">INDEX('📦 COGS &amp; OpEx'!$C$32:$BJ$32,MATCH(BC5,'📦 COGS &amp; OpEx'!$C$3:$BJ$3,0))*-1</f>
        <v>-220774263.75</v>
      </c>
      <c r="BD45" s="135" t="n">
        <f aca="false">INDEX('📦 COGS &amp; OpEx'!$C$32:$BJ$32,MATCH(BD5,'📦 COGS &amp; OpEx'!$C$3:$BJ$3,0))*-1</f>
        <v>-245703903.75</v>
      </c>
      <c r="BE45" s="135" t="n">
        <f aca="false">INDEX('📦 COGS &amp; OpEx'!$C$32:$BJ$32,MATCH(BE5,'📦 COGS &amp; OpEx'!$C$3:$BJ$3,0))*-1</f>
        <v>-269350537.5</v>
      </c>
      <c r="BF45" s="135" t="n">
        <f aca="false">INDEX('📦 COGS &amp; OpEx'!$C$32:$BJ$32,MATCH(BF5,'📦 COGS &amp; OpEx'!$C$3:$BJ$3,0))*-1</f>
        <v>-260730146.25</v>
      </c>
      <c r="BG45" s="135" t="n">
        <f aca="false">INDEX('📦 COGS &amp; OpEx'!$C$32:$BJ$32,MATCH(BG5,'📦 COGS &amp; OpEx'!$C$3:$BJ$3,0))*-1</f>
        <v>-285806700</v>
      </c>
      <c r="BH45" s="135" t="n">
        <f aca="false">INDEX('📦 COGS &amp; OpEx'!$C$32:$BJ$32,MATCH(BH5,'📦 COGS &amp; OpEx'!$C$3:$BJ$3,0))*-1</f>
        <v>-284852486.25</v>
      </c>
      <c r="BI45" s="135" t="n">
        <f aca="false">INDEX('📦 COGS &amp; OpEx'!$C$32:$BJ$32,MATCH(BI5,'📦 COGS &amp; OpEx'!$C$3:$BJ$3,0))*-1</f>
        <v>-261126675</v>
      </c>
      <c r="BJ45" s="135" t="n">
        <f aca="false">INDEX('📦 COGS &amp; OpEx'!$C$32:$BJ$32,MATCH(BJ5,'📦 COGS &amp; OpEx'!$C$3:$BJ$3,0))*-1</f>
        <v>-247539262.5</v>
      </c>
    </row>
    <row r="46" customFormat="false" ht="13.8" hidden="false" customHeight="false" outlineLevel="0" collapsed="false">
      <c r="A46" s="132" t="s">
        <v>444</v>
      </c>
      <c r="B46" s="132"/>
      <c r="C46" s="135" t="n">
        <f aca="false">_xlfn.IFNA(INDEX('🏦 Loan Schedule'!$D$14:$D$49,MATCH(C5,'🏦 Loan Schedule'!$B$14:$B$49,0))*-1,0)</f>
        <v>-3386250</v>
      </c>
      <c r="D46" s="135" t="n">
        <f aca="false">_xlfn.IFNA(INDEX('🏦 Loan Schedule'!$D$14:$D$49,MATCH(D5,'🏦 Loan Schedule'!$B$14:$B$49,0))*-1,0)</f>
        <v>-3303965.03028028</v>
      </c>
      <c r="E46" s="135" t="n">
        <f aca="false">_xlfn.IFNA(INDEX('🏦 Loan Schedule'!$D$14:$D$49,MATCH(E5,'🏦 Loan Schedule'!$B$14:$B$49,0))*-1,0)</f>
        <v>-3221062.92328765</v>
      </c>
      <c r="F46" s="135" t="n">
        <f aca="false">_xlfn.IFNA(INDEX('🏦 Loan Schedule'!$D$14:$D$49,MATCH(F5,'🏦 Loan Schedule'!$B$14:$B$49,0))*-1,0)</f>
        <v>-3137539.05049259</v>
      </c>
      <c r="G46" s="135" t="n">
        <f aca="false">_xlfn.IFNA(INDEX('🏦 Loan Schedule'!$D$14:$D$49,MATCH(G5,'🏦 Loan Schedule'!$B$14:$B$49,0))*-1,0)</f>
        <v>-3053388.74865156</v>
      </c>
      <c r="H46" s="135" t="n">
        <f aca="false">_xlfn.IFNA(INDEX('🏦 Loan Schedule'!$D$14:$D$49,MATCH(H5,'🏦 Loan Schedule'!$B$14:$B$49,0))*-1,0)</f>
        <v>-2968607.31954672</v>
      </c>
      <c r="I46" s="135" t="n">
        <f aca="false">_xlfn.IFNA(INDEX('🏦 Loan Schedule'!$D$14:$D$49,MATCH(I5,'🏦 Loan Schedule'!$B$14:$B$49,0))*-1,0)</f>
        <v>-2883190.0297236</v>
      </c>
      <c r="J46" s="135" t="n">
        <f aca="false">_xlfn.IFNA(INDEX('🏦 Loan Schedule'!$D$14:$D$49,MATCH(J5,'🏦 Loan Schedule'!$B$14:$B$49,0))*-1,0)</f>
        <v>-2797132.1102268</v>
      </c>
      <c r="K46" s="135" t="n">
        <f aca="false">_xlfn.IFNA(INDEX('🏦 Loan Schedule'!$D$14:$D$49,MATCH(K5,'🏦 Loan Schedule'!$B$14:$B$49,0))*-1,0)</f>
        <v>-2710428.75633378</v>
      </c>
      <c r="L46" s="135" t="n">
        <f aca="false">_xlfn.IFNA(INDEX('🏦 Loan Schedule'!$D$14:$D$49,MATCH(L5,'🏦 Loan Schedule'!$B$14:$B$49,0))*-1,0)</f>
        <v>-2623075.12728655</v>
      </c>
      <c r="M46" s="135" t="n">
        <f aca="false">_xlfn.IFNA(INDEX('🏦 Loan Schedule'!$D$14:$D$49,MATCH(M5,'🏦 Loan Schedule'!$B$14:$B$49,0))*-1,0)</f>
        <v>-2535066.34602148</v>
      </c>
      <c r="N46" s="135" t="n">
        <f aca="false">_xlfn.IFNA(INDEX('🏦 Loan Schedule'!$D$14:$D$49,MATCH(N5,'🏦 Loan Schedule'!$B$14:$B$49,0))*-1,0)</f>
        <v>-2446397.49889692</v>
      </c>
      <c r="O46" s="135" t="n">
        <f aca="false">_xlfn.IFNA(INDEX('🏦 Loan Schedule'!$D$14:$D$49,MATCH(O5,'🏦 Loan Schedule'!$B$14:$B$49,0))*-1,0)</f>
        <v>-2357063.63541892</v>
      </c>
      <c r="P46" s="135" t="n">
        <f aca="false">_xlfn.IFNA(INDEX('🏦 Loan Schedule'!$D$14:$D$49,MATCH(P5,'🏦 Loan Schedule'!$B$14:$B$49,0))*-1,0)</f>
        <v>-2267059.76796484</v>
      </c>
      <c r="Q46" s="135" t="n">
        <f aca="false">_xlfn.IFNA(INDEX('🏦 Loan Schedule'!$D$14:$D$49,MATCH(Q5,'🏦 Loan Schedule'!$B$14:$B$49,0))*-1,0)</f>
        <v>-2176380.87150485</v>
      </c>
      <c r="R46" s="135" t="n">
        <f aca="false">_xlfn.IFNA(INDEX('🏦 Loan Schedule'!$D$14:$D$49,MATCH(R5,'🏦 Loan Schedule'!$B$14:$B$49,0))*-1,0)</f>
        <v>-2085021.88332141</v>
      </c>
      <c r="S46" s="135" t="n">
        <f aca="false">_xlfn.IFNA(INDEX('🏦 Loan Schedule'!$D$14:$D$49,MATCH(S5,'🏦 Loan Schedule'!$B$14:$B$49,0))*-1,0)</f>
        <v>-1992977.7027266</v>
      </c>
      <c r="T46" s="135" t="n">
        <f aca="false">_xlfn.IFNA(INDEX('🏦 Loan Schedule'!$D$14:$D$49,MATCH(T5,'🏦 Loan Schedule'!$B$14:$B$49,0))*-1,0)</f>
        <v>-1900243.19077732</v>
      </c>
      <c r="U46" s="135" t="n">
        <f aca="false">_xlfn.IFNA(INDEX('🏦 Loan Schedule'!$D$14:$D$49,MATCH(U5,'🏦 Loan Schedule'!$B$14:$B$49,0))*-1,0)</f>
        <v>-1806813.16998843</v>
      </c>
      <c r="V46" s="135" t="n">
        <f aca="false">_xlfn.IFNA(INDEX('🏦 Loan Schedule'!$D$14:$D$49,MATCH(V5,'🏦 Loan Schedule'!$B$14:$B$49,0))*-1,0)</f>
        <v>-1712682.42404362</v>
      </c>
      <c r="W46" s="135" t="n">
        <f aca="false">_xlfn.IFNA(INDEX('🏦 Loan Schedule'!$D$14:$D$49,MATCH(W5,'🏦 Loan Schedule'!$B$14:$B$49,0))*-1,0)</f>
        <v>-1617845.69750422</v>
      </c>
      <c r="X46" s="135" t="n">
        <f aca="false">_xlfn.IFNA(INDEX('🏦 Loan Schedule'!$D$14:$D$49,MATCH(X5,'🏦 Loan Schedule'!$B$14:$B$49,0))*-1,0)</f>
        <v>-1522297.69551578</v>
      </c>
      <c r="Y46" s="135" t="n">
        <f aca="false">_xlfn.IFNA(INDEX('🏦 Loan Schedule'!$D$14:$D$49,MATCH(Y5,'🏦 Loan Schedule'!$B$14:$B$49,0))*-1,0)</f>
        <v>-1426033.08351242</v>
      </c>
      <c r="Z46" s="135" t="n">
        <f aca="false">_xlfn.IFNA(INDEX('🏦 Loan Schedule'!$D$14:$D$49,MATCH(Z5,'🏦 Loan Schedule'!$B$14:$B$49,0))*-1,0)</f>
        <v>-1329046.48691904</v>
      </c>
      <c r="AA46" s="135" t="n">
        <f aca="false">_xlfn.IFNA(INDEX('🏦 Loan Schedule'!$D$14:$D$49,MATCH(AA5,'🏦 Loan Schedule'!$B$14:$B$49,0))*-1,0)</f>
        <v>-1231332.49085121</v>
      </c>
      <c r="AB46" s="135" t="n">
        <f aca="false">_xlfn.IFNA(INDEX('🏦 Loan Schedule'!$D$14:$D$49,MATCH(AB5,'🏦 Loan Schedule'!$B$14:$B$49,0))*-1,0)</f>
        <v>-1132885.63981287</v>
      </c>
      <c r="AC46" s="135" t="n">
        <f aca="false">_xlfn.IFNA(INDEX('🏦 Loan Schedule'!$D$14:$D$49,MATCH(AC5,'🏦 Loan Schedule'!$B$14:$B$49,0))*-1,0)</f>
        <v>-1033700.43739174</v>
      </c>
      <c r="AD46" s="135" t="n">
        <f aca="false">_xlfn.IFNA(INDEX('🏦 Loan Schedule'!$D$14:$D$49,MATCH(AD5,'🏦 Loan Schedule'!$B$14:$B$49,0))*-1,0)</f>
        <v>-933771.345952457</v>
      </c>
      <c r="AE46" s="135" t="n">
        <f aca="false">_xlfn.IFNA(INDEX('🏦 Loan Schedule'!$D$14:$D$49,MATCH(AE5,'🏦 Loan Schedule'!$B$14:$B$49,0))*-1,0)</f>
        <v>-833092.786327376</v>
      </c>
      <c r="AF46" s="135" t="n">
        <f aca="false">_xlfn.IFNA(INDEX('🏦 Loan Schedule'!$D$14:$D$49,MATCH(AF5,'🏦 Loan Schedule'!$B$14:$B$49,0))*-1,0)</f>
        <v>-731659.137505107</v>
      </c>
      <c r="AG46" s="135" t="n">
        <f aca="false">_xlfn.IFNA(INDEX('🏦 Loan Schedule'!$D$14:$D$49,MATCH(AG5,'🏦 Loan Schedule'!$B$14:$B$49,0))*-1,0)</f>
        <v>-629464.736316672</v>
      </c>
      <c r="AH46" s="135" t="n">
        <f aca="false">_xlfn.IFNA(INDEX('🏦 Loan Schedule'!$D$14:$D$49,MATCH(AH5,'🏦 Loan Schedule'!$B$14:$B$49,0))*-1,0)</f>
        <v>-526503.877119322</v>
      </c>
      <c r="AI46" s="135" t="n">
        <f aca="false">_xlfn.IFNA(INDEX('🏦 Loan Schedule'!$D$14:$D$49,MATCH(AI5,'🏦 Loan Schedule'!$B$14:$B$49,0))*-1,0)</f>
        <v>-422770.811477993</v>
      </c>
      <c r="AJ46" s="135" t="n">
        <f aca="false">_xlfn.IFNA(INDEX('🏦 Loan Schedule'!$D$14:$D$49,MATCH(AJ5,'🏦 Loan Schedule'!$B$14:$B$49,0))*-1,0)</f>
        <v>-318259.747844354</v>
      </c>
      <c r="AK46" s="135" t="n">
        <f aca="false">_xlfn.IFNA(INDEX('🏦 Loan Schedule'!$D$14:$D$49,MATCH(AK5,'🏦 Loan Schedule'!$B$14:$B$49,0))*-1,0)</f>
        <v>-212964.851233463</v>
      </c>
      <c r="AL46" s="135" t="n">
        <f aca="false">_xlfn.IFNA(INDEX('🏦 Loan Schedule'!$D$14:$D$49,MATCH(AL5,'🏦 Loan Schedule'!$B$14:$B$49,0))*-1,0)</f>
        <v>-106880.242897989</v>
      </c>
      <c r="AM46" s="135" t="n">
        <f aca="false">_xlfn.IFNA(INDEX('🏦 Loan Schedule'!$D$14:$D$49,MATCH(AM5,'🏦 Loan Schedule'!$B$14:$B$49,0))*-1,0)</f>
        <v>0</v>
      </c>
      <c r="AN46" s="135" t="n">
        <f aca="false">_xlfn.IFNA(INDEX('🏦 Loan Schedule'!$D$14:$D$49,MATCH(AN5,'🏦 Loan Schedule'!$B$14:$B$49,0))*-1,0)</f>
        <v>0</v>
      </c>
      <c r="AO46" s="135" t="n">
        <f aca="false">_xlfn.IFNA(INDEX('🏦 Loan Schedule'!$D$14:$D$49,MATCH(AO5,'🏦 Loan Schedule'!$B$14:$B$49,0))*-1,0)</f>
        <v>0</v>
      </c>
      <c r="AP46" s="135" t="n">
        <f aca="false">_xlfn.IFNA(INDEX('🏦 Loan Schedule'!$D$14:$D$49,MATCH(AP5,'🏦 Loan Schedule'!$B$14:$B$49,0))*-1,0)</f>
        <v>0</v>
      </c>
      <c r="AQ46" s="135" t="n">
        <f aca="false">_xlfn.IFNA(INDEX('🏦 Loan Schedule'!$D$14:$D$49,MATCH(AQ5,'🏦 Loan Schedule'!$B$14:$B$49,0))*-1,0)</f>
        <v>0</v>
      </c>
      <c r="AR46" s="135" t="n">
        <f aca="false">_xlfn.IFNA(INDEX('🏦 Loan Schedule'!$D$14:$D$49,MATCH(AR5,'🏦 Loan Schedule'!$B$14:$B$49,0))*-1,0)</f>
        <v>0</v>
      </c>
      <c r="AS46" s="135" t="n">
        <f aca="false">_xlfn.IFNA(INDEX('🏦 Loan Schedule'!$D$14:$D$49,MATCH(AS5,'🏦 Loan Schedule'!$B$14:$B$49,0))*-1,0)</f>
        <v>0</v>
      </c>
      <c r="AT46" s="135" t="n">
        <f aca="false">_xlfn.IFNA(INDEX('🏦 Loan Schedule'!$D$14:$D$49,MATCH(AT5,'🏦 Loan Schedule'!$B$14:$B$49,0))*-1,0)</f>
        <v>0</v>
      </c>
      <c r="AU46" s="135" t="n">
        <f aca="false">_xlfn.IFNA(INDEX('🏦 Loan Schedule'!$D$14:$D$49,MATCH(AU5,'🏦 Loan Schedule'!$B$14:$B$49,0))*-1,0)</f>
        <v>0</v>
      </c>
      <c r="AV46" s="135" t="n">
        <f aca="false">_xlfn.IFNA(INDEX('🏦 Loan Schedule'!$D$14:$D$49,MATCH(AV5,'🏦 Loan Schedule'!$B$14:$B$49,0))*-1,0)</f>
        <v>0</v>
      </c>
      <c r="AW46" s="135" t="n">
        <f aca="false">_xlfn.IFNA(INDEX('🏦 Loan Schedule'!$D$14:$D$49,MATCH(AW5,'🏦 Loan Schedule'!$B$14:$B$49,0))*-1,0)</f>
        <v>0</v>
      </c>
      <c r="AX46" s="135" t="n">
        <f aca="false">_xlfn.IFNA(INDEX('🏦 Loan Schedule'!$D$14:$D$49,MATCH(AX5,'🏦 Loan Schedule'!$B$14:$B$49,0))*-1,0)</f>
        <v>0</v>
      </c>
      <c r="AY46" s="135" t="n">
        <f aca="false">_xlfn.IFNA(INDEX('🏦 Loan Schedule'!$D$14:$D$49,MATCH(AY5,'🏦 Loan Schedule'!$B$14:$B$49,0))*-1,0)</f>
        <v>0</v>
      </c>
      <c r="AZ46" s="135" t="n">
        <f aca="false">_xlfn.IFNA(INDEX('🏦 Loan Schedule'!$D$14:$D$49,MATCH(AZ5,'🏦 Loan Schedule'!$B$14:$B$49,0))*-1,0)</f>
        <v>0</v>
      </c>
      <c r="BA46" s="135" t="n">
        <f aca="false">_xlfn.IFNA(INDEX('🏦 Loan Schedule'!$D$14:$D$49,MATCH(BA5,'🏦 Loan Schedule'!$B$14:$B$49,0))*-1,0)</f>
        <v>0</v>
      </c>
      <c r="BB46" s="135" t="n">
        <f aca="false">_xlfn.IFNA(INDEX('🏦 Loan Schedule'!$D$14:$D$49,MATCH(BB5,'🏦 Loan Schedule'!$B$14:$B$49,0))*-1,0)</f>
        <v>0</v>
      </c>
      <c r="BC46" s="135" t="n">
        <f aca="false">_xlfn.IFNA(INDEX('🏦 Loan Schedule'!$D$14:$D$49,MATCH(BC5,'🏦 Loan Schedule'!$B$14:$B$49,0))*-1,0)</f>
        <v>0</v>
      </c>
      <c r="BD46" s="135" t="n">
        <f aca="false">_xlfn.IFNA(INDEX('🏦 Loan Schedule'!$D$14:$D$49,MATCH(BD5,'🏦 Loan Schedule'!$B$14:$B$49,0))*-1,0)</f>
        <v>0</v>
      </c>
      <c r="BE46" s="135" t="n">
        <f aca="false">_xlfn.IFNA(INDEX('🏦 Loan Schedule'!$D$14:$D$49,MATCH(BE5,'🏦 Loan Schedule'!$B$14:$B$49,0))*-1,0)</f>
        <v>0</v>
      </c>
      <c r="BF46" s="135" t="n">
        <f aca="false">_xlfn.IFNA(INDEX('🏦 Loan Schedule'!$D$14:$D$49,MATCH(BF5,'🏦 Loan Schedule'!$B$14:$B$49,0))*-1,0)</f>
        <v>0</v>
      </c>
      <c r="BG46" s="135" t="n">
        <f aca="false">_xlfn.IFNA(INDEX('🏦 Loan Schedule'!$D$14:$D$49,MATCH(BG5,'🏦 Loan Schedule'!$B$14:$B$49,0))*-1,0)</f>
        <v>0</v>
      </c>
      <c r="BH46" s="135" t="n">
        <f aca="false">_xlfn.IFNA(INDEX('🏦 Loan Schedule'!$D$14:$D$49,MATCH(BH5,'🏦 Loan Schedule'!$B$14:$B$49,0))*-1,0)</f>
        <v>0</v>
      </c>
      <c r="BI46" s="135" t="n">
        <f aca="false">_xlfn.IFNA(INDEX('🏦 Loan Schedule'!$D$14:$D$49,MATCH(BI5,'🏦 Loan Schedule'!$B$14:$B$49,0))*-1,0)</f>
        <v>0</v>
      </c>
      <c r="BJ46" s="135" t="n">
        <f aca="false">_xlfn.IFNA(INDEX('🏦 Loan Schedule'!$D$14:$D$49,MATCH(BJ5,'🏦 Loan Schedule'!$B$14:$B$49,0))*-1,0)</f>
        <v>0</v>
      </c>
    </row>
    <row r="47" customFormat="false" ht="13.8" hidden="false" customHeight="false" outlineLevel="0" collapsed="false">
      <c r="A47" s="132" t="s">
        <v>445</v>
      </c>
      <c r="B47" s="132"/>
      <c r="C47" s="135" t="n">
        <f aca="false">C19</f>
        <v>-10971329.2959632</v>
      </c>
      <c r="D47" s="135" t="n">
        <f aca="false">D19</f>
        <v>-11053614.2656829</v>
      </c>
      <c r="E47" s="135" t="n">
        <f aca="false">E19</f>
        <v>-11136516.3726756</v>
      </c>
      <c r="F47" s="135" t="n">
        <f aca="false">F19</f>
        <v>-11220040.2454706</v>
      </c>
      <c r="G47" s="135" t="n">
        <f aca="false">G19</f>
        <v>-11304190.5473117</v>
      </c>
      <c r="H47" s="135" t="n">
        <f aca="false">H19</f>
        <v>-11388971.9764165</v>
      </c>
      <c r="I47" s="135" t="n">
        <f aca="false">I19</f>
        <v>-11474389.2662396</v>
      </c>
      <c r="J47" s="135" t="n">
        <f aca="false">J19</f>
        <v>-11560447.1857364</v>
      </c>
      <c r="K47" s="135" t="n">
        <f aca="false">K19</f>
        <v>-11647150.5396294</v>
      </c>
      <c r="L47" s="135" t="n">
        <f aca="false">L19</f>
        <v>-11734504.1686767</v>
      </c>
      <c r="M47" s="135" t="n">
        <f aca="false">M19</f>
        <v>-11822512.9499417</v>
      </c>
      <c r="N47" s="135" t="n">
        <f aca="false">N19</f>
        <v>-11911181.7970663</v>
      </c>
      <c r="O47" s="135" t="n">
        <f aca="false">O19</f>
        <v>-12000515.6605443</v>
      </c>
      <c r="P47" s="135" t="n">
        <f aca="false">P19</f>
        <v>-12090519.5279984</v>
      </c>
      <c r="Q47" s="135" t="n">
        <f aca="false">Q19</f>
        <v>-12181198.4244584</v>
      </c>
      <c r="R47" s="135" t="n">
        <f aca="false">R19</f>
        <v>-12272557.4126418</v>
      </c>
      <c r="S47" s="135" t="n">
        <f aca="false">S19</f>
        <v>-12364601.5932366</v>
      </c>
      <c r="T47" s="135" t="n">
        <f aca="false">T19</f>
        <v>-12457336.1051859</v>
      </c>
      <c r="U47" s="135" t="n">
        <f aca="false">U19</f>
        <v>-12550766.1259748</v>
      </c>
      <c r="V47" s="135" t="n">
        <f aca="false">V19</f>
        <v>-12644896.8719196</v>
      </c>
      <c r="W47" s="135" t="n">
        <f aca="false">W19</f>
        <v>-12739733.598459</v>
      </c>
      <c r="X47" s="135" t="n">
        <f aca="false">X19</f>
        <v>-12835281.6004474</v>
      </c>
      <c r="Y47" s="135" t="n">
        <f aca="false">Y19</f>
        <v>-12931546.2124508</v>
      </c>
      <c r="Z47" s="135" t="n">
        <f aca="false">Z19</f>
        <v>-13028532.8090442</v>
      </c>
      <c r="AA47" s="135" t="n">
        <f aca="false">AA19</f>
        <v>-13126246.805112</v>
      </c>
      <c r="AB47" s="135" t="n">
        <f aca="false">AB19</f>
        <v>-13224693.6561503</v>
      </c>
      <c r="AC47" s="135" t="n">
        <f aca="false">AC19</f>
        <v>-13323878.8585715</v>
      </c>
      <c r="AD47" s="135" t="n">
        <f aca="false">AD19</f>
        <v>-13423807.9500108</v>
      </c>
      <c r="AE47" s="135" t="n">
        <f aca="false">AE19</f>
        <v>-13524486.5096358</v>
      </c>
      <c r="AF47" s="135" t="n">
        <f aca="false">AF19</f>
        <v>-13625920.1584581</v>
      </c>
      <c r="AG47" s="135" t="n">
        <f aca="false">AG19</f>
        <v>-13728114.5596465</v>
      </c>
      <c r="AH47" s="135" t="n">
        <f aca="false">AH19</f>
        <v>-13831075.4188439</v>
      </c>
      <c r="AI47" s="135" t="n">
        <f aca="false">AI19</f>
        <v>-13934808.4844852</v>
      </c>
      <c r="AJ47" s="135" t="n">
        <f aca="false">AJ19</f>
        <v>-14039319.5481189</v>
      </c>
      <c r="AK47" s="135" t="n">
        <f aca="false">AK19</f>
        <v>-14144614.4447298</v>
      </c>
      <c r="AL47" s="135" t="n">
        <f aca="false">AL19</f>
        <v>-14250699.0530652</v>
      </c>
      <c r="AM47" s="135" t="n">
        <f aca="false">AM19</f>
        <v>-14357579.2959632</v>
      </c>
      <c r="AN47" s="135" t="n">
        <f aca="false">AN19</f>
        <v>-0</v>
      </c>
      <c r="AO47" s="135" t="n">
        <f aca="false">AO19</f>
        <v>-0</v>
      </c>
      <c r="AP47" s="135" t="n">
        <f aca="false">AP19</f>
        <v>-0</v>
      </c>
      <c r="AQ47" s="135" t="n">
        <f aca="false">AQ19</f>
        <v>-0</v>
      </c>
      <c r="AR47" s="135" t="n">
        <f aca="false">AR19</f>
        <v>-0</v>
      </c>
      <c r="AS47" s="135" t="n">
        <f aca="false">AS19</f>
        <v>-0</v>
      </c>
      <c r="AT47" s="135" t="n">
        <f aca="false">AT19</f>
        <v>-0</v>
      </c>
      <c r="AU47" s="135" t="n">
        <f aca="false">AU19</f>
        <v>-0</v>
      </c>
      <c r="AV47" s="135" t="n">
        <f aca="false">AV19</f>
        <v>-0</v>
      </c>
      <c r="AW47" s="135" t="n">
        <f aca="false">AW19</f>
        <v>-0</v>
      </c>
      <c r="AX47" s="135" t="n">
        <f aca="false">AX19</f>
        <v>-0</v>
      </c>
      <c r="AY47" s="135" t="n">
        <f aca="false">AY19</f>
        <v>-0</v>
      </c>
      <c r="AZ47" s="135" t="n">
        <f aca="false">AZ19</f>
        <v>-0</v>
      </c>
      <c r="BA47" s="135" t="n">
        <f aca="false">BA19</f>
        <v>-0</v>
      </c>
      <c r="BB47" s="135" t="n">
        <f aca="false">BB19</f>
        <v>-0</v>
      </c>
      <c r="BC47" s="135" t="n">
        <f aca="false">BC19</f>
        <v>-0</v>
      </c>
      <c r="BD47" s="135" t="n">
        <f aca="false">BD19</f>
        <v>-0</v>
      </c>
      <c r="BE47" s="135" t="n">
        <f aca="false">BE19</f>
        <v>-0</v>
      </c>
      <c r="BF47" s="135" t="n">
        <f aca="false">BF19</f>
        <v>-0</v>
      </c>
      <c r="BG47" s="135" t="n">
        <f aca="false">BG19</f>
        <v>-0</v>
      </c>
      <c r="BH47" s="135" t="n">
        <f aca="false">BH19</f>
        <v>-0</v>
      </c>
      <c r="BI47" s="135" t="n">
        <f aca="false">BI19</f>
        <v>-0</v>
      </c>
      <c r="BJ47" s="135" t="n">
        <f aca="false">BJ19</f>
        <v>-0</v>
      </c>
    </row>
    <row r="48" customFormat="false" ht="13.8" hidden="false" customHeight="false" outlineLevel="0" collapsed="false">
      <c r="A48" s="132" t="s">
        <v>446</v>
      </c>
      <c r="B48" s="132"/>
      <c r="C48" s="135" t="n">
        <f aca="false">INDEX('📊 P&amp;L Detail'!$C$31:$BJ$31,MATCH(C5,'📊 P&amp;L Detail'!$C$4:$BJ$4,0))*-1</f>
        <v>-0</v>
      </c>
      <c r="D48" s="135" t="n">
        <f aca="false">INDEX('📊 P&amp;L Detail'!$C$31:$BJ$31,MATCH(D5,'📊 P&amp;L Detail'!$C$4:$BJ$4,0))*-1</f>
        <v>-0</v>
      </c>
      <c r="E48" s="135" t="n">
        <f aca="false">INDEX('📊 P&amp;L Detail'!$C$31:$BJ$31,MATCH(E5,'📊 P&amp;L Detail'!$C$4:$BJ$4,0))*-1</f>
        <v>-0</v>
      </c>
      <c r="F48" s="135" t="n">
        <f aca="false">INDEX('📊 P&amp;L Detail'!$C$31:$BJ$31,MATCH(F5,'📊 P&amp;L Detail'!$C$4:$BJ$4,0))*-1</f>
        <v>-1779330.59495074</v>
      </c>
      <c r="G48" s="135" t="n">
        <f aca="false">INDEX('📊 P&amp;L Detail'!$C$31:$BJ$31,MATCH(G5,'📊 P&amp;L Detail'!$C$4:$BJ$4,0))*-1</f>
        <v>-1000113.15638484</v>
      </c>
      <c r="H48" s="135" t="n">
        <f aca="false">INDEX('📊 P&amp;L Detail'!$C$31:$BJ$31,MATCH(H5,'📊 P&amp;L Detail'!$C$4:$BJ$4,0))*-1</f>
        <v>-5024463.01804533</v>
      </c>
      <c r="I48" s="135" t="n">
        <f aca="false">INDEX('📊 P&amp;L Detail'!$C$31:$BJ$31,MATCH(I5,'📊 P&amp;L Detail'!$C$4:$BJ$4,0))*-1</f>
        <v>-10014198.1845276</v>
      </c>
      <c r="J48" s="135" t="n">
        <f aca="false">INDEX('📊 P&amp;L Detail'!$C$31:$BJ$31,MATCH(J5,'📊 P&amp;L Detail'!$C$4:$BJ$4,0))*-1</f>
        <v>-10945512.1014773</v>
      </c>
      <c r="K48" s="135" t="n">
        <f aca="false">INDEX('📊 P&amp;L Detail'!$C$31:$BJ$31,MATCH(K5,'📊 P&amp;L Detail'!$C$4:$BJ$4,0))*-1</f>
        <v>-12431732.1243666</v>
      </c>
      <c r="L48" s="135" t="n">
        <f aca="false">INDEX('📊 P&amp;L Detail'!$C$31:$BJ$31,MATCH(L5,'📊 P&amp;L Detail'!$C$4:$BJ$4,0))*-1</f>
        <v>-13840977.1747713</v>
      </c>
      <c r="M48" s="135" t="n">
        <f aca="false">INDEX('📊 P&amp;L Detail'!$C$31:$BJ$31,MATCH(M5,'📊 P&amp;L Detail'!$C$4:$BJ$4,0))*-1</f>
        <v>-10686179.6153979</v>
      </c>
      <c r="N48" s="135" t="n">
        <f aca="false">INDEX('📊 P&amp;L Detail'!$C$31:$BJ$31,MATCH(N5,'📊 P&amp;L Detail'!$C$4:$BJ$4,0))*-1</f>
        <v>-9056557.12511031</v>
      </c>
      <c r="O48" s="135" t="n">
        <f aca="false">INDEX('📊 P&amp;L Detail'!$C$31:$BJ$31,MATCH(O5,'📊 P&amp;L Detail'!$C$4:$BJ$4,0))*-1</f>
        <v>-9649447.07395811</v>
      </c>
      <c r="P48" s="135" t="n">
        <f aca="false">INDEX('📊 P&amp;L Detail'!$C$31:$BJ$31,MATCH(P5,'📊 P&amp;L Detail'!$C$4:$BJ$4,0))*-1</f>
        <v>-12380640.8982035</v>
      </c>
      <c r="Q48" s="135" t="n">
        <f aca="false">INDEX('📊 P&amp;L Detail'!$C$31:$BJ$31,MATCH(Q5,'📊 P&amp;L Detail'!$C$4:$BJ$4,0))*-1</f>
        <v>-16434224.4128495</v>
      </c>
      <c r="R48" s="135" t="n">
        <f aca="false">INDEX('📊 P&amp;L Detail'!$C$31:$BJ$31,MATCH(R5,'📊 P&amp;L Detail'!$C$4:$BJ$4,0))*-1</f>
        <v>-16568910.3116679</v>
      </c>
      <c r="S48" s="135" t="n">
        <f aca="false">INDEX('📊 P&amp;L Detail'!$C$31:$BJ$31,MATCH(S5,'📊 P&amp;L Detail'!$C$4:$BJ$4,0))*-1</f>
        <v>-9793824.72972734</v>
      </c>
      <c r="T48" s="135" t="n">
        <f aca="false">INDEX('📊 P&amp;L Detail'!$C$31:$BJ$31,MATCH(T5,'📊 P&amp;L Detail'!$C$4:$BJ$4,0))*-1</f>
        <v>-14429497.5559223</v>
      </c>
      <c r="U48" s="135" t="n">
        <f aca="false">INDEX('📊 P&amp;L Detail'!$C$31:$BJ$31,MATCH(U5,'📊 P&amp;L Detail'!$C$4:$BJ$4,0))*-1</f>
        <v>-18880087.4330012</v>
      </c>
      <c r="V48" s="135" t="n">
        <f aca="false">INDEX('📊 P&amp;L Detail'!$C$31:$BJ$31,MATCH(V5,'📊 P&amp;L Detail'!$C$4:$BJ$4,0))*-1</f>
        <v>-17123514.8825956</v>
      </c>
      <c r="W48" s="135" t="n">
        <f aca="false">INDEX('📊 P&amp;L Detail'!$C$31:$BJ$31,MATCH(W5,'📊 P&amp;L Detail'!$C$4:$BJ$4,0))*-1</f>
        <v>-19172865.4302496</v>
      </c>
      <c r="X48" s="135" t="n">
        <f aca="false">INDEX('📊 P&amp;L Detail'!$C$31:$BJ$31,MATCH(X5,'📊 P&amp;L Detail'!$C$4:$BJ$4,0))*-1</f>
        <v>-18807137.1054484</v>
      </c>
      <c r="Y48" s="135" t="n">
        <f aca="false">INDEX('📊 P&amp;L Detail'!$C$31:$BJ$31,MATCH(Y5,'📊 P&amp;L Detail'!$C$4:$BJ$4,0))*-1</f>
        <v>-14935699.1916488</v>
      </c>
      <c r="Z48" s="135" t="n">
        <f aca="false">INDEX('📊 P&amp;L Detail'!$C$31:$BJ$31,MATCH(Z5,'📊 P&amp;L Detail'!$C$4:$BJ$4,0))*-1</f>
        <v>-12941964.1013081</v>
      </c>
      <c r="AA48" s="135" t="n">
        <f aca="false">INDEX('📊 P&amp;L Detail'!$C$31:$BJ$31,MATCH(AA5,'📊 P&amp;L Detail'!$C$4:$BJ$4,0))*-1</f>
        <v>-13661481.1259149</v>
      </c>
      <c r="AB48" s="135" t="n">
        <f aca="false">INDEX('📊 P&amp;L Detail'!$C$31:$BJ$31,MATCH(AB5,'📊 P&amp;L Detail'!$C$4:$BJ$4,0))*-1</f>
        <v>-16537122.6860187</v>
      </c>
      <c r="AC48" s="135" t="n">
        <f aca="false">INDEX('📊 P&amp;L Detail'!$C$31:$BJ$31,MATCH(AC5,'📊 P&amp;L Detail'!$C$4:$BJ$4,0))*-1</f>
        <v>-21415228.9562608</v>
      </c>
      <c r="AD48" s="135" t="n">
        <f aca="false">INDEX('📊 P&amp;L Detail'!$C$31:$BJ$31,MATCH(AD5,'📊 P&amp;L Detail'!$C$4:$BJ$4,0))*-1</f>
        <v>-21826981.8654048</v>
      </c>
      <c r="AE48" s="135" t="n">
        <f aca="false">INDEX('📊 P&amp;L Detail'!$C$31:$BJ$31,MATCH(AE5,'📊 P&amp;L Detail'!$C$4:$BJ$4,0))*-1</f>
        <v>-10166853.2213673</v>
      </c>
      <c r="AF48" s="135" t="n">
        <f aca="false">INDEX('📊 P&amp;L Detail'!$C$31:$BJ$31,MATCH(AF5,'📊 P&amp;L Detail'!$C$4:$BJ$4,0))*-1</f>
        <v>-14864415.9612495</v>
      </c>
      <c r="AG48" s="135" t="n">
        <f aca="false">INDEX('📊 P&amp;L Detail'!$C$31:$BJ$31,MATCH(AG5,'📊 P&amp;L Detail'!$C$4:$BJ$4,0))*-1</f>
        <v>-19370422.2763683</v>
      </c>
      <c r="AH48" s="135" t="n">
        <f aca="false">INDEX('📊 P&amp;L Detail'!$C$31:$BJ$31,MATCH(AH5,'📊 P&amp;L Detail'!$C$4:$BJ$4,0))*-1</f>
        <v>-17593672.7372881</v>
      </c>
      <c r="AI48" s="135" t="n">
        <f aca="false">INDEX('📊 P&amp;L Detail'!$C$31:$BJ$31,MATCH(AI5,'📊 P&amp;L Detail'!$C$4:$BJ$4,0))*-1</f>
        <v>-19681172.9188522</v>
      </c>
      <c r="AJ48" s="135" t="n">
        <f aca="false">INDEX('📊 P&amp;L Detail'!$C$31:$BJ$31,MATCH(AJ5,'📊 P&amp;L Detail'!$C$4:$BJ$4,0))*-1</f>
        <v>-19312560.9002156</v>
      </c>
      <c r="AK48" s="135" t="n">
        <f aca="false">INDEX('📊 P&amp;L Detail'!$C$31:$BJ$31,MATCH(AK5,'📊 P&amp;L Detail'!$C$4:$BJ$4,0))*-1</f>
        <v>-15391806.0148767</v>
      </c>
      <c r="AL48" s="135" t="n">
        <f aca="false">INDEX('📊 P&amp;L Detail'!$C$31:$BJ$31,MATCH(AL5,'📊 P&amp;L Detail'!$C$4:$BJ$4,0))*-1</f>
        <v>-13371980.7257102</v>
      </c>
      <c r="AM48" s="135" t="n">
        <f aca="false">INDEX('📊 P&amp;L Detail'!$C$31:$BJ$31,MATCH(AM5,'📊 P&amp;L Detail'!$C$4:$BJ$4,0))*-1</f>
        <v>-12677604.4696935</v>
      </c>
      <c r="AN48" s="135" t="n">
        <f aca="false">INDEX('📊 P&amp;L Detail'!$C$31:$BJ$31,MATCH(AN5,'📊 P&amp;L Detail'!$C$4:$BJ$4,0))*-1</f>
        <v>-15554853.3204037</v>
      </c>
      <c r="AO48" s="135" t="n">
        <f aca="false">INDEX('📊 P&amp;L Detail'!$C$31:$BJ$31,MATCH(AO5,'📊 P&amp;L Detail'!$C$4:$BJ$4,0))*-1</f>
        <v>-21920359</v>
      </c>
      <c r="AP48" s="135" t="n">
        <f aca="false">INDEX('📊 P&amp;L Detail'!$C$31:$BJ$31,MATCH(AP5,'📊 P&amp;L Detail'!$C$4:$BJ$4,0))*-1</f>
        <v>-21393049</v>
      </c>
      <c r="AQ48" s="135" t="n">
        <f aca="false">INDEX('📊 P&amp;L Detail'!$C$31:$BJ$31,MATCH(AQ5,'📊 P&amp;L Detail'!$C$4:$BJ$4,0))*-1</f>
        <v>-9912797.5</v>
      </c>
      <c r="AR48" s="135" t="n">
        <f aca="false">INDEX('📊 P&amp;L Detail'!$C$31:$BJ$31,MATCH(AR5,'📊 P&amp;L Detail'!$C$4:$BJ$4,0))*-1</f>
        <v>-14520128.125</v>
      </c>
      <c r="AS48" s="135" t="n">
        <f aca="false">INDEX('📊 P&amp;L Detail'!$C$31:$BJ$31,MATCH(AS5,'📊 P&amp;L Detail'!$C$4:$BJ$4,0))*-1</f>
        <v>-18944331.25</v>
      </c>
      <c r="AT48" s="135" t="n">
        <f aca="false">INDEX('📊 P&amp;L Detail'!$C$31:$BJ$31,MATCH(AT5,'📊 P&amp;L Detail'!$C$4:$BJ$4,0))*-1</f>
        <v>-17184926.875</v>
      </c>
      <c r="AU48" s="135" t="n">
        <f aca="false">INDEX('📊 P&amp;L Detail'!$C$31:$BJ$31,MATCH(AU5,'📊 P&amp;L Detail'!$C$4:$BJ$4,0))*-1</f>
        <v>-19213150</v>
      </c>
      <c r="AV48" s="135" t="n">
        <f aca="false">INDEX('📊 P&amp;L Detail'!$C$31:$BJ$31,MATCH(AV5,'📊 P&amp;L Detail'!$C$4:$BJ$4,0))*-1</f>
        <v>-18839048.125</v>
      </c>
      <c r="AW48" s="135" t="n">
        <f aca="false">INDEX('📊 P&amp;L Detail'!$C$31:$BJ$31,MATCH(AW5,'📊 P&amp;L Detail'!$C$4:$BJ$4,0))*-1</f>
        <v>-14973677.5</v>
      </c>
      <c r="AX48" s="135" t="n">
        <f aca="false">INDEX('📊 P&amp;L Detail'!$C$31:$BJ$31,MATCH(AX5,'📊 P&amp;L Detail'!$C$4:$BJ$4,0))*-1</f>
        <v>-12978681.25</v>
      </c>
      <c r="AY48" s="135" t="n">
        <f aca="false">INDEX('📊 P&amp;L Detail'!$C$31:$BJ$31,MATCH(AY5,'📊 P&amp;L Detail'!$C$4:$BJ$4,0))*-1</f>
        <v>-13685220.625</v>
      </c>
      <c r="AZ48" s="135" t="n">
        <f aca="false">INDEX('📊 P&amp;L Detail'!$C$31:$BJ$31,MATCH(AZ5,'📊 P&amp;L Detail'!$C$4:$BJ$4,0))*-1</f>
        <v>-16544098.75</v>
      </c>
      <c r="BA48" s="135" t="n">
        <f aca="false">INDEX('📊 P&amp;L Detail'!$C$31:$BJ$31,MATCH(BA5,'📊 P&amp;L Detail'!$C$4:$BJ$4,0))*-1</f>
        <v>-21393049</v>
      </c>
      <c r="BB48" s="135" t="n">
        <f aca="false">INDEX('📊 P&amp;L Detail'!$C$31:$BJ$31,MATCH(BB5,'📊 P&amp;L Detail'!$C$4:$BJ$4,0))*-1</f>
        <v>-21582880.6</v>
      </c>
      <c r="BC48" s="135" t="n">
        <f aca="false">INDEX('📊 P&amp;L Detail'!$C$31:$BJ$31,MATCH(BC5,'📊 P&amp;L Detail'!$C$4:$BJ$4,0))*-1</f>
        <v>-10700073.625</v>
      </c>
      <c r="BD48" s="135" t="n">
        <f aca="false">INDEX('📊 P&amp;L Detail'!$C$31:$BJ$31,MATCH(BD5,'📊 P&amp;L Detail'!$C$4:$BJ$4,0))*-1</f>
        <v>-14687109.625</v>
      </c>
      <c r="BE48" s="135" t="n">
        <f aca="false">INDEX('📊 P&amp;L Detail'!$C$31:$BJ$31,MATCH(BE5,'📊 P&amp;L Detail'!$C$4:$BJ$4,0))*-1</f>
        <v>-19139946.25</v>
      </c>
      <c r="BF48" s="135" t="n">
        <f aca="false">INDEX('📊 P&amp;L Detail'!$C$31:$BJ$31,MATCH(BF5,'📊 P&amp;L Detail'!$C$4:$BJ$4,0))*-1</f>
        <v>-17369485.375</v>
      </c>
      <c r="BG48" s="135" t="n">
        <f aca="false">INDEX('📊 P&amp;L Detail'!$C$31:$BJ$31,MATCH(BG5,'📊 P&amp;L Detail'!$C$4:$BJ$4,0))*-1</f>
        <v>-19519330</v>
      </c>
      <c r="BH48" s="135" t="n">
        <f aca="false">INDEX('📊 P&amp;L Detail'!$C$31:$BJ$31,MATCH(BH5,'📊 P&amp;L Detail'!$C$4:$BJ$4,0))*-1</f>
        <v>-19142251.375</v>
      </c>
      <c r="BI48" s="135" t="n">
        <f aca="false">INDEX('📊 P&amp;L Detail'!$C$31:$BJ$31,MATCH(BI5,'📊 P&amp;L Detail'!$C$4:$BJ$4,0))*-1</f>
        <v>-15237332.5</v>
      </c>
      <c r="BJ48" s="135" t="n">
        <f aca="false">INDEX('📊 P&amp;L Detail'!$C$31:$BJ$31,MATCH(BJ5,'📊 P&amp;L Detail'!$C$4:$BJ$4,0))*-1</f>
        <v>-13221073.75</v>
      </c>
    </row>
    <row r="49" customFormat="false" ht="13.8" hidden="false" customHeight="false" outlineLevel="0" collapsed="false">
      <c r="A49" s="133" t="s">
        <v>447</v>
      </c>
      <c r="B49" s="132"/>
      <c r="C49" s="135" t="n">
        <f aca="false">SUM(C43:C48)</f>
        <v>-719732579.295963</v>
      </c>
      <c r="D49" s="135" t="n">
        <f aca="false">D45+D46+D47+D48</f>
        <v>-74732579.2959632</v>
      </c>
      <c r="E49" s="135" t="n">
        <f aca="false">E45+E46+E47+E48</f>
        <v>-208763845.545963</v>
      </c>
      <c r="F49" s="135" t="n">
        <f aca="false">F45+F46+F47+F48</f>
        <v>-241306064.890914</v>
      </c>
      <c r="G49" s="135" t="n">
        <f aca="false">G45+G46+G47+G48</f>
        <v>-191421922.139848</v>
      </c>
      <c r="H49" s="135" t="n">
        <f aca="false">H45+H46+H47+H48</f>
        <v>-226218804.814009</v>
      </c>
      <c r="I49" s="135" t="n">
        <f aca="false">I45+I46+I47+I48</f>
        <v>-265659105.605491</v>
      </c>
      <c r="J49" s="135" t="n">
        <f aca="false">J45+J46+J47+J48</f>
        <v>-274238338.272441</v>
      </c>
      <c r="K49" s="135" t="n">
        <f aca="false">K45+K46+K47+K48</f>
        <v>-299761561.42033</v>
      </c>
      <c r="L49" s="135" t="n">
        <f aca="false">L45+L46+L47+L48</f>
        <v>-283228209.595735</v>
      </c>
      <c r="M49" s="135" t="n">
        <f aca="false">M45+M46+M47+M48</f>
        <v>-259396896.411361</v>
      </c>
      <c r="N49" s="135" t="n">
        <f aca="false">N45+N46+N47+N48</f>
        <v>-246027167.671074</v>
      </c>
      <c r="O49" s="135" t="n">
        <f aca="false">O45+O46+O47+O48</f>
        <v>-251467991.994921</v>
      </c>
      <c r="P49" s="135" t="n">
        <f aca="false">P45+P46+P47+P48</f>
        <v>-250039751.444167</v>
      </c>
      <c r="Q49" s="135" t="n">
        <f aca="false">Q45+Q46+Q47+Q48</f>
        <v>-277773178.708813</v>
      </c>
      <c r="R49" s="135" t="n">
        <f aca="false">R45+R46+R47+R48</f>
        <v>-276652364.607631</v>
      </c>
      <c r="S49" s="135" t="n">
        <f aca="false">S45+S46+S47+S48</f>
        <v>-240520179.025691</v>
      </c>
      <c r="T49" s="135" t="n">
        <f aca="false">T45+T46+T47+T48</f>
        <v>-275166858.101886</v>
      </c>
      <c r="U49" s="135" t="n">
        <f aca="false">U45+U46+U47+U48</f>
        <v>-303379979.228964</v>
      </c>
      <c r="V49" s="135" t="n">
        <f aca="false">V45+V46+V47+V48</f>
        <v>-292958262.928559</v>
      </c>
      <c r="W49" s="135" t="n">
        <f aca="false">W45+W46+W47+W48</f>
        <v>-321183944.726213</v>
      </c>
      <c r="X49" s="135" t="n">
        <f aca="false">X45+X46+X47+X48</f>
        <v>-319846047.651412</v>
      </c>
      <c r="Y49" s="135" t="n">
        <f aca="false">Y45+Y46+Y47+Y48</f>
        <v>-292010253.487612</v>
      </c>
      <c r="Z49" s="135" t="n">
        <f aca="false">Z45+Z46+Z47+Z48</f>
        <v>-276300855.897271</v>
      </c>
      <c r="AA49" s="135" t="n">
        <f aca="false">AA45+AA46+AA47+AA48</f>
        <v>-282747916.671878</v>
      </c>
      <c r="AB49" s="135" t="n">
        <f aca="false">AB45+AB46+AB47+AB48</f>
        <v>-284640589.481982</v>
      </c>
      <c r="AC49" s="135" t="n">
        <f aca="false">AC45+AC46+AC47+AC48</f>
        <v>-317786818.252224</v>
      </c>
      <c r="AD49" s="135" t="n">
        <f aca="false">AD45+AD46+AD47+AD48</f>
        <v>-314180971.161368</v>
      </c>
      <c r="AE49" s="135" t="n">
        <f aca="false">AE45+AE46+AE47+AE48</f>
        <v>-238322807.51733</v>
      </c>
      <c r="AF49" s="135" t="n">
        <f aca="false">AF45+AF46+AF47+AF48</f>
        <v>-272421176.507213</v>
      </c>
      <c r="AG49" s="135" t="n">
        <f aca="false">AG45+AG46+AG47+AG48</f>
        <v>-300144314.072332</v>
      </c>
      <c r="AH49" s="135" t="n">
        <f aca="false">AH45+AH46+AH47+AH48</f>
        <v>-289913020.783251</v>
      </c>
      <c r="AI49" s="135" t="n">
        <f aca="false">AI45+AI46+AI47+AI48</f>
        <v>-317804252.214815</v>
      </c>
      <c r="AJ49" s="135" t="n">
        <f aca="false">AJ45+AJ46+AJ47+AJ48</f>
        <v>-316501271.446179</v>
      </c>
      <c r="AK49" s="135" t="n">
        <f aca="false">AK45+AK46+AK47+AK48</f>
        <v>-289118360.31084</v>
      </c>
      <c r="AL49" s="135" t="n">
        <f aca="false">AL45+AL46+AL47+AL48</f>
        <v>-273652872.521673</v>
      </c>
      <c r="AM49" s="135" t="n">
        <f aca="false">AM45+AM46+AM47+AM48</f>
        <v>-278583440.015657</v>
      </c>
      <c r="AN49" s="135" t="n">
        <f aca="false">AN45+AN46+AN47+AN48</f>
        <v>-265898740.820404</v>
      </c>
      <c r="AO49" s="135" t="n">
        <f aca="false">AO45+AO46+AO47+AO48</f>
        <v>-299916769</v>
      </c>
      <c r="AP49" s="135" t="n">
        <f aca="false">AP45+AP46+AP47+AP48</f>
        <v>-304662559</v>
      </c>
      <c r="AQ49" s="135" t="n">
        <f aca="false">AQ45+AQ46+AQ47+AQ48</f>
        <v>-227084822.5</v>
      </c>
      <c r="AR49" s="135" t="n">
        <f aca="false">AR45+AR46+AR47+AR48</f>
        <v>-261893846.875</v>
      </c>
      <c r="AS49" s="135" t="n">
        <f aca="false">AS45+AS46+AS47+AS48</f>
        <v>-290251018.75</v>
      </c>
      <c r="AT49" s="135" t="n">
        <f aca="false">AT45+AT46+AT47+AT48</f>
        <v>-279760658.125</v>
      </c>
      <c r="AU49" s="135" t="n">
        <f aca="false">AU45+AU46+AU47+AU48</f>
        <v>-308081650</v>
      </c>
      <c r="AV49" s="135" t="n">
        <f aca="false">AV45+AV46+AV47+AV48</f>
        <v>-306723566.875</v>
      </c>
      <c r="AW49" s="135" t="n">
        <f aca="false">AW45+AW46+AW47+AW48</f>
        <v>-278736902.5</v>
      </c>
      <c r="AX49" s="135" t="n">
        <f aca="false">AX45+AX46+AX47+AX48</f>
        <v>-262941868.75</v>
      </c>
      <c r="AY49" s="135" t="n">
        <f aca="false">AY45+AY46+AY47+AY48</f>
        <v>-269408014.375</v>
      </c>
      <c r="AZ49" s="135" t="n">
        <f aca="false">AZ45+AZ46+AZ47+AZ48</f>
        <v>-271353111.25</v>
      </c>
      <c r="BA49" s="135" t="n">
        <f aca="false">BA45+BA46+BA47+BA48</f>
        <v>-304662559</v>
      </c>
      <c r="BB49" s="135" t="n">
        <f aca="false">BB45+BB46+BB47+BB48</f>
        <v>-302954074.6</v>
      </c>
      <c r="BC49" s="135" t="n">
        <f aca="false">BC45+BC46+BC47+BC48</f>
        <v>-231474337.375</v>
      </c>
      <c r="BD49" s="135" t="n">
        <f aca="false">BD45+BD46+BD47+BD48</f>
        <v>-260391013.375</v>
      </c>
      <c r="BE49" s="135" t="n">
        <f aca="false">BE45+BE46+BE47+BE48</f>
        <v>-288490483.75</v>
      </c>
      <c r="BF49" s="135" t="n">
        <f aca="false">BF45+BF46+BF47+BF48</f>
        <v>-278099631.625</v>
      </c>
      <c r="BG49" s="135" t="n">
        <f aca="false">BG45+BG46+BG47+BG48</f>
        <v>-305326030</v>
      </c>
      <c r="BH49" s="135" t="n">
        <f aca="false">BH45+BH46+BH47+BH48</f>
        <v>-303994737.625</v>
      </c>
      <c r="BI49" s="135" t="n">
        <f aca="false">BI45+BI46+BI47+BI48</f>
        <v>-276364007.5</v>
      </c>
      <c r="BJ49" s="135" t="n">
        <f aca="false">BJ45+BJ46+BJ47+BJ48</f>
        <v>-260760336.25</v>
      </c>
    </row>
    <row r="50" customFormat="false" ht="13.8" hidden="false" customHeight="false" outlineLevel="0" collapsed="false">
      <c r="A50" s="133" t="s">
        <v>448</v>
      </c>
      <c r="B50" s="132" t="n">
        <f aca="false">B39</f>
        <v>363404004.13789</v>
      </c>
      <c r="C50" s="132" t="n">
        <f aca="false">C39+C42+C49</f>
        <v>95171424.8419265</v>
      </c>
      <c r="D50" s="132" t="n">
        <f aca="false">D39+D42+D49</f>
        <v>20438845.5459633</v>
      </c>
      <c r="E50" s="132" t="n">
        <f aca="false">E39+E42+E49</f>
        <v>0</v>
      </c>
      <c r="F50" s="132" t="n">
        <f aca="false">F39+F42+F49</f>
        <v>9793935.10908607</v>
      </c>
      <c r="G50" s="132" t="n">
        <f aca="false">G39+G42+G49</f>
        <v>12490762.969238</v>
      </c>
      <c r="H50" s="132" t="n">
        <f aca="false">H39+H42+H49</f>
        <v>51321958.1552294</v>
      </c>
      <c r="I50" s="132" t="n">
        <f aca="false">I39+I42+I49</f>
        <v>134975352.549738</v>
      </c>
      <c r="J50" s="132" t="n">
        <f aca="false">J39+J42+J49</f>
        <v>226924514.277298</v>
      </c>
      <c r="K50" s="132" t="n">
        <f aca="false">K39+K42+K49</f>
        <v>332162952.856968</v>
      </c>
      <c r="L50" s="132" t="n">
        <f aca="false">L39+L42+L49</f>
        <v>449997243.261234</v>
      </c>
      <c r="M50" s="132" t="n">
        <f aca="false">M39+M42+M49</f>
        <v>539350346.849873</v>
      </c>
      <c r="N50" s="132" t="n">
        <f aca="false">N39+N42+N49</f>
        <v>613948179.178799</v>
      </c>
      <c r="O50" s="132" t="n">
        <f aca="false">O39+O42+O49</f>
        <v>693792687.183878</v>
      </c>
      <c r="P50" s="132" t="n">
        <f aca="false">P39+P42+P49</f>
        <v>798127935.739711</v>
      </c>
      <c r="Q50" s="132" t="n">
        <f aca="false">Q39+Q42+Q49</f>
        <v>938854757.030898</v>
      </c>
      <c r="R50" s="132" t="n">
        <f aca="false">R39+R42+R49</f>
        <v>1080702392.42327</v>
      </c>
      <c r="S50" s="132" t="n">
        <f aca="false">S39+S42+S49</f>
        <v>1161482213.39758</v>
      </c>
      <c r="T50" s="132" t="n">
        <f aca="false">T39+T42+T49</f>
        <v>1283890355.29569</v>
      </c>
      <c r="U50" s="132" t="n">
        <f aca="false">U39+U42+U49</f>
        <v>1446260376.06673</v>
      </c>
      <c r="V50" s="132" t="n">
        <f aca="false">V39+V42+V49</f>
        <v>1592727113.13817</v>
      </c>
      <c r="W50" s="132" t="n">
        <f aca="false">W39+W42+W49</f>
        <v>1757543168.41195</v>
      </c>
      <c r="X50" s="132" t="n">
        <f aca="false">X39+X42+X49</f>
        <v>1918972120.76054</v>
      </c>
      <c r="Y50" s="132" t="n">
        <f aca="false">Y39+Y42+Y49</f>
        <v>2045461867.27293</v>
      </c>
      <c r="Z50" s="132" t="n">
        <f aca="false">Z39+Z42+Z49</f>
        <v>2153911011.37566</v>
      </c>
      <c r="AA50" s="132" t="n">
        <f aca="false">AA39+AA42+AA49</f>
        <v>2268738094.70378</v>
      </c>
      <c r="AB50" s="132" t="n">
        <f aca="false">AB39+AB42+AB49</f>
        <v>2409347505.2218</v>
      </c>
      <c r="AC50" s="132" t="n">
        <f aca="false">AC39+AC42+AC49</f>
        <v>2593760686.96958</v>
      </c>
      <c r="AD50" s="132" t="n">
        <f aca="false">AD39+AD42+AD49</f>
        <v>2781779715.80821</v>
      </c>
      <c r="AE50" s="132" t="n">
        <f aca="false">AE39+AE42+AE49</f>
        <v>2864756908.29088</v>
      </c>
      <c r="AF50" s="132" t="n">
        <f aca="false">AF39+AF42+AF49</f>
        <v>2989910731.78367</v>
      </c>
      <c r="AG50" s="132" t="n">
        <f aca="false">AG39+AG42+AG49</f>
        <v>3155516417.71133</v>
      </c>
      <c r="AH50" s="132" t="n">
        <f aca="false">AH39+AH42+AH49</f>
        <v>3305028396.92808</v>
      </c>
      <c r="AI50" s="132" t="n">
        <f aca="false">AI39+AI42+AI49</f>
        <v>3473224144.71327</v>
      </c>
      <c r="AJ50" s="132" t="n">
        <f aca="false">AJ39+AJ42+AJ49</f>
        <v>3637997873.26709</v>
      </c>
      <c r="AK50" s="132" t="n">
        <f aca="false">AK39+AK42+AK49</f>
        <v>3767379512.95625</v>
      </c>
      <c r="AL50" s="132" t="n">
        <f aca="false">AL39+AL42+AL49</f>
        <v>3878476640.43458</v>
      </c>
      <c r="AM50" s="132" t="n">
        <f aca="false">AM39+AM42+AM49</f>
        <v>3997468200.41892</v>
      </c>
      <c r="AN50" s="132" t="n">
        <f aca="false">AN39+AN42+AN49</f>
        <v>4156819459.59852</v>
      </c>
      <c r="AO50" s="132" t="n">
        <f aca="false">AO39+AO42+AO49</f>
        <v>4359102690.59852</v>
      </c>
      <c r="AP50" s="132" t="n">
        <f aca="false">AP39+AP42+AP49</f>
        <v>4556640131.59852</v>
      </c>
      <c r="AQ50" s="132" t="n">
        <f aca="false">AQ39+AQ42+AQ49</f>
        <v>4650855309.09852</v>
      </c>
      <c r="AR50" s="132" t="n">
        <f aca="false">AR39+AR42+AR49</f>
        <v>4786536462.22352</v>
      </c>
      <c r="AS50" s="132" t="n">
        <f aca="false">AS39+AS42+AS49</f>
        <v>4962035443.47352</v>
      </c>
      <c r="AT50" s="132" t="n">
        <f aca="false">AT39+AT42+AT49</f>
        <v>5121699785.34852</v>
      </c>
      <c r="AU50" s="132" t="n">
        <f aca="false">AU39+AU42+AU49</f>
        <v>5299618135.34852</v>
      </c>
      <c r="AV50" s="132" t="n">
        <f aca="false">AV39+AV42+AV49</f>
        <v>5474169568.47352</v>
      </c>
      <c r="AW50" s="132" t="n">
        <f aca="false">AW39+AW42+AW49</f>
        <v>5613932665.97352</v>
      </c>
      <c r="AX50" s="132" t="n">
        <f aca="false">AX39+AX42+AX49</f>
        <v>5735740797.22352</v>
      </c>
      <c r="AY50" s="132" t="n">
        <f aca="false">AY39+AY42+AY49</f>
        <v>5863907782.84852</v>
      </c>
      <c r="AZ50" s="132" t="n">
        <f aca="false">AZ39+AZ42+AZ49</f>
        <v>6017804671.59852</v>
      </c>
      <c r="BA50" s="132" t="n">
        <f aca="false">BA39+BA42+BA49</f>
        <v>6215342112.59852</v>
      </c>
      <c r="BB50" s="132" t="n">
        <f aca="false">BB39+BB42+BB49</f>
        <v>6414588037.99851</v>
      </c>
      <c r="BC50" s="132" t="n">
        <f aca="false">BC39+BC42+BC49</f>
        <v>6515888700.62351</v>
      </c>
      <c r="BD50" s="132" t="n">
        <f aca="false">BD39+BD42+BD49</f>
        <v>6653072687.24851</v>
      </c>
      <c r="BE50" s="132" t="n">
        <f aca="false">BE39+BE42+BE49</f>
        <v>6830332203.49851</v>
      </c>
      <c r="BF50" s="132" t="n">
        <f aca="false">BF39+BF42+BF49</f>
        <v>6991657571.87351</v>
      </c>
      <c r="BG50" s="132" t="n">
        <f aca="false">BG39+BG42+BG49</f>
        <v>7172331541.87351</v>
      </c>
      <c r="BH50" s="132" t="n">
        <f aca="false">BH39+BH42+BH49</f>
        <v>7349611804.24851</v>
      </c>
      <c r="BI50" s="132" t="n">
        <f aca="false">BI39+BI42+BI49</f>
        <v>7491747796.74851</v>
      </c>
      <c r="BJ50" s="132" t="n">
        <f aca="false">BJ39+BJ42+BJ49</f>
        <v>7615737460.49851</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mergeCells count="9">
    <mergeCell ref="A1:AM1"/>
    <mergeCell ref="C2:N2"/>
    <mergeCell ref="O2:Z2"/>
    <mergeCell ref="AA2:AL2"/>
    <mergeCell ref="A6:BJ6"/>
    <mergeCell ref="A12:BJ12"/>
    <mergeCell ref="A17:BJ17"/>
    <mergeCell ref="A23:BJ23"/>
    <mergeCell ref="A26:AM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5100"/>
    <pageSetUpPr fitToPage="false"/>
  </sheetPr>
  <dimension ref="A1:P23"/>
  <sheetViews>
    <sheetView showFormulas="false" showGridLines="false" showRowColHeaders="true" showZeros="true" rightToLeft="false" tabSelected="false" showOutlineSymbols="true" defaultGridColor="true" view="normal" topLeftCell="A1" colorId="64" zoomScale="120" zoomScaleNormal="120" zoomScalePageLayoutView="100" workbookViewId="0">
      <selection pane="topLeft" activeCell="B4" activeCellId="0" sqref="B4"/>
    </sheetView>
  </sheetViews>
  <sheetFormatPr defaultColWidth="8.71484375" defaultRowHeight="12.8" customHeight="false" zeroHeight="false" outlineLevelRow="0" outlineLevelCol="0"/>
  <cols>
    <col collapsed="false" customWidth="true" hidden="false" outlineLevel="0" max="1" min="1" style="4" width="30"/>
    <col collapsed="false" customWidth="true" hidden="false" outlineLevel="0" max="2" min="2" style="4" width="14"/>
    <col collapsed="false" customWidth="true" hidden="false" outlineLevel="0" max="14" min="3" style="4" width="10"/>
    <col collapsed="false" customWidth="true" hidden="false" outlineLevel="0" max="16" min="15" style="4" width="14"/>
  </cols>
  <sheetData>
    <row r="1" customFormat="false" ht="30" hidden="false" customHeight="true" outlineLevel="0" collapsed="false">
      <c r="A1" s="43" t="s">
        <v>449</v>
      </c>
      <c r="B1" s="43"/>
      <c r="C1" s="43"/>
      <c r="D1" s="43"/>
      <c r="E1" s="43"/>
      <c r="F1" s="43"/>
      <c r="G1" s="43"/>
      <c r="H1" s="43"/>
      <c r="I1" s="43"/>
      <c r="J1" s="43"/>
      <c r="K1" s="43"/>
      <c r="L1" s="43"/>
      <c r="M1" s="43"/>
      <c r="N1" s="43"/>
      <c r="O1" s="43"/>
      <c r="P1" s="43"/>
    </row>
    <row r="2" customFormat="false" ht="19.5" hidden="false" customHeight="true" outlineLevel="0" collapsed="false">
      <c r="A2" s="136" t="s">
        <v>450</v>
      </c>
      <c r="B2" s="136"/>
      <c r="C2" s="136"/>
      <c r="D2" s="136"/>
      <c r="E2" s="136"/>
      <c r="F2" s="136"/>
      <c r="G2" s="136"/>
      <c r="H2" s="136"/>
      <c r="I2" s="136"/>
      <c r="J2" s="136"/>
      <c r="K2" s="136"/>
      <c r="L2" s="136"/>
      <c r="M2" s="136"/>
      <c r="N2" s="136"/>
      <c r="O2" s="136"/>
      <c r="P2" s="136"/>
    </row>
    <row r="3" customFormat="false" ht="15.75" hidden="false" customHeight="true" outlineLevel="0" collapsed="false">
      <c r="A3" s="31" t="s">
        <v>451</v>
      </c>
      <c r="B3" s="32" t="s">
        <v>308</v>
      </c>
      <c r="C3" s="137" t="s">
        <v>452</v>
      </c>
    </row>
    <row r="4" customFormat="false" ht="13.8" hidden="false" customHeight="false" outlineLevel="0" collapsed="false"/>
    <row r="5" customFormat="false" ht="27.75" hidden="false" customHeight="true" outlineLevel="0" collapsed="false">
      <c r="A5" s="138" t="s">
        <v>224</v>
      </c>
      <c r="B5" s="139" t="s">
        <v>453</v>
      </c>
      <c r="C5" s="44" t="s">
        <v>454</v>
      </c>
      <c r="D5" s="44" t="s">
        <v>455</v>
      </c>
      <c r="E5" s="44" t="s">
        <v>456</v>
      </c>
      <c r="F5" s="44" t="s">
        <v>457</v>
      </c>
      <c r="G5" s="44" t="s">
        <v>458</v>
      </c>
      <c r="H5" s="44" t="s">
        <v>459</v>
      </c>
      <c r="I5" s="44" t="s">
        <v>460</v>
      </c>
      <c r="J5" s="44" t="s">
        <v>461</v>
      </c>
      <c r="K5" s="44" t="s">
        <v>462</v>
      </c>
      <c r="L5" s="44" t="s">
        <v>463</v>
      </c>
      <c r="M5" s="44" t="s">
        <v>464</v>
      </c>
      <c r="N5" s="44" t="s">
        <v>465</v>
      </c>
      <c r="O5" s="139" t="s">
        <v>466</v>
      </c>
      <c r="P5" s="139" t="s">
        <v>467</v>
      </c>
    </row>
    <row r="6" customFormat="false" ht="12" hidden="false" customHeight="true" outlineLevel="0" collapsed="false">
      <c r="A6" s="30"/>
      <c r="B6" s="30"/>
      <c r="C6" s="140" t="s">
        <v>468</v>
      </c>
      <c r="D6" s="140" t="s">
        <v>468</v>
      </c>
      <c r="E6" s="140" t="s">
        <v>468</v>
      </c>
      <c r="F6" s="140" t="s">
        <v>468</v>
      </c>
      <c r="G6" s="140" t="s">
        <v>468</v>
      </c>
      <c r="H6" s="140" t="s">
        <v>468</v>
      </c>
      <c r="I6" s="140" t="s">
        <v>468</v>
      </c>
      <c r="J6" s="140" t="s">
        <v>468</v>
      </c>
      <c r="K6" s="140" t="s">
        <v>468</v>
      </c>
      <c r="L6" s="140" t="s">
        <v>468</v>
      </c>
      <c r="M6" s="140" t="s">
        <v>468</v>
      </c>
      <c r="N6" s="140" t="s">
        <v>468</v>
      </c>
      <c r="O6" s="30"/>
      <c r="P6" s="30"/>
    </row>
    <row r="7" customFormat="false" ht="13.5" hidden="false" customHeight="true" outlineLevel="0" collapsed="false">
      <c r="A7" s="66" t="s">
        <v>469</v>
      </c>
      <c r="B7" s="67" t="n">
        <f aca="false">SUM('📊 P&amp;L Detail'!C8:N8)</f>
        <v>3089531250</v>
      </c>
      <c r="C7" s="64"/>
      <c r="D7" s="64"/>
      <c r="E7" s="64"/>
      <c r="F7" s="64"/>
      <c r="G7" s="64"/>
      <c r="H7" s="64"/>
      <c r="I7" s="64"/>
      <c r="J7" s="64"/>
      <c r="K7" s="64"/>
      <c r="L7" s="64"/>
      <c r="M7" s="64"/>
      <c r="N7" s="64"/>
      <c r="O7" s="67" t="n">
        <f aca="false">SUM(C7:N7)</f>
        <v>0</v>
      </c>
      <c r="P7" s="67" t="n">
        <f aca="false">IFERROR(O7-B7,"-")</f>
        <v>-3089531250</v>
      </c>
    </row>
    <row r="8" customFormat="false" ht="13.5" hidden="false" customHeight="true" outlineLevel="0" collapsed="false">
      <c r="A8" s="37" t="s">
        <v>470</v>
      </c>
      <c r="B8" s="68" t="n">
        <f aca="false">SUM('📊 P&amp;L Detail'!C11:N11)</f>
        <v>818649450</v>
      </c>
      <c r="C8" s="64"/>
      <c r="D8" s="64"/>
      <c r="E8" s="64"/>
      <c r="F8" s="64"/>
      <c r="G8" s="64"/>
      <c r="H8" s="64"/>
      <c r="I8" s="64"/>
      <c r="J8" s="64"/>
      <c r="K8" s="64"/>
      <c r="L8" s="64"/>
      <c r="M8" s="64"/>
      <c r="N8" s="64"/>
      <c r="O8" s="68" t="n">
        <f aca="false">SUM(C8:N8)</f>
        <v>0</v>
      </c>
      <c r="P8" s="68" t="n">
        <f aca="false">IFERROR(O8-B8,"-")</f>
        <v>-818649450</v>
      </c>
    </row>
    <row r="9" customFormat="false" ht="13.5" hidden="false" customHeight="true" outlineLevel="0" collapsed="false">
      <c r="A9" s="66" t="s">
        <v>471</v>
      </c>
      <c r="B9" s="67" t="n">
        <f aca="false">SUM('📊 P&amp;L Detail'!C12:N12)</f>
        <v>2270881800</v>
      </c>
      <c r="C9" s="64"/>
      <c r="D9" s="64"/>
      <c r="E9" s="64"/>
      <c r="F9" s="64"/>
      <c r="G9" s="64"/>
      <c r="H9" s="64"/>
      <c r="I9" s="64"/>
      <c r="J9" s="64"/>
      <c r="K9" s="64"/>
      <c r="L9" s="64"/>
      <c r="M9" s="64"/>
      <c r="N9" s="64"/>
      <c r="O9" s="67" t="n">
        <f aca="false">SUM(C9:N9)</f>
        <v>0</v>
      </c>
      <c r="P9" s="67" t="n">
        <f aca="false">IFERROR(O9-B9,"-")</f>
        <v>-2270881800</v>
      </c>
    </row>
    <row r="10" customFormat="false" ht="13.5" hidden="false" customHeight="true" outlineLevel="0" collapsed="false">
      <c r="A10" s="37" t="s">
        <v>472</v>
      </c>
      <c r="B10" s="80" t="str">
        <f aca="false">""</f>
        <v/>
      </c>
      <c r="C10" s="53"/>
      <c r="D10" s="53"/>
      <c r="E10" s="53"/>
      <c r="F10" s="53"/>
      <c r="G10" s="53"/>
      <c r="H10" s="53"/>
      <c r="I10" s="53"/>
      <c r="J10" s="53"/>
      <c r="K10" s="53"/>
      <c r="L10" s="53"/>
      <c r="M10" s="53"/>
      <c r="N10" s="53"/>
      <c r="O10" s="141" t="str">
        <f aca="false">""</f>
        <v/>
      </c>
      <c r="P10" s="141" t="str">
        <f aca="false">""</f>
        <v/>
      </c>
    </row>
    <row r="11" customFormat="false" ht="13.5" hidden="false" customHeight="true" outlineLevel="0" collapsed="false">
      <c r="A11" s="38" t="s">
        <v>473</v>
      </c>
      <c r="B11" s="60" t="n">
        <f aca="false">SUM('📊 P&amp;L Detail'!C25:N25)</f>
        <v>1674833713.25325</v>
      </c>
      <c r="C11" s="64"/>
      <c r="D11" s="64"/>
      <c r="E11" s="64"/>
      <c r="F11" s="64"/>
      <c r="G11" s="64"/>
      <c r="H11" s="64"/>
      <c r="I11" s="64"/>
      <c r="J11" s="64"/>
      <c r="K11" s="64"/>
      <c r="L11" s="64"/>
      <c r="M11" s="64"/>
      <c r="N11" s="64"/>
      <c r="O11" s="60" t="n">
        <f aca="false">SUM(C11:N11)</f>
        <v>0</v>
      </c>
      <c r="P11" s="60" t="n">
        <f aca="false">IFERROR(O11-B11,"-")</f>
        <v>-1674833713.25325</v>
      </c>
    </row>
    <row r="12" customFormat="false" ht="13.5" hidden="false" customHeight="true" outlineLevel="0" collapsed="false">
      <c r="A12" s="66" t="s">
        <v>474</v>
      </c>
      <c r="B12" s="67" t="n">
        <f aca="false">SUM('📊 P&amp;L Detail'!C26:N26)</f>
        <v>691114189.6875</v>
      </c>
      <c r="C12" s="64"/>
      <c r="D12" s="64"/>
      <c r="E12" s="64"/>
      <c r="F12" s="64"/>
      <c r="G12" s="64"/>
      <c r="H12" s="64"/>
      <c r="I12" s="64"/>
      <c r="J12" s="64"/>
      <c r="K12" s="64"/>
      <c r="L12" s="64"/>
      <c r="M12" s="64"/>
      <c r="N12" s="64"/>
      <c r="O12" s="67" t="n">
        <f aca="false">SUM(C12:N12)</f>
        <v>0</v>
      </c>
      <c r="P12" s="67" t="n">
        <f aca="false">IFERROR(O12-B12,"-")</f>
        <v>-691114189.6875</v>
      </c>
    </row>
    <row r="13" customFormat="false" ht="13.5" hidden="false" customHeight="true" outlineLevel="0" collapsed="false">
      <c r="A13" s="38" t="s">
        <v>475</v>
      </c>
      <c r="B13" s="78" t="str">
        <f aca="false">""</f>
        <v/>
      </c>
      <c r="C13" s="53"/>
      <c r="D13" s="53"/>
      <c r="E13" s="53"/>
      <c r="F13" s="53"/>
      <c r="G13" s="53"/>
      <c r="H13" s="53"/>
      <c r="I13" s="53"/>
      <c r="J13" s="53"/>
      <c r="K13" s="53"/>
      <c r="L13" s="53"/>
      <c r="M13" s="53"/>
      <c r="N13" s="53"/>
      <c r="O13" s="142" t="str">
        <f aca="false">""</f>
        <v/>
      </c>
      <c r="P13" s="142" t="str">
        <f aca="false">""</f>
        <v/>
      </c>
    </row>
    <row r="14" customFormat="false" ht="13.5" hidden="false" customHeight="true" outlineLevel="0" collapsed="false">
      <c r="A14" s="37" t="s">
        <v>476</v>
      </c>
      <c r="B14" s="68" t="n">
        <f aca="false">SUM('📊 P&amp;L Detail'!C28:N28)</f>
        <v>596048086.746752</v>
      </c>
      <c r="C14" s="64"/>
      <c r="D14" s="64"/>
      <c r="E14" s="64"/>
      <c r="F14" s="64"/>
      <c r="G14" s="64"/>
      <c r="H14" s="64"/>
      <c r="I14" s="64"/>
      <c r="J14" s="64"/>
      <c r="K14" s="64"/>
      <c r="L14" s="64"/>
      <c r="M14" s="64"/>
      <c r="N14" s="64"/>
      <c r="O14" s="68" t="n">
        <f aca="false">SUM(C14:N14)</f>
        <v>0</v>
      </c>
      <c r="P14" s="68" t="n">
        <f aca="false">IFERROR(O14-B14,"-")</f>
        <v>-596048086.746752</v>
      </c>
    </row>
    <row r="15" customFormat="false" ht="13.5" hidden="false" customHeight="true" outlineLevel="0" collapsed="false">
      <c r="A15" s="66" t="s">
        <v>477</v>
      </c>
      <c r="B15" s="67" t="n">
        <f aca="false">SUM('📊 P&amp;L Detail'!C32:N32)</f>
        <v>521269023.65172</v>
      </c>
      <c r="C15" s="64"/>
      <c r="D15" s="64"/>
      <c r="E15" s="64"/>
      <c r="F15" s="64"/>
      <c r="G15" s="64"/>
      <c r="H15" s="64"/>
      <c r="I15" s="64"/>
      <c r="J15" s="64"/>
      <c r="K15" s="64"/>
      <c r="L15" s="64"/>
      <c r="M15" s="64"/>
      <c r="N15" s="64"/>
      <c r="O15" s="67" t="n">
        <f aca="false">SUM(C15:N15)</f>
        <v>0</v>
      </c>
      <c r="P15" s="67" t="n">
        <f aca="false">IFERROR(O15-B15,"-")</f>
        <v>-521269023.65172</v>
      </c>
    </row>
    <row r="16" customFormat="false" ht="13.5" hidden="false" customHeight="true" outlineLevel="0" collapsed="false">
      <c r="A16" s="37" t="s">
        <v>478</v>
      </c>
      <c r="B16" s="80" t="str">
        <f aca="false">""</f>
        <v/>
      </c>
      <c r="C16" s="53"/>
      <c r="D16" s="53"/>
      <c r="E16" s="53"/>
      <c r="F16" s="53"/>
      <c r="G16" s="53"/>
      <c r="H16" s="53"/>
      <c r="I16" s="53"/>
      <c r="J16" s="53"/>
      <c r="K16" s="53"/>
      <c r="L16" s="53"/>
      <c r="M16" s="53"/>
      <c r="N16" s="53"/>
      <c r="O16" s="141" t="str">
        <f aca="false">""</f>
        <v/>
      </c>
      <c r="P16" s="141" t="str">
        <f aca="false">""</f>
        <v/>
      </c>
    </row>
    <row r="17" customFormat="false" ht="13.5" hidden="false" customHeight="true" outlineLevel="0" collapsed="false">
      <c r="A17" s="66" t="s">
        <v>479</v>
      </c>
      <c r="B17" s="67" t="n">
        <f aca="false">SUM('💵 Cash Flow'!C11:N11)</f>
        <v>616335126.592468</v>
      </c>
      <c r="C17" s="64"/>
      <c r="D17" s="64"/>
      <c r="E17" s="64"/>
      <c r="F17" s="64"/>
      <c r="G17" s="64"/>
      <c r="H17" s="64"/>
      <c r="I17" s="64"/>
      <c r="J17" s="64"/>
      <c r="K17" s="64"/>
      <c r="L17" s="64"/>
      <c r="M17" s="64"/>
      <c r="N17" s="64"/>
      <c r="O17" s="67" t="n">
        <f aca="false">SUM(C17:N17)</f>
        <v>0</v>
      </c>
      <c r="P17" s="67" t="n">
        <f aca="false">IFERROR(O17-B17,"-")</f>
        <v>-616335126.592468</v>
      </c>
    </row>
    <row r="18" customFormat="false" ht="13.5" hidden="false" customHeight="true" outlineLevel="0" collapsed="false">
      <c r="A18" s="66" t="s">
        <v>480</v>
      </c>
      <c r="B18" s="67" t="n">
        <f aca="false">SUM('💵 Cash Flow'!C24:N24)</f>
        <v>613948179.178799</v>
      </c>
      <c r="C18" s="64"/>
      <c r="D18" s="64"/>
      <c r="E18" s="64"/>
      <c r="F18" s="64"/>
      <c r="G18" s="64"/>
      <c r="H18" s="64"/>
      <c r="I18" s="64"/>
      <c r="J18" s="64"/>
      <c r="K18" s="64"/>
      <c r="L18" s="64"/>
      <c r="M18" s="64"/>
      <c r="N18" s="64"/>
      <c r="O18" s="67" t="n">
        <f aca="false">SUM(C18:N18)</f>
        <v>0</v>
      </c>
      <c r="P18" s="67" t="n">
        <f aca="false">IFERROR(O18-B18,"-")</f>
        <v>-613948179.178799</v>
      </c>
    </row>
    <row r="19" customFormat="false" ht="13.5" hidden="false" customHeight="true" outlineLevel="0" collapsed="false">
      <c r="A19" s="38" t="s">
        <v>481</v>
      </c>
      <c r="B19" s="60" t="n">
        <f aca="false">SUM('💵 Cash Flow'!C25:N25)</f>
        <v>2486575515.59535</v>
      </c>
      <c r="C19" s="64"/>
      <c r="D19" s="64"/>
      <c r="E19" s="64"/>
      <c r="F19" s="64"/>
      <c r="G19" s="64"/>
      <c r="H19" s="64"/>
      <c r="I19" s="64"/>
      <c r="J19" s="64"/>
      <c r="K19" s="64"/>
      <c r="L19" s="64"/>
      <c r="M19" s="64"/>
      <c r="N19" s="64"/>
      <c r="O19" s="60" t="n">
        <f aca="false">SUM(C19:N19)</f>
        <v>0</v>
      </c>
      <c r="P19" s="60" t="n">
        <f aca="false">IFERROR(O19-B19,"-")</f>
        <v>-2486575515.59535</v>
      </c>
    </row>
    <row r="20" customFormat="false" ht="13.5" hidden="false" customHeight="true" outlineLevel="0" collapsed="false">
      <c r="A20" s="37" t="s">
        <v>482</v>
      </c>
      <c r="B20" s="68" t="n">
        <f aca="false">SUM('💰 Revenue'!C13:N13)</f>
        <v>41193.75</v>
      </c>
      <c r="C20" s="64"/>
      <c r="D20" s="64"/>
      <c r="E20" s="64"/>
      <c r="F20" s="64"/>
      <c r="G20" s="64"/>
      <c r="H20" s="64"/>
      <c r="I20" s="64"/>
      <c r="J20" s="64"/>
      <c r="K20" s="64"/>
      <c r="L20" s="64"/>
      <c r="M20" s="64"/>
      <c r="N20" s="64"/>
      <c r="O20" s="68" t="n">
        <f aca="false">SUM(C20:N20)</f>
        <v>0</v>
      </c>
      <c r="P20" s="68" t="n">
        <f aca="false">IFERROR(O20-B20,"-")</f>
        <v>-41193.75</v>
      </c>
    </row>
    <row r="21" customFormat="false" ht="13.5" hidden="false" customHeight="true" outlineLevel="0" collapsed="false">
      <c r="A21" s="38" t="s">
        <v>483</v>
      </c>
      <c r="B21" s="60" t="n">
        <f aca="false">SUM('💰 Revenue'!C10:N10)</f>
        <v>900000</v>
      </c>
      <c r="C21" s="64"/>
      <c r="D21" s="64"/>
      <c r="E21" s="64"/>
      <c r="F21" s="64"/>
      <c r="G21" s="64"/>
      <c r="H21" s="64"/>
      <c r="I21" s="64"/>
      <c r="J21" s="64"/>
      <c r="K21" s="64"/>
      <c r="L21" s="64"/>
      <c r="M21" s="64"/>
      <c r="N21" s="64"/>
      <c r="O21" s="60" t="n">
        <f aca="false">SUM(C21:N21)</f>
        <v>0</v>
      </c>
      <c r="P21" s="60" t="n">
        <f aca="false">IFERROR(O21-B21,"-")</f>
        <v>-900000</v>
      </c>
    </row>
    <row r="22" customFormat="false" ht="13.8" hidden="false" customHeight="false" outlineLevel="0" collapsed="false"/>
    <row r="23" customFormat="false" ht="48" hidden="false" customHeight="true" outlineLevel="0" collapsed="false">
      <c r="A23" s="42" t="s">
        <v>484</v>
      </c>
      <c r="B23" s="42"/>
      <c r="C23" s="42"/>
      <c r="D23" s="42"/>
      <c r="E23" s="42"/>
      <c r="F23" s="42"/>
      <c r="G23" s="42"/>
      <c r="H23" s="42"/>
      <c r="I23" s="42"/>
      <c r="J23" s="42"/>
      <c r="K23" s="42"/>
      <c r="L23" s="42"/>
      <c r="M23" s="42"/>
      <c r="N23" s="42"/>
      <c r="O23" s="42"/>
      <c r="P23" s="42"/>
    </row>
  </sheetData>
  <mergeCells count="3">
    <mergeCell ref="A1:P1"/>
    <mergeCell ref="A2:P2"/>
    <mergeCell ref="A23:P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9A825"/>
    <pageSetUpPr fitToPage="false"/>
  </sheetPr>
  <dimension ref="A1:F34"/>
  <sheetViews>
    <sheetView showFormulas="false" showGridLines="false" showRowColHeaders="true" showZeros="true" rightToLeft="false" tabSelected="false" showOutlineSymbols="true" defaultGridColor="true" view="normal" topLeftCell="A1" colorId="64" zoomScale="120" zoomScaleNormal="120" zoomScalePageLayoutView="100" workbookViewId="0">
      <selection pane="topLeft" activeCell="A1" activeCellId="0" sqref="A1"/>
    </sheetView>
  </sheetViews>
  <sheetFormatPr defaultColWidth="8.71484375" defaultRowHeight="12.8" customHeight="false" zeroHeight="false" outlineLevelRow="0" outlineLevelCol="0"/>
  <cols>
    <col collapsed="false" customWidth="true" hidden="false" outlineLevel="0" max="1" min="1" style="4" width="38"/>
    <col collapsed="false" customWidth="true" hidden="false" outlineLevel="0" max="5" min="2" style="4" width="20"/>
    <col collapsed="false" customWidth="true" hidden="false" outlineLevel="0" max="6" min="6" style="4" width="14"/>
  </cols>
  <sheetData>
    <row r="1" customFormat="false" ht="30" hidden="false" customHeight="true" outlineLevel="0" collapsed="false">
      <c r="A1" s="43" t="s">
        <v>485</v>
      </c>
      <c r="B1" s="43"/>
      <c r="C1" s="43"/>
      <c r="D1" s="43"/>
      <c r="E1" s="43"/>
      <c r="F1" s="43"/>
    </row>
    <row r="2" customFormat="false" ht="13.8" hidden="false" customHeight="false" outlineLevel="0" collapsed="false"/>
    <row r="3" customFormat="false" ht="27.75" hidden="false" customHeight="true" outlineLevel="0" collapsed="false">
      <c r="A3" s="143" t="s">
        <v>486</v>
      </c>
      <c r="B3" s="143"/>
      <c r="C3" s="143"/>
      <c r="D3" s="143"/>
      <c r="E3" s="143"/>
      <c r="F3" s="143"/>
    </row>
    <row r="4" customFormat="false" ht="27.75" hidden="false" customHeight="true" outlineLevel="0" collapsed="false">
      <c r="A4" s="139" t="s">
        <v>89</v>
      </c>
      <c r="B4" s="139" t="s">
        <v>487</v>
      </c>
      <c r="C4" s="139" t="s">
        <v>488</v>
      </c>
      <c r="D4" s="139" t="s">
        <v>489</v>
      </c>
      <c r="E4" s="139" t="s">
        <v>490</v>
      </c>
      <c r="F4" s="139" t="s">
        <v>491</v>
      </c>
    </row>
    <row r="5" customFormat="false" ht="15" hidden="false" customHeight="true" outlineLevel="0" collapsed="false">
      <c r="A5" s="45" t="s">
        <v>492</v>
      </c>
      <c r="B5" s="45"/>
      <c r="C5" s="45"/>
      <c r="D5" s="45"/>
      <c r="E5" s="45"/>
      <c r="F5" s="45"/>
    </row>
    <row r="6" customFormat="false" ht="15" hidden="false" customHeight="true" outlineLevel="0" collapsed="false">
      <c r="A6" s="38" t="s">
        <v>493</v>
      </c>
      <c r="B6" s="144" t="n">
        <v>80000</v>
      </c>
      <c r="C6" s="145" t="n">
        <v>100000</v>
      </c>
      <c r="D6" s="146" t="n">
        <v>130000</v>
      </c>
      <c r="E6" s="47" t="s">
        <v>56</v>
      </c>
      <c r="F6" s="147" t="s">
        <v>494</v>
      </c>
    </row>
    <row r="7" customFormat="false" ht="15" hidden="false" customHeight="true" outlineLevel="0" collapsed="false">
      <c r="A7" s="37" t="s">
        <v>495</v>
      </c>
      <c r="B7" s="144" t="n">
        <v>400</v>
      </c>
      <c r="C7" s="145" t="n">
        <v>600</v>
      </c>
      <c r="D7" s="146" t="n">
        <v>900</v>
      </c>
      <c r="E7" s="50" t="s">
        <v>496</v>
      </c>
      <c r="F7" s="148" t="s">
        <v>494</v>
      </c>
    </row>
    <row r="8" customFormat="false" ht="15" hidden="false" customHeight="true" outlineLevel="0" collapsed="false">
      <c r="A8" s="38" t="s">
        <v>497</v>
      </c>
      <c r="B8" s="144" t="s">
        <v>498</v>
      </c>
      <c r="C8" s="145" t="s">
        <v>499</v>
      </c>
      <c r="D8" s="146" t="s">
        <v>500</v>
      </c>
      <c r="E8" s="47" t="s">
        <v>113</v>
      </c>
      <c r="F8" s="147" t="s">
        <v>501</v>
      </c>
    </row>
    <row r="9" customFormat="false" ht="15" hidden="false" customHeight="true" outlineLevel="0" collapsed="false">
      <c r="A9" s="37" t="s">
        <v>502</v>
      </c>
      <c r="B9" s="144" t="s">
        <v>503</v>
      </c>
      <c r="C9" s="145" t="s">
        <v>504</v>
      </c>
      <c r="D9" s="146" t="s">
        <v>505</v>
      </c>
      <c r="E9" s="50" t="s">
        <v>136</v>
      </c>
      <c r="F9" s="148" t="s">
        <v>506</v>
      </c>
    </row>
    <row r="10" customFormat="false" ht="15" hidden="false" customHeight="true" outlineLevel="0" collapsed="false">
      <c r="A10" s="45" t="s">
        <v>507</v>
      </c>
      <c r="B10" s="45"/>
      <c r="C10" s="45"/>
      <c r="D10" s="45"/>
      <c r="E10" s="45"/>
      <c r="F10" s="45"/>
    </row>
    <row r="11" customFormat="false" ht="15" hidden="false" customHeight="true" outlineLevel="0" collapsed="false">
      <c r="A11" s="37" t="s">
        <v>508</v>
      </c>
      <c r="B11" s="144" t="s">
        <v>509</v>
      </c>
      <c r="C11" s="145" t="s">
        <v>510</v>
      </c>
      <c r="D11" s="146" t="s">
        <v>511</v>
      </c>
      <c r="E11" s="50" t="s">
        <v>142</v>
      </c>
      <c r="F11" s="148" t="s">
        <v>494</v>
      </c>
    </row>
    <row r="12" customFormat="false" ht="15" hidden="false" customHeight="true" outlineLevel="0" collapsed="false">
      <c r="A12" s="38" t="s">
        <v>512</v>
      </c>
      <c r="B12" s="144" t="s">
        <v>500</v>
      </c>
      <c r="C12" s="145" t="s">
        <v>499</v>
      </c>
      <c r="D12" s="146" t="s">
        <v>498</v>
      </c>
      <c r="E12" s="47" t="s">
        <v>113</v>
      </c>
      <c r="F12" s="147" t="s">
        <v>501</v>
      </c>
    </row>
    <row r="13" customFormat="false" ht="15" hidden="false" customHeight="true" outlineLevel="0" collapsed="false">
      <c r="A13" s="37" t="s">
        <v>513</v>
      </c>
      <c r="B13" s="144" t="s">
        <v>514</v>
      </c>
      <c r="C13" s="145" t="s">
        <v>515</v>
      </c>
      <c r="D13" s="146" t="s">
        <v>516</v>
      </c>
      <c r="E13" s="50" t="s">
        <v>56</v>
      </c>
      <c r="F13" s="148" t="s">
        <v>494</v>
      </c>
    </row>
    <row r="14" customFormat="false" ht="15" hidden="false" customHeight="true" outlineLevel="0" collapsed="false">
      <c r="A14" s="38" t="s">
        <v>517</v>
      </c>
      <c r="B14" s="144" t="s">
        <v>500</v>
      </c>
      <c r="C14" s="145" t="s">
        <v>499</v>
      </c>
      <c r="D14" s="146" t="s">
        <v>518</v>
      </c>
      <c r="E14" s="47" t="s">
        <v>113</v>
      </c>
      <c r="F14" s="147" t="s">
        <v>501</v>
      </c>
    </row>
    <row r="15" customFormat="false" ht="15" hidden="false" customHeight="true" outlineLevel="0" collapsed="false">
      <c r="A15" s="45" t="s">
        <v>519</v>
      </c>
      <c r="B15" s="45"/>
      <c r="C15" s="45"/>
      <c r="D15" s="45"/>
      <c r="E15" s="45"/>
      <c r="F15" s="45"/>
    </row>
    <row r="16" customFormat="false" ht="15" hidden="false" customHeight="true" outlineLevel="0" collapsed="false">
      <c r="A16" s="38" t="s">
        <v>184</v>
      </c>
      <c r="B16" s="144" t="s">
        <v>520</v>
      </c>
      <c r="C16" s="145" t="s">
        <v>521</v>
      </c>
      <c r="D16" s="146" t="s">
        <v>522</v>
      </c>
      <c r="E16" s="47" t="s">
        <v>523</v>
      </c>
      <c r="F16" s="147" t="s">
        <v>494</v>
      </c>
    </row>
    <row r="17" customFormat="false" ht="15" hidden="false" customHeight="true" outlineLevel="0" collapsed="false">
      <c r="A17" s="37" t="s">
        <v>524</v>
      </c>
      <c r="B17" s="144" t="s">
        <v>525</v>
      </c>
      <c r="C17" s="145" t="s">
        <v>526</v>
      </c>
      <c r="D17" s="146" t="s">
        <v>527</v>
      </c>
      <c r="E17" s="50" t="s">
        <v>113</v>
      </c>
      <c r="F17" s="148" t="s">
        <v>501</v>
      </c>
    </row>
    <row r="18" customFormat="false" ht="15" hidden="false" customHeight="true" outlineLevel="0" collapsed="false">
      <c r="A18" s="38" t="s">
        <v>528</v>
      </c>
      <c r="B18" s="144" t="s">
        <v>529</v>
      </c>
      <c r="C18" s="145" t="s">
        <v>530</v>
      </c>
      <c r="D18" s="146" t="s">
        <v>510</v>
      </c>
      <c r="E18" s="47" t="s">
        <v>531</v>
      </c>
      <c r="F18" s="147" t="s">
        <v>501</v>
      </c>
    </row>
    <row r="19" customFormat="false" ht="15" hidden="false" customHeight="true" outlineLevel="0" collapsed="false">
      <c r="A19" s="45" t="s">
        <v>532</v>
      </c>
      <c r="B19" s="45"/>
      <c r="C19" s="45"/>
      <c r="D19" s="45"/>
      <c r="E19" s="45"/>
      <c r="F19" s="45"/>
    </row>
    <row r="20" customFormat="false" ht="15" hidden="false" customHeight="true" outlineLevel="0" collapsed="false">
      <c r="A20" s="38" t="s">
        <v>533</v>
      </c>
      <c r="B20" s="144" t="s">
        <v>534</v>
      </c>
      <c r="C20" s="145" t="s">
        <v>535</v>
      </c>
      <c r="D20" s="146" t="s">
        <v>536</v>
      </c>
      <c r="E20" s="47"/>
      <c r="F20" s="147" t="s">
        <v>494</v>
      </c>
    </row>
    <row r="21" customFormat="false" ht="15" hidden="false" customHeight="true" outlineLevel="0" collapsed="false">
      <c r="A21" s="37" t="s">
        <v>537</v>
      </c>
      <c r="B21" s="144" t="s">
        <v>514</v>
      </c>
      <c r="C21" s="145" t="s">
        <v>538</v>
      </c>
      <c r="D21" s="146" t="s">
        <v>516</v>
      </c>
      <c r="E21" s="50"/>
      <c r="F21" s="148" t="s">
        <v>501</v>
      </c>
    </row>
    <row r="22" customFormat="false" ht="15" hidden="false" customHeight="true" outlineLevel="0" collapsed="false">
      <c r="A22" s="38" t="s">
        <v>539</v>
      </c>
      <c r="B22" s="144" t="s">
        <v>540</v>
      </c>
      <c r="C22" s="145" t="s">
        <v>541</v>
      </c>
      <c r="D22" s="146" t="s">
        <v>542</v>
      </c>
      <c r="E22" s="47"/>
      <c r="F22" s="147" t="s">
        <v>501</v>
      </c>
    </row>
    <row r="23" customFormat="false" ht="13.8" hidden="false" customHeight="false" outlineLevel="0" collapsed="false"/>
    <row r="24" customFormat="false" ht="15.75" hidden="false" customHeight="true" outlineLevel="0" collapsed="false">
      <c r="A24" s="29" t="s">
        <v>543</v>
      </c>
      <c r="B24" s="29"/>
      <c r="C24" s="29"/>
      <c r="D24" s="29"/>
      <c r="E24" s="29"/>
      <c r="F24" s="29"/>
    </row>
    <row r="25" customFormat="false" ht="15.75" hidden="false" customHeight="true" outlineLevel="0" collapsed="false">
      <c r="A25" s="44" t="s">
        <v>544</v>
      </c>
      <c r="B25" s="44" t="s">
        <v>545</v>
      </c>
      <c r="C25" s="44" t="s">
        <v>546</v>
      </c>
      <c r="D25" s="44" t="s">
        <v>547</v>
      </c>
      <c r="E25" s="44" t="s">
        <v>548</v>
      </c>
      <c r="F25" s="44" t="s">
        <v>549</v>
      </c>
    </row>
    <row r="26" customFormat="false" ht="15" hidden="false" customHeight="true" outlineLevel="0" collapsed="false">
      <c r="A26" s="31" t="s">
        <v>469</v>
      </c>
      <c r="B26" s="149"/>
      <c r="C26" s="105" t="n">
        <f aca="false">SUM('📊 P&amp;L Detail'!C8:N8)</f>
        <v>3089531250</v>
      </c>
      <c r="D26" s="105" t="n">
        <f aca="false">SUM('📊 P&amp;L Detail'!O8:Z8)</f>
        <v>4917262500</v>
      </c>
      <c r="E26" s="150" t="n">
        <f aca="false">SUM('📊 P&amp;L Detail'!AA8:AL8)</f>
        <v>5221800000</v>
      </c>
      <c r="F26" s="150"/>
    </row>
    <row r="27" customFormat="false" ht="15" hidden="false" customHeight="true" outlineLevel="0" collapsed="false">
      <c r="A27" s="34" t="s">
        <v>550</v>
      </c>
      <c r="B27" s="149"/>
      <c r="C27" s="104" t="n">
        <f aca="false">SUM('📊 P&amp;L Detail'!C12:N12)</f>
        <v>2270881800</v>
      </c>
      <c r="D27" s="104" t="n">
        <f aca="false">SUM('📊 P&amp;L Detail'!O12:Z12)</f>
        <v>3710619000</v>
      </c>
      <c r="E27" s="150" t="n">
        <f aca="false">SUM('📊 P&amp;L Detail'!AA12:AL12)</f>
        <v>3999742200</v>
      </c>
      <c r="F27" s="150"/>
    </row>
    <row r="28" customFormat="false" ht="15" hidden="false" customHeight="true" outlineLevel="0" collapsed="false">
      <c r="A28" s="31" t="s">
        <v>551</v>
      </c>
      <c r="B28" s="151"/>
      <c r="C28" s="152" t="n">
        <f aca="false">IFERROR(AVERAGE('📊 P&amp;L Detail'!C13:N13),"-")</f>
        <v>0.7344</v>
      </c>
      <c r="D28" s="152" t="n">
        <f aca="false">IFERROR(AVERAGE('📊 P&amp;L Detail'!O13:Z13),"-")</f>
        <v>0.754</v>
      </c>
      <c r="E28" s="153" t="n">
        <f aca="false">IFERROR(AVERAGE('📊 P&amp;L Detail'!AA13:AL13),"-")</f>
        <v>0.766</v>
      </c>
      <c r="F28" s="153"/>
    </row>
    <row r="29" customFormat="false" ht="15" hidden="false" customHeight="true" outlineLevel="0" collapsed="false">
      <c r="A29" s="34" t="s">
        <v>383</v>
      </c>
      <c r="B29" s="149"/>
      <c r="C29" s="104" t="n">
        <f aca="false">SUM('📊 P&amp;L Detail'!C26:N26)</f>
        <v>691114189.6875</v>
      </c>
      <c r="D29" s="104" t="n">
        <f aca="false">SUM('📊 P&amp;L Detail'!O26:Z26)</f>
        <v>1893371596.875</v>
      </c>
      <c r="E29" s="150" t="n">
        <f aca="false">SUM('📊 P&amp;L Detail'!AA26:AL26)</f>
        <v>2100050280</v>
      </c>
      <c r="F29" s="150"/>
    </row>
    <row r="30" customFormat="false" ht="15" hidden="false" customHeight="true" outlineLevel="0" collapsed="false">
      <c r="A30" s="31" t="s">
        <v>552</v>
      </c>
      <c r="B30" s="151"/>
      <c r="C30" s="152" t="n">
        <f aca="false">IFERROR(AVERAGE('📊 P&amp;L Detail'!C27:N27),"-")</f>
        <v>0.233688394590181</v>
      </c>
      <c r="D30" s="152" t="n">
        <f aca="false">IFERROR(AVERAGE('📊 P&amp;L Detail'!O27:Z27),"-")</f>
        <v>0.381278465689183</v>
      </c>
      <c r="E30" s="153" t="n">
        <f aca="false">IFERROR(AVERAGE('📊 P&amp;L Detail'!AA27:AL27),"-")</f>
        <v>0.398401061530638</v>
      </c>
      <c r="F30" s="153"/>
    </row>
    <row r="31" customFormat="false" ht="15" hidden="false" customHeight="true" outlineLevel="0" collapsed="false">
      <c r="A31" s="34" t="s">
        <v>477</v>
      </c>
      <c r="B31" s="149"/>
      <c r="C31" s="104" t="n">
        <f aca="false">SUM('📊 P&amp;L Detail'!C32:N32)</f>
        <v>521269023.65172</v>
      </c>
      <c r="D31" s="104" t="n">
        <f aca="false">SUM('📊 P&amp;L Detail'!O32:Z32)</f>
        <v>1630060318.13922</v>
      </c>
      <c r="E31" s="150" t="n">
        <f aca="false">SUM('📊 P&amp;L Detail'!AA32:AL32)</f>
        <v>1828743294.50574</v>
      </c>
      <c r="F31" s="150"/>
    </row>
    <row r="32" customFormat="false" ht="15" hidden="false" customHeight="true" outlineLevel="0" collapsed="false">
      <c r="A32" s="31" t="s">
        <v>553</v>
      </c>
      <c r="B32" s="151"/>
      <c r="C32" s="152" t="n">
        <f aca="false">IFERROR(AVERAGE('📊 P&amp;L Detail'!C33:N33),"-")</f>
        <v>0.184868701985652</v>
      </c>
      <c r="D32" s="152" t="n">
        <f aca="false">IFERROR(AVERAGE('📊 P&amp;L Detail'!O33:Z33),"-")</f>
        <v>0.327792496879031</v>
      </c>
      <c r="E32" s="153" t="n">
        <f aca="false">IFERROR(AVERAGE('📊 P&amp;L Detail'!AA33:AL33),"-")</f>
        <v>0.34662861207146</v>
      </c>
      <c r="F32" s="153"/>
    </row>
    <row r="33" customFormat="false" ht="13.8" hidden="false" customHeight="false" outlineLevel="0" collapsed="false"/>
    <row r="34" customFormat="false" ht="39.75" hidden="false" customHeight="true" outlineLevel="0" collapsed="false">
      <c r="A34" s="42" t="s">
        <v>554</v>
      </c>
      <c r="B34" s="42"/>
      <c r="C34" s="42"/>
      <c r="D34" s="42"/>
      <c r="E34" s="42"/>
      <c r="F34" s="42"/>
    </row>
  </sheetData>
  <mergeCells count="8">
    <mergeCell ref="A1:F1"/>
    <mergeCell ref="A3:F3"/>
    <mergeCell ref="A5:F5"/>
    <mergeCell ref="A10:F10"/>
    <mergeCell ref="A15:F15"/>
    <mergeCell ref="A19:F19"/>
    <mergeCell ref="A24:F24"/>
    <mergeCell ref="A34:F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0"/>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J36" activeCellId="0" sqref="J36"/>
    </sheetView>
  </sheetViews>
  <sheetFormatPr defaultColWidth="11.53515625" defaultRowHeight="12.8" customHeight="false" zeroHeight="false" outlineLevelRow="0" outlineLevelCol="0"/>
  <cols>
    <col collapsed="false" customWidth="true" hidden="false" outlineLevel="0" max="1" min="1" style="4" width="12.06"/>
    <col collapsed="false" customWidth="true" hidden="false" outlineLevel="0" max="2" min="2" style="4" width="18.34"/>
    <col collapsed="false" customWidth="true" hidden="false" outlineLevel="0" max="3" min="3" style="4" width="17.26"/>
    <col collapsed="false" customWidth="true" hidden="false" outlineLevel="0" max="4" min="4" style="4" width="13.49"/>
    <col collapsed="false" customWidth="true" hidden="false" outlineLevel="0" max="7" min="7" style="4" width="32.49"/>
  </cols>
  <sheetData>
    <row r="1" customFormat="false" ht="13.8" hidden="false" customHeight="false" outlineLevel="0" collapsed="false"/>
    <row r="2" customFormat="false" ht="13.8" hidden="false" customHeight="false" outlineLevel="0" collapsed="false"/>
    <row r="3" customFormat="false" ht="13.8" hidden="false" customHeight="false" outlineLevel="0" collapsed="false"/>
    <row r="4" customFormat="false" ht="13.8" hidden="false" customHeight="false" outlineLevel="0" collapsed="false">
      <c r="B4" s="154"/>
      <c r="D4" s="155"/>
    </row>
    <row r="5" customFormat="false" ht="13.8" hidden="false" customHeight="false" outlineLevel="0" collapsed="false">
      <c r="B5" s="154"/>
      <c r="D5" s="155"/>
    </row>
    <row r="6" customFormat="false" ht="13.8" hidden="false" customHeight="false" outlineLevel="0" collapsed="false">
      <c r="B6" s="154"/>
      <c r="D6" s="155"/>
    </row>
    <row r="7" customFormat="false" ht="13.8" hidden="false" customHeight="false" outlineLevel="0" collapsed="false">
      <c r="B7" s="154"/>
      <c r="D7" s="155"/>
    </row>
    <row r="8" customFormat="false" ht="13.8" hidden="false" customHeight="false" outlineLevel="0" collapsed="false">
      <c r="D8" s="155"/>
    </row>
    <row r="9" customFormat="false" ht="13.8" hidden="false" customHeight="false" outlineLevel="0" collapsed="false">
      <c r="D9" s="155"/>
    </row>
    <row r="10" customFormat="false" ht="13.8" hidden="false" customHeight="false" outlineLevel="0" collapsed="false">
      <c r="D10" s="155"/>
    </row>
    <row r="11" customFormat="false" ht="13.8" hidden="false" customHeight="false" outlineLevel="0" collapsed="false">
      <c r="D11" s="155"/>
    </row>
    <row r="12" customFormat="false" ht="13.8" hidden="false" customHeight="false" outlineLevel="0" collapsed="false">
      <c r="D12" s="155"/>
    </row>
    <row r="13" customFormat="false" ht="13.8" hidden="false" customHeight="false" outlineLevel="0" collapsed="false">
      <c r="D13" s="154"/>
      <c r="G13" s="154"/>
    </row>
    <row r="14" customFormat="false" ht="13.8" hidden="false" customHeight="false" outlineLevel="0" collapsed="false">
      <c r="D14" s="155"/>
    </row>
    <row r="15" customFormat="false" ht="13.8" hidden="false" customHeight="false" outlineLevel="0" collapsed="false">
      <c r="D15" s="155"/>
    </row>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c r="B19" s="154"/>
    </row>
    <row r="20" customFormat="false" ht="13.8" hidden="false" customHeight="false" outlineLevel="0" collapsed="false"/>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&amp;C&amp;"Arial,Regular"&amp;10&amp;Kffffff&amp;A</oddHeader>
    <oddFooter>&amp;C&amp;"Arial,Regular"&amp;10&amp;KffffffPage &amp;P</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65C0"/>
    <pageSetUpPr fitToPage="false"/>
  </sheetPr>
  <dimension ref="A1:G50"/>
  <sheetViews>
    <sheetView showFormulas="false" showGridLines="false" showRowColHeaders="true" showZeros="true" rightToLeft="false" tabSelected="false" showOutlineSymbols="true" defaultGridColor="true" view="normal" topLeftCell="A1" colorId="64" zoomScale="120" zoomScaleNormal="120" zoomScalePageLayoutView="100" workbookViewId="0">
      <selection pane="topLeft" activeCell="F8" activeCellId="0" sqref="F8"/>
    </sheetView>
  </sheetViews>
  <sheetFormatPr defaultColWidth="8.71484375" defaultRowHeight="12.8" customHeight="false" zeroHeight="false" outlineLevelRow="0" outlineLevelCol="0"/>
  <cols>
    <col collapsed="false" customWidth="true" hidden="false" outlineLevel="0" max="1" min="1" style="4" width="28.99"/>
    <col collapsed="false" customWidth="true" hidden="false" outlineLevel="0" max="6" min="2" style="4" width="18"/>
    <col collapsed="false" customWidth="true" hidden="false" outlineLevel="0" max="7" min="7" style="4" width="16.77"/>
  </cols>
  <sheetData>
    <row r="1" customFormat="false" ht="30" hidden="false" customHeight="true" outlineLevel="0" collapsed="false">
      <c r="A1" s="54" t="s">
        <v>555</v>
      </c>
      <c r="B1" s="54"/>
      <c r="C1" s="54"/>
      <c r="D1" s="54"/>
      <c r="E1" s="54"/>
      <c r="F1" s="54"/>
      <c r="G1" s="54"/>
    </row>
    <row r="2" customFormat="false" ht="13.8" hidden="false" customHeight="false" outlineLevel="0" collapsed="false"/>
    <row r="3" customFormat="false" ht="15.75" hidden="false" customHeight="true" outlineLevel="0" collapsed="false">
      <c r="A3" s="156" t="s">
        <v>556</v>
      </c>
      <c r="B3" s="156" t="s">
        <v>90</v>
      </c>
      <c r="C3" s="156" t="s">
        <v>93</v>
      </c>
    </row>
    <row r="4" customFormat="false" ht="15.75" hidden="false" customHeight="true" outlineLevel="0" collapsed="false">
      <c r="A4" s="37" t="s">
        <v>557</v>
      </c>
      <c r="B4" s="64" t="s">
        <v>558</v>
      </c>
      <c r="C4" s="157"/>
    </row>
    <row r="5" customFormat="false" ht="15.75" hidden="false" customHeight="true" outlineLevel="0" collapsed="false">
      <c r="A5" s="37" t="s">
        <v>559</v>
      </c>
      <c r="B5" s="158" t="n">
        <v>0.7</v>
      </c>
      <c r="C5" s="157"/>
    </row>
    <row r="6" customFormat="false" ht="15" hidden="false" customHeight="true" outlineLevel="0" collapsed="false">
      <c r="A6" s="37" t="s">
        <v>560</v>
      </c>
      <c r="B6" s="64" t="n">
        <f aca="false">IF($B$4="No/ Không",0,'⚙️ Assumptions'!$B$18*B5)</f>
        <v>451500000</v>
      </c>
      <c r="C6" s="157" t="s">
        <v>561</v>
      </c>
    </row>
    <row r="7" customFormat="false" ht="15" hidden="false" customHeight="true" outlineLevel="0" collapsed="false">
      <c r="A7" s="38" t="s">
        <v>562</v>
      </c>
      <c r="B7" s="53" t="n">
        <v>0.09</v>
      </c>
      <c r="C7" s="159" t="s">
        <v>561</v>
      </c>
    </row>
    <row r="8" customFormat="false" ht="15" hidden="false" customHeight="true" outlineLevel="0" collapsed="false">
      <c r="A8" s="37" t="s">
        <v>563</v>
      </c>
      <c r="B8" s="64" t="n">
        <v>36</v>
      </c>
      <c r="C8" s="157" t="s">
        <v>561</v>
      </c>
    </row>
    <row r="9" customFormat="false" ht="15" hidden="false" customHeight="true" outlineLevel="0" collapsed="false">
      <c r="A9" s="38" t="s">
        <v>564</v>
      </c>
      <c r="B9" s="64" t="n">
        <v>0</v>
      </c>
      <c r="C9" s="159" t="s">
        <v>561</v>
      </c>
    </row>
    <row r="10" customFormat="false" ht="15" hidden="false" customHeight="true" outlineLevel="0" collapsed="false">
      <c r="A10" s="37" t="s">
        <v>565</v>
      </c>
      <c r="B10" s="46" t="s">
        <v>107</v>
      </c>
      <c r="C10" s="157" t="s">
        <v>561</v>
      </c>
    </row>
    <row r="11" customFormat="false" ht="15" hidden="false" customHeight="true" outlineLevel="0" collapsed="false">
      <c r="A11" s="38" t="s">
        <v>566</v>
      </c>
      <c r="B11" s="46" t="s">
        <v>567</v>
      </c>
      <c r="C11" s="159" t="s">
        <v>561</v>
      </c>
    </row>
    <row r="12" customFormat="false" ht="13.8" hidden="false" customHeight="false" outlineLevel="0" collapsed="false"/>
    <row r="13" customFormat="false" ht="27.75" hidden="false" customHeight="true" outlineLevel="0" collapsed="false">
      <c r="A13" s="160" t="s">
        <v>568</v>
      </c>
      <c r="B13" s="160" t="s">
        <v>569</v>
      </c>
      <c r="C13" s="160" t="s">
        <v>570</v>
      </c>
      <c r="D13" s="160" t="s">
        <v>571</v>
      </c>
      <c r="E13" s="160" t="s">
        <v>572</v>
      </c>
      <c r="F13" s="160" t="s">
        <v>573</v>
      </c>
      <c r="G13" s="160" t="s">
        <v>574</v>
      </c>
    </row>
    <row r="14" customFormat="false" ht="13.5" hidden="false" customHeight="true" outlineLevel="0" collapsed="false">
      <c r="A14" s="161" t="n">
        <v>1</v>
      </c>
      <c r="B14" s="162" t="n">
        <f aca="false">'⚙️ Assumptions'!B6</f>
        <v>46661</v>
      </c>
      <c r="C14" s="68" t="n">
        <f aca="false">B6</f>
        <v>451500000</v>
      </c>
      <c r="D14" s="68" t="n">
        <f aca="false">C14*(B7/12)</f>
        <v>3386250</v>
      </c>
      <c r="E14" s="68" t="n">
        <f aca="false">IF(1&lt;=0,0,MAX(0,(-PMT(B7/12,B8-B9,B6))-D14))</f>
        <v>10971329.2959632</v>
      </c>
      <c r="F14" s="105" t="n">
        <f aca="false">D14+E14</f>
        <v>14357579.2959632</v>
      </c>
      <c r="G14" s="68" t="n">
        <f aca="false">MAX(0,C14-E14)</f>
        <v>440528670.704037</v>
      </c>
    </row>
    <row r="15" customFormat="false" ht="13.5" hidden="false" customHeight="true" outlineLevel="0" collapsed="false">
      <c r="A15" s="163" t="n">
        <v>2</v>
      </c>
      <c r="B15" s="162" t="n">
        <f aca="false">EDATE($B$14,A14)</f>
        <v>46692</v>
      </c>
      <c r="C15" s="60" t="n">
        <f aca="false">G14</f>
        <v>440528670.704037</v>
      </c>
      <c r="D15" s="60" t="n">
        <f aca="false">C15*(B7/12)</f>
        <v>3303965.03028028</v>
      </c>
      <c r="E15" s="60" t="n">
        <f aca="false">IF(2&lt;=0,0,MAX(0,(-PMT(B7/12,B8-B9,B6))-D15))</f>
        <v>11053614.2656829</v>
      </c>
      <c r="F15" s="104" t="n">
        <f aca="false">D15+E15</f>
        <v>14357579.2959632</v>
      </c>
      <c r="G15" s="60" t="n">
        <f aca="false">MAX(0,C15-E15)</f>
        <v>429475056.438354</v>
      </c>
    </row>
    <row r="16" customFormat="false" ht="13.5" hidden="false" customHeight="true" outlineLevel="0" collapsed="false">
      <c r="A16" s="161" t="n">
        <v>3</v>
      </c>
      <c r="B16" s="162" t="n">
        <f aca="false">EDATE($B$14,A15)</f>
        <v>46722</v>
      </c>
      <c r="C16" s="68" t="n">
        <f aca="false">G15</f>
        <v>429475056.438354</v>
      </c>
      <c r="D16" s="68" t="n">
        <f aca="false">C16*(B7/12)</f>
        <v>3221062.92328765</v>
      </c>
      <c r="E16" s="68" t="n">
        <f aca="false">IF(3&lt;=0,0,MAX(0,(-PMT(B7/12,B8-B9,B6))-D16))</f>
        <v>11136516.3726756</v>
      </c>
      <c r="F16" s="105" t="n">
        <f aca="false">D16+E16</f>
        <v>14357579.2959632</v>
      </c>
      <c r="G16" s="68" t="n">
        <f aca="false">MAX(0,C16-E16)</f>
        <v>418338540.065678</v>
      </c>
    </row>
    <row r="17" customFormat="false" ht="13.5" hidden="false" customHeight="true" outlineLevel="0" collapsed="false">
      <c r="A17" s="163" t="n">
        <v>4</v>
      </c>
      <c r="B17" s="162" t="n">
        <f aca="false">EDATE($B$14,A16)</f>
        <v>46753</v>
      </c>
      <c r="C17" s="60" t="n">
        <f aca="false">G16</f>
        <v>418338540.065678</v>
      </c>
      <c r="D17" s="60" t="n">
        <f aca="false">C17*(B7/12)</f>
        <v>3137539.05049259</v>
      </c>
      <c r="E17" s="60" t="n">
        <f aca="false">IF(4&lt;=0,0,MAX(0,(-PMT(B7/12,B8-B9,B6))-D17))</f>
        <v>11220040.2454706</v>
      </c>
      <c r="F17" s="104" t="n">
        <f aca="false">D17+E17</f>
        <v>14357579.2959632</v>
      </c>
      <c r="G17" s="60" t="n">
        <f aca="false">MAX(0,C17-E17)</f>
        <v>407118499.820208</v>
      </c>
    </row>
    <row r="18" customFormat="false" ht="13.5" hidden="false" customHeight="true" outlineLevel="0" collapsed="false">
      <c r="A18" s="161" t="n">
        <v>5</v>
      </c>
      <c r="B18" s="162" t="n">
        <f aca="false">EDATE($B$14,A17)</f>
        <v>46784</v>
      </c>
      <c r="C18" s="68" t="n">
        <f aca="false">G17</f>
        <v>407118499.820208</v>
      </c>
      <c r="D18" s="68" t="n">
        <f aca="false">C18*(B7/12)</f>
        <v>3053388.74865156</v>
      </c>
      <c r="E18" s="68" t="n">
        <f aca="false">IF(5&lt;=0,0,MAX(0,(-PMT(B7/12,B8-B9,B6))-D18))</f>
        <v>11304190.5473117</v>
      </c>
      <c r="F18" s="105" t="n">
        <f aca="false">D18+E18</f>
        <v>14357579.2959632</v>
      </c>
      <c r="G18" s="68" t="n">
        <f aca="false">MAX(0,C18-E18)</f>
        <v>395814309.272896</v>
      </c>
    </row>
    <row r="19" customFormat="false" ht="13.5" hidden="false" customHeight="true" outlineLevel="0" collapsed="false">
      <c r="A19" s="163" t="n">
        <v>6</v>
      </c>
      <c r="B19" s="162" t="n">
        <f aca="false">EDATE($B$14,A18)</f>
        <v>46813</v>
      </c>
      <c r="C19" s="60" t="n">
        <f aca="false">G18</f>
        <v>395814309.272896</v>
      </c>
      <c r="D19" s="60" t="n">
        <f aca="false">C19*(B7/12)</f>
        <v>2968607.31954672</v>
      </c>
      <c r="E19" s="60" t="n">
        <f aca="false">IF(6&lt;=0,0,MAX(0,(-PMT(B7/12,B8-B9,B6))-D19))</f>
        <v>11388971.9764165</v>
      </c>
      <c r="F19" s="104" t="n">
        <f aca="false">D19+E19</f>
        <v>14357579.2959632</v>
      </c>
      <c r="G19" s="60" t="n">
        <f aca="false">MAX(0,C19-E19)</f>
        <v>384425337.296479</v>
      </c>
    </row>
    <row r="20" customFormat="false" ht="13.5" hidden="false" customHeight="true" outlineLevel="0" collapsed="false">
      <c r="A20" s="161" t="n">
        <v>7</v>
      </c>
      <c r="B20" s="162" t="n">
        <f aca="false">EDATE($B$14,A19)</f>
        <v>46844</v>
      </c>
      <c r="C20" s="68" t="n">
        <f aca="false">G19</f>
        <v>384425337.296479</v>
      </c>
      <c r="D20" s="68" t="n">
        <f aca="false">C20*(B7/12)</f>
        <v>2883190.0297236</v>
      </c>
      <c r="E20" s="68" t="n">
        <f aca="false">IF(7&lt;=0,0,MAX(0,(-PMT(B7/12,B8-B9,B6))-D20))</f>
        <v>11474389.2662396</v>
      </c>
      <c r="F20" s="105" t="n">
        <f aca="false">D20+E20</f>
        <v>14357579.2959632</v>
      </c>
      <c r="G20" s="68" t="n">
        <f aca="false">MAX(0,C20-E20)</f>
        <v>372950948.03024</v>
      </c>
    </row>
    <row r="21" customFormat="false" ht="13.5" hidden="false" customHeight="true" outlineLevel="0" collapsed="false">
      <c r="A21" s="163" t="n">
        <v>8</v>
      </c>
      <c r="B21" s="162" t="n">
        <f aca="false">EDATE($B$14,A20)</f>
        <v>46874</v>
      </c>
      <c r="C21" s="60" t="n">
        <f aca="false">G20</f>
        <v>372950948.03024</v>
      </c>
      <c r="D21" s="60" t="n">
        <f aca="false">C21*(B7/12)</f>
        <v>2797132.1102268</v>
      </c>
      <c r="E21" s="60" t="n">
        <f aca="false">IF(8&lt;=0,0,MAX(0,(-PMT(B7/12,B8-B9,B6))-D21))</f>
        <v>11560447.1857364</v>
      </c>
      <c r="F21" s="104" t="n">
        <f aca="false">D21+E21</f>
        <v>14357579.2959632</v>
      </c>
      <c r="G21" s="60" t="n">
        <f aca="false">MAX(0,C21-E21)</f>
        <v>361390500.844503</v>
      </c>
    </row>
    <row r="22" customFormat="false" ht="13.5" hidden="false" customHeight="true" outlineLevel="0" collapsed="false">
      <c r="A22" s="161" t="n">
        <v>9</v>
      </c>
      <c r="B22" s="162" t="n">
        <f aca="false">EDATE($B$14,A21)</f>
        <v>46905</v>
      </c>
      <c r="C22" s="68" t="n">
        <f aca="false">G21</f>
        <v>361390500.844503</v>
      </c>
      <c r="D22" s="68" t="n">
        <f aca="false">C22*(B7/12)</f>
        <v>2710428.75633378</v>
      </c>
      <c r="E22" s="68" t="n">
        <f aca="false">IF(9&lt;=0,0,MAX(0,(-PMT(B7/12,B8-B9,B6))-D22))</f>
        <v>11647150.5396294</v>
      </c>
      <c r="F22" s="105" t="n">
        <f aca="false">D22+E22</f>
        <v>14357579.2959632</v>
      </c>
      <c r="G22" s="68" t="n">
        <f aca="false">MAX(0,C22-E22)</f>
        <v>349743350.304874</v>
      </c>
    </row>
    <row r="23" customFormat="false" ht="13.5" hidden="false" customHeight="true" outlineLevel="0" collapsed="false">
      <c r="A23" s="163" t="n">
        <v>10</v>
      </c>
      <c r="B23" s="162" t="n">
        <f aca="false">EDATE($B$14,A22)</f>
        <v>46935</v>
      </c>
      <c r="C23" s="60" t="n">
        <f aca="false">G22</f>
        <v>349743350.304874</v>
      </c>
      <c r="D23" s="60" t="n">
        <f aca="false">C23*(B7/12)</f>
        <v>2623075.12728655</v>
      </c>
      <c r="E23" s="60" t="n">
        <f aca="false">IF(10&lt;=0,0,MAX(0,(-PMT(B7/12,B8-B9,B6))-D23))</f>
        <v>11734504.1686767</v>
      </c>
      <c r="F23" s="104" t="n">
        <f aca="false">D23+E23</f>
        <v>14357579.2959632</v>
      </c>
      <c r="G23" s="60" t="n">
        <f aca="false">MAX(0,C23-E23)</f>
        <v>338008846.136197</v>
      </c>
    </row>
    <row r="24" customFormat="false" ht="13.5" hidden="false" customHeight="true" outlineLevel="0" collapsed="false">
      <c r="A24" s="161" t="n">
        <v>11</v>
      </c>
      <c r="B24" s="162" t="n">
        <f aca="false">EDATE($B$14,A23)</f>
        <v>46966</v>
      </c>
      <c r="C24" s="68" t="n">
        <f aca="false">G23</f>
        <v>338008846.136197</v>
      </c>
      <c r="D24" s="68" t="n">
        <f aca="false">C24*(B7/12)</f>
        <v>2535066.34602148</v>
      </c>
      <c r="E24" s="68" t="n">
        <f aca="false">IF(11&lt;=0,0,MAX(0,(-PMT(B7/12,B8-B9,B6))-D24))</f>
        <v>11822512.9499417</v>
      </c>
      <c r="F24" s="105" t="n">
        <f aca="false">D24+E24</f>
        <v>14357579.2959632</v>
      </c>
      <c r="G24" s="68" t="n">
        <f aca="false">MAX(0,C24-E24)</f>
        <v>326186333.186256</v>
      </c>
    </row>
    <row r="25" customFormat="false" ht="13.5" hidden="false" customHeight="true" outlineLevel="0" collapsed="false">
      <c r="A25" s="163" t="n">
        <v>12</v>
      </c>
      <c r="B25" s="162" t="n">
        <f aca="false">EDATE($B$14,A24)</f>
        <v>46997</v>
      </c>
      <c r="C25" s="60" t="n">
        <f aca="false">G24</f>
        <v>326186333.186256</v>
      </c>
      <c r="D25" s="60" t="n">
        <f aca="false">C25*(B7/12)</f>
        <v>2446397.49889692</v>
      </c>
      <c r="E25" s="60" t="n">
        <f aca="false">IF(12&lt;=0,0,MAX(0,(-PMT(B7/12,B8-B9,B6))-D25))</f>
        <v>11911181.7970663</v>
      </c>
      <c r="F25" s="104" t="n">
        <f aca="false">D25+E25</f>
        <v>14357579.2959632</v>
      </c>
      <c r="G25" s="60" t="n">
        <f aca="false">MAX(0,C25-E25)</f>
        <v>314275151.389189</v>
      </c>
    </row>
    <row r="26" customFormat="false" ht="13.5" hidden="false" customHeight="true" outlineLevel="0" collapsed="false">
      <c r="A26" s="161" t="n">
        <v>13</v>
      </c>
      <c r="B26" s="162" t="n">
        <f aca="false">EDATE($B$14,A25)</f>
        <v>47027</v>
      </c>
      <c r="C26" s="68" t="n">
        <f aca="false">G25</f>
        <v>314275151.389189</v>
      </c>
      <c r="D26" s="68" t="n">
        <f aca="false">C26*(B7/12)</f>
        <v>2357063.63541892</v>
      </c>
      <c r="E26" s="68" t="n">
        <f aca="false">IF(13&lt;=0,0,MAX(0,(-PMT(B7/12,B8-B9,B6))-D26))</f>
        <v>12000515.6605443</v>
      </c>
      <c r="F26" s="105" t="n">
        <f aca="false">D26+E26</f>
        <v>14357579.2959632</v>
      </c>
      <c r="G26" s="68" t="n">
        <f aca="false">MAX(0,C26-E26)</f>
        <v>302274635.728645</v>
      </c>
    </row>
    <row r="27" customFormat="false" ht="13.5" hidden="false" customHeight="true" outlineLevel="0" collapsed="false">
      <c r="A27" s="163" t="n">
        <v>14</v>
      </c>
      <c r="B27" s="162" t="n">
        <f aca="false">EDATE($B$14,A26)</f>
        <v>47058</v>
      </c>
      <c r="C27" s="60" t="n">
        <f aca="false">G26</f>
        <v>302274635.728645</v>
      </c>
      <c r="D27" s="60" t="n">
        <f aca="false">C27*(B7/12)</f>
        <v>2267059.76796484</v>
      </c>
      <c r="E27" s="60" t="n">
        <f aca="false">IF(14&lt;=0,0,MAX(0,(-PMT(B7/12,B8-B9,B6))-D27))</f>
        <v>12090519.5279984</v>
      </c>
      <c r="F27" s="104" t="n">
        <f aca="false">D27+E27</f>
        <v>14357579.2959632</v>
      </c>
      <c r="G27" s="60" t="n">
        <f aca="false">MAX(0,C27-E27)</f>
        <v>290184116.200647</v>
      </c>
    </row>
    <row r="28" customFormat="false" ht="13.5" hidden="false" customHeight="true" outlineLevel="0" collapsed="false">
      <c r="A28" s="161" t="n">
        <v>15</v>
      </c>
      <c r="B28" s="162" t="n">
        <f aca="false">EDATE($B$14,A27)</f>
        <v>47088</v>
      </c>
      <c r="C28" s="68" t="n">
        <f aca="false">G27</f>
        <v>290184116.200647</v>
      </c>
      <c r="D28" s="68" t="n">
        <f aca="false">C28*(B7/12)</f>
        <v>2176380.87150485</v>
      </c>
      <c r="E28" s="68" t="n">
        <f aca="false">IF(15&lt;=0,0,MAX(0,(-PMT(B7/12,B8-B9,B6))-D28))</f>
        <v>12181198.4244584</v>
      </c>
      <c r="F28" s="105" t="n">
        <f aca="false">D28+E28</f>
        <v>14357579.2959632</v>
      </c>
      <c r="G28" s="68" t="n">
        <f aca="false">MAX(0,C28-E28)</f>
        <v>278002917.776188</v>
      </c>
    </row>
    <row r="29" customFormat="false" ht="13.5" hidden="false" customHeight="true" outlineLevel="0" collapsed="false">
      <c r="A29" s="163" t="n">
        <v>16</v>
      </c>
      <c r="B29" s="162" t="n">
        <f aca="false">EDATE($B$14,A28)</f>
        <v>47119</v>
      </c>
      <c r="C29" s="60" t="n">
        <f aca="false">G28</f>
        <v>278002917.776188</v>
      </c>
      <c r="D29" s="60" t="n">
        <f aca="false">C29*(B7/12)</f>
        <v>2085021.88332141</v>
      </c>
      <c r="E29" s="60" t="n">
        <f aca="false">IF(16&lt;=0,0,MAX(0,(-PMT(B7/12,B8-B9,B6))-D29))</f>
        <v>12272557.4126418</v>
      </c>
      <c r="F29" s="104" t="n">
        <f aca="false">D29+E29</f>
        <v>14357579.2959632</v>
      </c>
      <c r="G29" s="60" t="n">
        <f aca="false">MAX(0,C29-E29)</f>
        <v>265730360.363546</v>
      </c>
    </row>
    <row r="30" customFormat="false" ht="13.5" hidden="false" customHeight="true" outlineLevel="0" collapsed="false">
      <c r="A30" s="161" t="n">
        <v>17</v>
      </c>
      <c r="B30" s="162" t="n">
        <f aca="false">EDATE($B$14,A29)</f>
        <v>47150</v>
      </c>
      <c r="C30" s="68" t="n">
        <f aca="false">G29</f>
        <v>265730360.363546</v>
      </c>
      <c r="D30" s="68" t="n">
        <f aca="false">C30*(B7/12)</f>
        <v>1992977.7027266</v>
      </c>
      <c r="E30" s="68" t="n">
        <f aca="false">IF(17&lt;=0,0,MAX(0,(-PMT(B7/12,B8-B9,B6))-D30))</f>
        <v>12364601.5932366</v>
      </c>
      <c r="F30" s="105" t="n">
        <f aca="false">D30+E30</f>
        <v>14357579.2959632</v>
      </c>
      <c r="G30" s="68" t="n">
        <f aca="false">MAX(0,C30-E30)</f>
        <v>253365758.77031</v>
      </c>
    </row>
    <row r="31" customFormat="false" ht="13.5" hidden="false" customHeight="true" outlineLevel="0" collapsed="false">
      <c r="A31" s="163" t="n">
        <v>18</v>
      </c>
      <c r="B31" s="162" t="n">
        <f aca="false">EDATE($B$14,A30)</f>
        <v>47178</v>
      </c>
      <c r="C31" s="60" t="n">
        <f aca="false">G30</f>
        <v>253365758.77031</v>
      </c>
      <c r="D31" s="60" t="n">
        <f aca="false">C31*(B7/12)</f>
        <v>1900243.19077732</v>
      </c>
      <c r="E31" s="60" t="n">
        <f aca="false">IF(18&lt;=0,0,MAX(0,(-PMT(B7/12,B8-B9,B6))-D31))</f>
        <v>12457336.1051859</v>
      </c>
      <c r="F31" s="104" t="n">
        <f aca="false">D31+E31</f>
        <v>14357579.2959632</v>
      </c>
      <c r="G31" s="60" t="n">
        <f aca="false">MAX(0,C31-E31)</f>
        <v>240908422.665124</v>
      </c>
    </row>
    <row r="32" customFormat="false" ht="13.5" hidden="false" customHeight="true" outlineLevel="0" collapsed="false">
      <c r="A32" s="161" t="n">
        <v>19</v>
      </c>
      <c r="B32" s="162" t="n">
        <f aca="false">EDATE($B$14,A31)</f>
        <v>47209</v>
      </c>
      <c r="C32" s="68" t="n">
        <f aca="false">G31</f>
        <v>240908422.665124</v>
      </c>
      <c r="D32" s="68" t="n">
        <f aca="false">C32*(B7/12)</f>
        <v>1806813.16998843</v>
      </c>
      <c r="E32" s="68" t="n">
        <f aca="false">IF(19&lt;=0,0,MAX(0,(-PMT(B7/12,B8-B9,B6))-D32))</f>
        <v>12550766.1259748</v>
      </c>
      <c r="F32" s="105" t="n">
        <f aca="false">D32+E32</f>
        <v>14357579.2959632</v>
      </c>
      <c r="G32" s="68" t="n">
        <f aca="false">MAX(0,C32-E32)</f>
        <v>228357656.539149</v>
      </c>
    </row>
    <row r="33" customFormat="false" ht="13.5" hidden="false" customHeight="true" outlineLevel="0" collapsed="false">
      <c r="A33" s="163" t="n">
        <v>20</v>
      </c>
      <c r="B33" s="162" t="n">
        <f aca="false">EDATE($B$14,A32)</f>
        <v>47239</v>
      </c>
      <c r="C33" s="60" t="n">
        <f aca="false">G32</f>
        <v>228357656.539149</v>
      </c>
      <c r="D33" s="60" t="n">
        <f aca="false">C33*(B7/12)</f>
        <v>1712682.42404362</v>
      </c>
      <c r="E33" s="60" t="n">
        <f aca="false">IF(20&lt;=0,0,MAX(0,(-PMT(B7/12,B8-B9,B6))-D33))</f>
        <v>12644896.8719196</v>
      </c>
      <c r="F33" s="104" t="n">
        <f aca="false">D33+E33</f>
        <v>14357579.2959632</v>
      </c>
      <c r="G33" s="60" t="n">
        <f aca="false">MAX(0,C33-E33)</f>
        <v>215712759.66723</v>
      </c>
    </row>
    <row r="34" customFormat="false" ht="13.5" hidden="false" customHeight="true" outlineLevel="0" collapsed="false">
      <c r="A34" s="161" t="n">
        <v>21</v>
      </c>
      <c r="B34" s="162" t="n">
        <f aca="false">EDATE($B$14,A33)</f>
        <v>47270</v>
      </c>
      <c r="C34" s="68" t="n">
        <f aca="false">G33</f>
        <v>215712759.66723</v>
      </c>
      <c r="D34" s="68" t="n">
        <f aca="false">C34*(B7/12)</f>
        <v>1617845.69750422</v>
      </c>
      <c r="E34" s="68" t="n">
        <f aca="false">IF(21&lt;=0,0,MAX(0,(-PMT(B7/12,B8-B9,B6))-D34))</f>
        <v>12739733.598459</v>
      </c>
      <c r="F34" s="105" t="n">
        <f aca="false">D34+E34</f>
        <v>14357579.2959632</v>
      </c>
      <c r="G34" s="68" t="n">
        <f aca="false">MAX(0,C34-E34)</f>
        <v>202973026.068771</v>
      </c>
    </row>
    <row r="35" customFormat="false" ht="13.5" hidden="false" customHeight="true" outlineLevel="0" collapsed="false">
      <c r="A35" s="163" t="n">
        <v>22</v>
      </c>
      <c r="B35" s="162" t="n">
        <f aca="false">EDATE($B$14,A34)</f>
        <v>47300</v>
      </c>
      <c r="C35" s="60" t="n">
        <f aca="false">G34</f>
        <v>202973026.068771</v>
      </c>
      <c r="D35" s="60" t="n">
        <f aca="false">C35*(B7/12)</f>
        <v>1522297.69551578</v>
      </c>
      <c r="E35" s="60" t="n">
        <f aca="false">IF(22&lt;=0,0,MAX(0,(-PMT(B7/12,B8-B9,B6))-D35))</f>
        <v>12835281.6004474</v>
      </c>
      <c r="F35" s="104" t="n">
        <f aca="false">D35+E35</f>
        <v>14357579.2959632</v>
      </c>
      <c r="G35" s="60" t="n">
        <f aca="false">MAX(0,C35-E35)</f>
        <v>190137744.468323</v>
      </c>
    </row>
    <row r="36" customFormat="false" ht="13.5" hidden="false" customHeight="true" outlineLevel="0" collapsed="false">
      <c r="A36" s="161" t="n">
        <v>23</v>
      </c>
      <c r="B36" s="162" t="n">
        <f aca="false">EDATE($B$14,A35)</f>
        <v>47331</v>
      </c>
      <c r="C36" s="68" t="n">
        <f aca="false">G35</f>
        <v>190137744.468323</v>
      </c>
      <c r="D36" s="68" t="n">
        <f aca="false">C36*(B7/12)</f>
        <v>1426033.08351242</v>
      </c>
      <c r="E36" s="68" t="n">
        <f aca="false">IF(23&lt;=0,0,MAX(0,(-PMT(B7/12,B8-B9,B6))-D36))</f>
        <v>12931546.2124508</v>
      </c>
      <c r="F36" s="105" t="n">
        <f aca="false">D36+E36</f>
        <v>14357579.2959632</v>
      </c>
      <c r="G36" s="68" t="n">
        <f aca="false">MAX(0,C36-E36)</f>
        <v>177206198.255872</v>
      </c>
    </row>
    <row r="37" customFormat="false" ht="13.5" hidden="false" customHeight="true" outlineLevel="0" collapsed="false">
      <c r="A37" s="163" t="n">
        <v>24</v>
      </c>
      <c r="B37" s="162" t="n">
        <f aca="false">EDATE($B$14,A36)</f>
        <v>47362</v>
      </c>
      <c r="C37" s="60" t="n">
        <f aca="false">G36</f>
        <v>177206198.255872</v>
      </c>
      <c r="D37" s="60" t="n">
        <f aca="false">C37*(B7/12)</f>
        <v>1329046.48691904</v>
      </c>
      <c r="E37" s="60" t="n">
        <f aca="false">IF(24&lt;=0,0,MAX(0,(-PMT(B7/12,B8-B9,B6))-D37))</f>
        <v>13028532.8090442</v>
      </c>
      <c r="F37" s="104" t="n">
        <f aca="false">D37+E37</f>
        <v>14357579.2959632</v>
      </c>
      <c r="G37" s="60" t="n">
        <f aca="false">MAX(0,C37-E37)</f>
        <v>164177665.446828</v>
      </c>
    </row>
    <row r="38" customFormat="false" ht="13.5" hidden="false" customHeight="true" outlineLevel="0" collapsed="false">
      <c r="A38" s="161" t="n">
        <v>25</v>
      </c>
      <c r="B38" s="162" t="n">
        <f aca="false">EDATE($B$14,A37)</f>
        <v>47392</v>
      </c>
      <c r="C38" s="68" t="n">
        <f aca="false">G37</f>
        <v>164177665.446828</v>
      </c>
      <c r="D38" s="68" t="n">
        <f aca="false">C38*(B7/12)</f>
        <v>1231332.49085121</v>
      </c>
      <c r="E38" s="68" t="n">
        <f aca="false">IF(25&lt;=0,0,MAX(0,(-PMT(B7/12,B8-B9,B6))-D38))</f>
        <v>13126246.805112</v>
      </c>
      <c r="F38" s="105" t="n">
        <f aca="false">D38+E38</f>
        <v>14357579.2959632</v>
      </c>
      <c r="G38" s="68" t="n">
        <f aca="false">MAX(0,C38-E38)</f>
        <v>151051418.641716</v>
      </c>
    </row>
    <row r="39" customFormat="false" ht="13.5" hidden="false" customHeight="true" outlineLevel="0" collapsed="false">
      <c r="A39" s="163" t="n">
        <v>26</v>
      </c>
      <c r="B39" s="162" t="n">
        <f aca="false">EDATE($B$14,A38)</f>
        <v>47423</v>
      </c>
      <c r="C39" s="60" t="n">
        <f aca="false">G38</f>
        <v>151051418.641716</v>
      </c>
      <c r="D39" s="60" t="n">
        <f aca="false">C39*(B7/12)</f>
        <v>1132885.63981287</v>
      </c>
      <c r="E39" s="60" t="n">
        <f aca="false">IF(26&lt;=0,0,MAX(0,(-PMT(B7/12,B8-B9,B6))-D39))</f>
        <v>13224693.6561503</v>
      </c>
      <c r="F39" s="104" t="n">
        <f aca="false">D39+E39</f>
        <v>14357579.2959632</v>
      </c>
      <c r="G39" s="60" t="n">
        <f aca="false">MAX(0,C39-E39)</f>
        <v>137826724.985566</v>
      </c>
    </row>
    <row r="40" customFormat="false" ht="13.5" hidden="false" customHeight="true" outlineLevel="0" collapsed="false">
      <c r="A40" s="161" t="n">
        <v>27</v>
      </c>
      <c r="B40" s="162" t="n">
        <f aca="false">EDATE($B$14,A39)</f>
        <v>47453</v>
      </c>
      <c r="C40" s="68" t="n">
        <f aca="false">G39</f>
        <v>137826724.985566</v>
      </c>
      <c r="D40" s="68" t="n">
        <f aca="false">C40*(B7/12)</f>
        <v>1033700.43739174</v>
      </c>
      <c r="E40" s="68" t="n">
        <f aca="false">IF(27&lt;=0,0,MAX(0,(-PMT(B7/12,B8-B9,B6))-D40))</f>
        <v>13323878.8585715</v>
      </c>
      <c r="F40" s="105" t="n">
        <f aca="false">D40+E40</f>
        <v>14357579.2959632</v>
      </c>
      <c r="G40" s="68" t="n">
        <f aca="false">MAX(0,C40-E40)</f>
        <v>124502846.126994</v>
      </c>
    </row>
    <row r="41" customFormat="false" ht="13.5" hidden="false" customHeight="true" outlineLevel="0" collapsed="false">
      <c r="A41" s="163" t="n">
        <v>28</v>
      </c>
      <c r="B41" s="162" t="n">
        <f aca="false">EDATE($B$14,A40)</f>
        <v>47484</v>
      </c>
      <c r="C41" s="60" t="n">
        <f aca="false">G40</f>
        <v>124502846.126994</v>
      </c>
      <c r="D41" s="60" t="n">
        <f aca="false">C41*(B7/12)</f>
        <v>933771.345952457</v>
      </c>
      <c r="E41" s="60" t="n">
        <f aca="false">IF(28&lt;=0,0,MAX(0,(-PMT(B7/12,B8-B9,B6))-D41))</f>
        <v>13423807.9500108</v>
      </c>
      <c r="F41" s="104" t="n">
        <f aca="false">D41+E41</f>
        <v>14357579.2959632</v>
      </c>
      <c r="G41" s="60" t="n">
        <f aca="false">MAX(0,C41-E41)</f>
        <v>111079038.176983</v>
      </c>
    </row>
    <row r="42" customFormat="false" ht="13.5" hidden="false" customHeight="true" outlineLevel="0" collapsed="false">
      <c r="A42" s="161" t="n">
        <v>29</v>
      </c>
      <c r="B42" s="162" t="n">
        <f aca="false">EDATE($B$14,A41)</f>
        <v>47515</v>
      </c>
      <c r="C42" s="68" t="n">
        <f aca="false">G41</f>
        <v>111079038.176983</v>
      </c>
      <c r="D42" s="68" t="n">
        <f aca="false">C42*(B7/12)</f>
        <v>833092.786327376</v>
      </c>
      <c r="E42" s="68" t="n">
        <f aca="false">IF(29&lt;=0,0,MAX(0,(-PMT(B7/12,B8-B9,B6))-D42))</f>
        <v>13524486.5096358</v>
      </c>
      <c r="F42" s="105" t="n">
        <f aca="false">D42+E42</f>
        <v>14357579.2959632</v>
      </c>
      <c r="G42" s="68" t="n">
        <f aca="false">MAX(0,C42-E42)</f>
        <v>97554551.6673477</v>
      </c>
    </row>
    <row r="43" customFormat="false" ht="13.5" hidden="false" customHeight="true" outlineLevel="0" collapsed="false">
      <c r="A43" s="163" t="n">
        <v>30</v>
      </c>
      <c r="B43" s="162" t="n">
        <f aca="false">EDATE($B$14,A42)</f>
        <v>47543</v>
      </c>
      <c r="C43" s="60" t="n">
        <f aca="false">G42</f>
        <v>97554551.6673477</v>
      </c>
      <c r="D43" s="60" t="n">
        <f aca="false">C43*(B7/12)</f>
        <v>731659.137505107</v>
      </c>
      <c r="E43" s="60" t="n">
        <f aca="false">IF(30&lt;=0,0,MAX(0,(-PMT(B7/12,B8-B9,B6))-D43))</f>
        <v>13625920.1584581</v>
      </c>
      <c r="F43" s="104" t="n">
        <f aca="false">D43+E43</f>
        <v>14357579.2959632</v>
      </c>
      <c r="G43" s="60" t="n">
        <f aca="false">MAX(0,C43-E43)</f>
        <v>83928631.5088895</v>
      </c>
    </row>
    <row r="44" customFormat="false" ht="13.5" hidden="false" customHeight="true" outlineLevel="0" collapsed="false">
      <c r="A44" s="161" t="n">
        <v>31</v>
      </c>
      <c r="B44" s="162" t="n">
        <f aca="false">EDATE($B$14,A43)</f>
        <v>47574</v>
      </c>
      <c r="C44" s="68" t="n">
        <f aca="false">G43</f>
        <v>83928631.5088895</v>
      </c>
      <c r="D44" s="68" t="n">
        <f aca="false">C44*(B7/12)</f>
        <v>629464.736316672</v>
      </c>
      <c r="E44" s="68" t="n">
        <f aca="false">IF(31&lt;=0,0,MAX(0,(-PMT(B7/12,B8-B9,B6))-D44))</f>
        <v>13728114.5596465</v>
      </c>
      <c r="F44" s="105" t="n">
        <f aca="false">D44+E44</f>
        <v>14357579.2959632</v>
      </c>
      <c r="G44" s="68" t="n">
        <f aca="false">MAX(0,C44-E44)</f>
        <v>70200516.949243</v>
      </c>
    </row>
    <row r="45" customFormat="false" ht="13.5" hidden="false" customHeight="true" outlineLevel="0" collapsed="false">
      <c r="A45" s="163" t="n">
        <v>32</v>
      </c>
      <c r="B45" s="162" t="n">
        <f aca="false">EDATE($B$14,A44)</f>
        <v>47604</v>
      </c>
      <c r="C45" s="60" t="n">
        <f aca="false">G44</f>
        <v>70200516.949243</v>
      </c>
      <c r="D45" s="60" t="n">
        <f aca="false">C45*(B7/12)</f>
        <v>526503.877119322</v>
      </c>
      <c r="E45" s="60" t="n">
        <f aca="false">IF(32&lt;=0,0,MAX(0,(-PMT(B7/12,B8-B9,B6))-D45))</f>
        <v>13831075.4188439</v>
      </c>
      <c r="F45" s="104" t="n">
        <f aca="false">D45+E45</f>
        <v>14357579.2959632</v>
      </c>
      <c r="G45" s="60" t="n">
        <f aca="false">MAX(0,C45-E45)</f>
        <v>56369441.5303991</v>
      </c>
    </row>
    <row r="46" customFormat="false" ht="13.5" hidden="false" customHeight="true" outlineLevel="0" collapsed="false">
      <c r="A46" s="161" t="n">
        <v>33</v>
      </c>
      <c r="B46" s="162" t="n">
        <f aca="false">EDATE($B$14,A45)</f>
        <v>47635</v>
      </c>
      <c r="C46" s="68" t="n">
        <f aca="false">G45</f>
        <v>56369441.5303991</v>
      </c>
      <c r="D46" s="68" t="n">
        <f aca="false">C46*(B7/12)</f>
        <v>422770.811477993</v>
      </c>
      <c r="E46" s="68" t="n">
        <f aca="false">IF(33&lt;=0,0,MAX(0,(-PMT(B7/12,B8-B9,B6))-D46))</f>
        <v>13934808.4844852</v>
      </c>
      <c r="F46" s="105" t="n">
        <f aca="false">D46+E46</f>
        <v>14357579.2959632</v>
      </c>
      <c r="G46" s="68" t="n">
        <f aca="false">MAX(0,C46-E46)</f>
        <v>42434633.0459139</v>
      </c>
    </row>
    <row r="47" customFormat="false" ht="13.5" hidden="false" customHeight="true" outlineLevel="0" collapsed="false">
      <c r="A47" s="163" t="n">
        <v>34</v>
      </c>
      <c r="B47" s="162" t="n">
        <f aca="false">EDATE($B$14,A46)</f>
        <v>47665</v>
      </c>
      <c r="C47" s="60" t="n">
        <f aca="false">G46</f>
        <v>42434633.0459139</v>
      </c>
      <c r="D47" s="60" t="n">
        <f aca="false">C47*(B7/12)</f>
        <v>318259.747844354</v>
      </c>
      <c r="E47" s="60" t="n">
        <f aca="false">IF(34&lt;=0,0,MAX(0,(-PMT(B7/12,B8-B9,B6))-D47))</f>
        <v>14039319.5481189</v>
      </c>
      <c r="F47" s="104" t="n">
        <f aca="false">D47+E47</f>
        <v>14357579.2959632</v>
      </c>
      <c r="G47" s="60" t="n">
        <f aca="false">MAX(0,C47-E47)</f>
        <v>28395313.497795</v>
      </c>
    </row>
    <row r="48" customFormat="false" ht="13.5" hidden="false" customHeight="true" outlineLevel="0" collapsed="false">
      <c r="A48" s="161" t="n">
        <v>35</v>
      </c>
      <c r="B48" s="162" t="n">
        <f aca="false">EDATE($B$14,A47)</f>
        <v>47696</v>
      </c>
      <c r="C48" s="68" t="n">
        <f aca="false">G47</f>
        <v>28395313.497795</v>
      </c>
      <c r="D48" s="68" t="n">
        <f aca="false">C48*(B7/12)</f>
        <v>212964.851233463</v>
      </c>
      <c r="E48" s="68" t="n">
        <f aca="false">IF(35&lt;=0,0,MAX(0,(-PMT(B7/12,B8-B9,B6))-D48))</f>
        <v>14144614.4447298</v>
      </c>
      <c r="F48" s="105" t="n">
        <f aca="false">D48+E48</f>
        <v>14357579.2959632</v>
      </c>
      <c r="G48" s="68" t="n">
        <f aca="false">MAX(0,C48-E48)</f>
        <v>14250699.0530653</v>
      </c>
    </row>
    <row r="49" customFormat="false" ht="13.5" hidden="false" customHeight="true" outlineLevel="0" collapsed="false">
      <c r="A49" s="163" t="n">
        <v>36</v>
      </c>
      <c r="B49" s="162" t="n">
        <f aca="false">EDATE($B$14,A48)</f>
        <v>47727</v>
      </c>
      <c r="C49" s="60" t="n">
        <f aca="false">G48</f>
        <v>14250699.0530653</v>
      </c>
      <c r="D49" s="60" t="n">
        <f aca="false">C49*(B7/12)</f>
        <v>106880.242897989</v>
      </c>
      <c r="E49" s="60" t="n">
        <f aca="false">IF(36&lt;=0,0,MAX(0,(-PMT(B7/12,B8-B9,B6))-D49))</f>
        <v>14250699.0530652</v>
      </c>
      <c r="F49" s="104" t="n">
        <f aca="false">D49+E49</f>
        <v>14357579.2959632</v>
      </c>
      <c r="G49" s="60" t="n">
        <f aca="false">MAX(0,C49-E49)</f>
        <v>0</v>
      </c>
    </row>
    <row r="50" customFormat="false" ht="15.75" hidden="false" customHeight="true" outlineLevel="0" collapsed="false">
      <c r="A50" s="164" t="s">
        <v>575</v>
      </c>
      <c r="B50" s="41"/>
      <c r="C50" s="67" t="n">
        <f aca="false">C14</f>
        <v>451500000</v>
      </c>
      <c r="D50" s="67" t="n">
        <f aca="false">SUM(D14:D49)</f>
        <v>65372854.6546759</v>
      </c>
      <c r="E50" s="67" t="n">
        <f aca="false">SUM(E14:E49)</f>
        <v>451500000</v>
      </c>
      <c r="F50" s="67" t="n">
        <f aca="false">SUM(F14:F49)</f>
        <v>516872854.654676</v>
      </c>
      <c r="G50" s="67" t="n">
        <f aca="false">G49</f>
        <v>0</v>
      </c>
    </row>
  </sheetData>
  <mergeCells count="1">
    <mergeCell ref="A1:G1"/>
  </mergeCells>
  <dataValidations count="1">
    <dataValidation allowBlank="true" errorStyle="stop" operator="equal" showDropDown="false" showErrorMessage="true" showInputMessage="false" sqref="B4" type="list">
      <formula1>'⚙️ Other Assumptions'!$A$4:$A$5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3C34"/>
    <pageSetUpPr fitToPage="false"/>
  </sheetPr>
  <dimension ref="A1:AK31"/>
  <sheetViews>
    <sheetView showFormulas="false" showGridLines="false" showRowColHeaders="true" showZeros="true" rightToLeft="false" tabSelected="false" showOutlineSymbols="true" defaultGridColor="true" view="normal" topLeftCell="A1" colorId="64" zoomScale="120" zoomScaleNormal="120" zoomScalePageLayoutView="100" workbookViewId="0">
      <pane xSplit="0" ySplit="3" topLeftCell="A7" activePane="bottomLeft" state="frozen"/>
      <selection pane="topLeft" activeCell="A1" activeCellId="0" sqref="A1"/>
      <selection pane="bottomLeft" activeCell="B21" activeCellId="0" sqref="B21"/>
    </sheetView>
  </sheetViews>
  <sheetFormatPr defaultColWidth="8.71484375" defaultRowHeight="13.8" customHeight="false" zeroHeight="false" outlineLevelRow="0" outlineLevelCol="0"/>
  <cols>
    <col collapsed="false" customWidth="true" hidden="false" outlineLevel="0" max="1" min="1" style="81" width="28.63"/>
    <col collapsed="false" customWidth="true" hidden="false" outlineLevel="0" max="3" min="2" style="81" width="20.91"/>
    <col collapsed="false" customWidth="true" hidden="false" outlineLevel="0" max="4" min="4" style="81" width="21.16"/>
    <col collapsed="false" customWidth="true" hidden="false" outlineLevel="0" max="5" min="5" style="81" width="19.48"/>
    <col collapsed="false" customWidth="true" hidden="false" outlineLevel="0" max="6" min="6" style="81" width="20.78"/>
    <col collapsed="false" customWidth="false" hidden="false" outlineLevel="0" max="16384" min="7" style="81" width="8.71"/>
  </cols>
  <sheetData>
    <row r="1" customFormat="false" ht="30" hidden="false" customHeight="true" outlineLevel="0" collapsed="false">
      <c r="A1" s="106" t="s">
        <v>0</v>
      </c>
      <c r="B1" s="106"/>
      <c r="C1" s="106"/>
      <c r="D1" s="106"/>
      <c r="E1" s="106"/>
      <c r="F1" s="106"/>
    </row>
    <row r="2" customFormat="false" ht="12" hidden="false" customHeight="true" outlineLevel="0" collapsed="false">
      <c r="A2" s="106"/>
      <c r="B2" s="106"/>
      <c r="C2" s="106"/>
      <c r="D2" s="106"/>
      <c r="E2" s="106"/>
      <c r="F2" s="106"/>
    </row>
    <row r="4" customFormat="false" ht="13.8" hidden="false" customHeight="false" outlineLevel="0" collapsed="false">
      <c r="A4" s="81" t="s">
        <v>558</v>
      </c>
    </row>
    <row r="5" customFormat="false" ht="13.8" hidden="false" customHeight="false" outlineLevel="0" collapsed="false">
      <c r="A5" s="81" t="s">
        <v>576</v>
      </c>
    </row>
    <row r="6" customFormat="false" ht="13.8" hidden="false" customHeight="false" outlineLevel="0" collapsed="false">
      <c r="B6" s="165"/>
    </row>
    <row r="7" customFormat="false" ht="13.8" hidden="false" customHeight="false" outlineLevel="0" collapsed="false">
      <c r="A7" s="166" t="s">
        <v>577</v>
      </c>
      <c r="B7" s="167" t="s">
        <v>578</v>
      </c>
      <c r="C7" s="168"/>
    </row>
    <row r="8" customFormat="false" ht="13.8" hidden="false" customHeight="false" outlineLevel="0" collapsed="false">
      <c r="A8" s="97" t="s">
        <v>579</v>
      </c>
      <c r="B8" s="94" t="n">
        <f aca="false">(1.7*10^6 + 3.5*10^6)/2</f>
        <v>2600000</v>
      </c>
      <c r="C8" s="168"/>
    </row>
    <row r="9" customFormat="false" ht="13.8" hidden="false" customHeight="false" outlineLevel="0" collapsed="false">
      <c r="A9" s="97" t="s">
        <v>580</v>
      </c>
      <c r="B9" s="94" t="n">
        <f aca="false">(1 + 2.7)/2*10^6</f>
        <v>1850000</v>
      </c>
    </row>
    <row r="10" customFormat="false" ht="13.8" hidden="false" customHeight="false" outlineLevel="0" collapsed="false">
      <c r="A10" s="97" t="s">
        <v>5</v>
      </c>
      <c r="B10" s="94" t="n">
        <f aca="false">(0.8+1.5)/2*10^6</f>
        <v>1150000</v>
      </c>
    </row>
    <row r="14" customFormat="false" ht="13.8" hidden="false" customHeight="false" outlineLevel="0" collapsed="false">
      <c r="A14" s="81" t="s">
        <v>581</v>
      </c>
      <c r="B14" s="166" t="n">
        <v>1</v>
      </c>
      <c r="C14" s="166" t="n">
        <v>2</v>
      </c>
      <c r="D14" s="166" t="n">
        <v>3</v>
      </c>
      <c r="E14" s="166" t="n">
        <v>4</v>
      </c>
      <c r="F14" s="166" t="n">
        <v>5</v>
      </c>
      <c r="G14" s="166" t="n">
        <v>6</v>
      </c>
      <c r="H14" s="166" t="n">
        <v>7</v>
      </c>
      <c r="I14" s="166" t="n">
        <v>8</v>
      </c>
      <c r="J14" s="166" t="n">
        <v>9</v>
      </c>
      <c r="K14" s="166" t="n">
        <v>10</v>
      </c>
      <c r="L14" s="166" t="n">
        <v>11</v>
      </c>
      <c r="M14" s="166" t="n">
        <v>12</v>
      </c>
      <c r="N14" s="166" t="n">
        <v>13</v>
      </c>
      <c r="O14" s="166" t="n">
        <v>14</v>
      </c>
      <c r="P14" s="166" t="n">
        <v>15</v>
      </c>
      <c r="Q14" s="166" t="n">
        <v>16</v>
      </c>
      <c r="R14" s="166" t="n">
        <v>17</v>
      </c>
      <c r="S14" s="166" t="n">
        <v>18</v>
      </c>
      <c r="T14" s="166" t="n">
        <v>19</v>
      </c>
      <c r="U14" s="166" t="n">
        <v>20</v>
      </c>
      <c r="V14" s="166" t="n">
        <v>21</v>
      </c>
      <c r="W14" s="166" t="n">
        <v>22</v>
      </c>
      <c r="X14" s="166" t="n">
        <v>23</v>
      </c>
      <c r="Y14" s="166" t="n">
        <v>24</v>
      </c>
      <c r="Z14" s="166" t="n">
        <v>25</v>
      </c>
      <c r="AA14" s="166" t="n">
        <v>26</v>
      </c>
      <c r="AB14" s="166" t="n">
        <v>27</v>
      </c>
      <c r="AC14" s="166" t="n">
        <v>28</v>
      </c>
      <c r="AD14" s="166" t="n">
        <v>29</v>
      </c>
      <c r="AE14" s="166" t="n">
        <v>30</v>
      </c>
      <c r="AF14" s="166" t="n">
        <v>31</v>
      </c>
      <c r="AG14" s="166" t="n">
        <v>32</v>
      </c>
      <c r="AH14" s="166" t="n">
        <v>33</v>
      </c>
      <c r="AI14" s="166" t="n">
        <v>34</v>
      </c>
      <c r="AJ14" s="166" t="n">
        <v>35</v>
      </c>
      <c r="AK14" s="166" t="n">
        <v>36</v>
      </c>
    </row>
    <row r="15" customFormat="false" ht="39.55" hidden="false" customHeight="false" outlineLevel="0" collapsed="false">
      <c r="A15" s="169" t="s">
        <v>582</v>
      </c>
      <c r="B15" s="94" t="n">
        <v>0.9</v>
      </c>
      <c r="C15" s="94" t="n">
        <v>1</v>
      </c>
      <c r="D15" s="94" t="n">
        <v>1</v>
      </c>
      <c r="E15" s="94" t="n">
        <v>1</v>
      </c>
      <c r="F15" s="94" t="n">
        <v>1</v>
      </c>
      <c r="G15" s="94" t="n">
        <v>1.5</v>
      </c>
      <c r="H15" s="94" t="n">
        <v>1.5</v>
      </c>
      <c r="I15" s="94" t="n">
        <v>1.5</v>
      </c>
      <c r="J15" s="94" t="n">
        <v>1.5</v>
      </c>
      <c r="K15" s="94" t="n">
        <v>1.5</v>
      </c>
      <c r="L15" s="94" t="n">
        <v>0.9</v>
      </c>
      <c r="M15" s="94" t="n">
        <v>0.9</v>
      </c>
    </row>
    <row r="16" customFormat="false" ht="23.85" hidden="false" customHeight="false" outlineLevel="0" collapsed="false">
      <c r="A16" s="170" t="s">
        <v>583</v>
      </c>
      <c r="B16" s="97" t="n">
        <v>1.2</v>
      </c>
      <c r="C16" s="97" t="n">
        <v>0.85</v>
      </c>
      <c r="D16" s="94" t="n">
        <v>0.95</v>
      </c>
      <c r="E16" s="94" t="n">
        <v>1.15</v>
      </c>
      <c r="F16" s="97" t="n">
        <v>1.05</v>
      </c>
      <c r="G16" s="97" t="n">
        <v>1.2</v>
      </c>
      <c r="H16" s="97" t="n">
        <v>1.15</v>
      </c>
      <c r="I16" s="97" t="n">
        <v>1</v>
      </c>
      <c r="J16" s="97" t="n">
        <v>0.95</v>
      </c>
      <c r="K16" s="97" t="n">
        <v>0.95</v>
      </c>
      <c r="L16" s="97" t="n">
        <v>1.05</v>
      </c>
      <c r="M16" s="97" t="n">
        <v>1.2</v>
      </c>
    </row>
    <row r="17" customFormat="false" ht="13.8" hidden="false" customHeight="false" outlineLevel="0" collapsed="false">
      <c r="A17" s="97" t="s">
        <v>584</v>
      </c>
      <c r="B17" s="73" t="n">
        <v>0</v>
      </c>
      <c r="C17" s="73" t="n">
        <v>0</v>
      </c>
      <c r="D17" s="171" t="n">
        <v>0.15</v>
      </c>
      <c r="E17" s="171" t="n">
        <v>0.2</v>
      </c>
      <c r="F17" s="171" t="n">
        <v>0.3</v>
      </c>
      <c r="G17" s="171" t="n">
        <v>0.4</v>
      </c>
      <c r="H17" s="171" t="n">
        <v>0.45</v>
      </c>
      <c r="I17" s="171" t="n">
        <v>0.5</v>
      </c>
      <c r="J17" s="171" t="n">
        <v>0.5</v>
      </c>
      <c r="K17" s="171" t="n">
        <v>0.6</v>
      </c>
      <c r="L17" s="171" t="n">
        <v>0.6</v>
      </c>
      <c r="M17" s="171" t="n">
        <v>0.65</v>
      </c>
      <c r="N17" s="171" t="n">
        <v>0.65</v>
      </c>
      <c r="O17" s="171" t="n">
        <v>0.7</v>
      </c>
      <c r="P17" s="171" t="n">
        <v>0.8</v>
      </c>
      <c r="Q17" s="171" t="n">
        <v>0.8</v>
      </c>
      <c r="R17" s="171" t="n">
        <v>1</v>
      </c>
      <c r="S17" s="171" t="n">
        <v>1</v>
      </c>
      <c r="T17" s="171" t="n">
        <v>1</v>
      </c>
      <c r="U17" s="171" t="n">
        <v>1</v>
      </c>
      <c r="V17" s="171" t="n">
        <v>1</v>
      </c>
      <c r="W17" s="171" t="n">
        <v>1</v>
      </c>
      <c r="X17" s="171" t="n">
        <v>1</v>
      </c>
      <c r="Y17" s="171" t="n">
        <v>1</v>
      </c>
      <c r="Z17" s="171" t="n">
        <v>1</v>
      </c>
      <c r="AA17" s="171" t="n">
        <v>1</v>
      </c>
      <c r="AB17" s="171" t="n">
        <v>1</v>
      </c>
      <c r="AC17" s="171" t="n">
        <v>1</v>
      </c>
      <c r="AD17" s="171" t="n">
        <v>1</v>
      </c>
      <c r="AE17" s="171" t="n">
        <v>1</v>
      </c>
      <c r="AF17" s="171" t="n">
        <v>1</v>
      </c>
      <c r="AG17" s="171" t="n">
        <v>1</v>
      </c>
      <c r="AH17" s="171" t="n">
        <v>1</v>
      </c>
      <c r="AI17" s="171" t="n">
        <v>1</v>
      </c>
      <c r="AJ17" s="171" t="n">
        <v>1</v>
      </c>
      <c r="AK17" s="171" t="n">
        <v>1</v>
      </c>
    </row>
    <row r="18" customFormat="false" ht="13.8" hidden="false" customHeight="false" outlineLevel="0" collapsed="false">
      <c r="A18" s="97" t="s">
        <v>585</v>
      </c>
      <c r="B18" s="73" t="n">
        <v>0</v>
      </c>
      <c r="C18" s="73" t="n">
        <v>0</v>
      </c>
      <c r="D18" s="171" t="n">
        <v>0.3</v>
      </c>
      <c r="E18" s="171" t="n">
        <v>0.3</v>
      </c>
      <c r="F18" s="171" t="n">
        <v>0.5</v>
      </c>
      <c r="G18" s="171" t="n">
        <v>0.5</v>
      </c>
      <c r="H18" s="171" t="n">
        <v>0.75</v>
      </c>
      <c r="I18" s="171" t="n">
        <v>0.75</v>
      </c>
      <c r="J18" s="171" t="n">
        <v>0.8</v>
      </c>
      <c r="K18" s="171" t="n">
        <v>0.9</v>
      </c>
      <c r="L18" s="171" t="n">
        <v>0.9</v>
      </c>
      <c r="M18" s="171" t="n">
        <v>0.95</v>
      </c>
      <c r="N18" s="171" t="n">
        <v>0.95</v>
      </c>
      <c r="O18" s="171" t="n">
        <v>1</v>
      </c>
      <c r="P18" s="171" t="n">
        <v>1</v>
      </c>
      <c r="Q18" s="171" t="n">
        <v>1</v>
      </c>
      <c r="R18" s="171" t="n">
        <v>1</v>
      </c>
      <c r="S18" s="171" t="n">
        <v>1</v>
      </c>
      <c r="T18" s="171" t="n">
        <v>1</v>
      </c>
      <c r="U18" s="171" t="n">
        <v>1</v>
      </c>
      <c r="V18" s="171" t="n">
        <v>1</v>
      </c>
      <c r="W18" s="171" t="n">
        <v>1</v>
      </c>
      <c r="X18" s="171" t="n">
        <v>1.2</v>
      </c>
      <c r="Y18" s="171" t="n">
        <v>1.2</v>
      </c>
      <c r="Z18" s="171" t="n">
        <v>1.2</v>
      </c>
      <c r="AA18" s="171" t="n">
        <v>1.2</v>
      </c>
      <c r="AB18" s="171" t="n">
        <v>1.2</v>
      </c>
      <c r="AC18" s="171" t="n">
        <v>1.2</v>
      </c>
      <c r="AD18" s="171" t="n">
        <v>1.2</v>
      </c>
      <c r="AE18" s="171" t="n">
        <v>1.2</v>
      </c>
      <c r="AF18" s="171" t="n">
        <v>1.2</v>
      </c>
      <c r="AG18" s="171" t="n">
        <v>1.2</v>
      </c>
      <c r="AH18" s="171" t="n">
        <v>1.2</v>
      </c>
      <c r="AI18" s="171" t="n">
        <v>1.2</v>
      </c>
      <c r="AJ18" s="171" t="n">
        <v>1.2</v>
      </c>
      <c r="AK18" s="171" t="n">
        <v>1.2</v>
      </c>
    </row>
    <row r="19" customFormat="false" ht="13.8" hidden="false" customHeight="false" outlineLevel="0" collapsed="false">
      <c r="A19" s="97" t="s">
        <v>12</v>
      </c>
      <c r="B19" s="73" t="n">
        <v>0</v>
      </c>
      <c r="C19" s="73" t="n">
        <v>0</v>
      </c>
      <c r="D19" s="171" t="n">
        <v>0.45</v>
      </c>
      <c r="E19" s="171" t="n">
        <v>0.6</v>
      </c>
      <c r="F19" s="171" t="n">
        <v>0.7</v>
      </c>
      <c r="G19" s="171" t="n">
        <v>0.8</v>
      </c>
      <c r="H19" s="171" t="n">
        <v>0.9</v>
      </c>
      <c r="I19" s="171" t="n">
        <v>1</v>
      </c>
      <c r="J19" s="171" t="n">
        <v>1</v>
      </c>
      <c r="K19" s="171" t="n">
        <v>1</v>
      </c>
      <c r="L19" s="171" t="n">
        <v>1</v>
      </c>
      <c r="M19" s="171" t="n">
        <v>1</v>
      </c>
      <c r="N19" s="171" t="n">
        <v>1</v>
      </c>
      <c r="O19" s="171" t="n">
        <v>1</v>
      </c>
      <c r="P19" s="171" t="n">
        <v>1</v>
      </c>
      <c r="Q19" s="171" t="n">
        <v>1</v>
      </c>
      <c r="R19" s="171" t="n">
        <v>1.2</v>
      </c>
      <c r="S19" s="171" t="n">
        <v>1.2</v>
      </c>
      <c r="T19" s="171" t="n">
        <v>1.2</v>
      </c>
      <c r="U19" s="171" t="n">
        <v>1.2</v>
      </c>
      <c r="V19" s="171" t="n">
        <v>1.2</v>
      </c>
      <c r="W19" s="171" t="n">
        <v>1.2</v>
      </c>
      <c r="X19" s="171" t="n">
        <v>1.2</v>
      </c>
      <c r="Y19" s="171" t="n">
        <v>1.2</v>
      </c>
      <c r="Z19" s="171" t="n">
        <v>1.2</v>
      </c>
      <c r="AA19" s="171" t="n">
        <v>1.2</v>
      </c>
      <c r="AB19" s="171" t="n">
        <v>1.2</v>
      </c>
      <c r="AC19" s="171" t="n">
        <v>1.2</v>
      </c>
      <c r="AD19" s="171" t="n">
        <v>1.2</v>
      </c>
      <c r="AE19" s="171" t="n">
        <v>1.2</v>
      </c>
      <c r="AF19" s="171" t="n">
        <v>1.2</v>
      </c>
      <c r="AG19" s="171" t="n">
        <v>1.2</v>
      </c>
      <c r="AH19" s="171" t="n">
        <v>1.2</v>
      </c>
      <c r="AI19" s="171" t="n">
        <v>1.2</v>
      </c>
      <c r="AJ19" s="171" t="n">
        <v>1.2</v>
      </c>
      <c r="AK19" s="171" t="n">
        <v>1.2</v>
      </c>
    </row>
    <row r="20" customFormat="false" ht="13.8" hidden="false" customHeight="false" outlineLevel="0" collapsed="false">
      <c r="A20" s="172" t="s">
        <v>586</v>
      </c>
      <c r="B20" s="73" t="n">
        <v>0</v>
      </c>
      <c r="C20" s="73" t="n">
        <v>0</v>
      </c>
      <c r="D20" s="173" t="n">
        <v>0.2</v>
      </c>
      <c r="E20" s="173" t="n">
        <v>0.2</v>
      </c>
      <c r="F20" s="173" t="n">
        <v>0.2</v>
      </c>
      <c r="G20" s="99" t="n">
        <v>0.08</v>
      </c>
      <c r="H20" s="99" t="n">
        <v>0.08</v>
      </c>
      <c r="I20" s="99" t="n">
        <v>0.08</v>
      </c>
      <c r="J20" s="99" t="n">
        <v>0.08</v>
      </c>
      <c r="K20" s="99" t="n">
        <v>0.08</v>
      </c>
      <c r="L20" s="99" t="n">
        <v>0.04</v>
      </c>
      <c r="M20" s="99" t="n">
        <v>0.04</v>
      </c>
      <c r="N20" s="99" t="n">
        <v>0.04</v>
      </c>
      <c r="O20" s="99" t="n">
        <v>0.04</v>
      </c>
      <c r="P20" s="173" t="n">
        <v>0.03</v>
      </c>
      <c r="Q20" s="173" t="n">
        <v>0.03</v>
      </c>
      <c r="R20" s="173" t="n">
        <v>0.03</v>
      </c>
      <c r="S20" s="173" t="n">
        <v>0.03</v>
      </c>
      <c r="T20" s="173" t="n">
        <v>0.03</v>
      </c>
      <c r="U20" s="173" t="n">
        <v>0.03</v>
      </c>
      <c r="V20" s="173" t="n">
        <v>0.03</v>
      </c>
      <c r="W20" s="173" t="n">
        <v>0.03</v>
      </c>
      <c r="X20" s="173" t="n">
        <v>0.03</v>
      </c>
      <c r="Y20" s="173" t="n">
        <v>0.03</v>
      </c>
      <c r="Z20" s="173" t="n">
        <v>0.03</v>
      </c>
      <c r="AA20" s="173" t="n">
        <v>0.03</v>
      </c>
      <c r="AB20" s="173" t="n">
        <v>0.03</v>
      </c>
      <c r="AC20" s="173" t="n">
        <v>0.03</v>
      </c>
      <c r="AD20" s="173" t="n">
        <v>0.03</v>
      </c>
      <c r="AE20" s="173" t="n">
        <v>0.03</v>
      </c>
      <c r="AF20" s="173" t="n">
        <v>0.03</v>
      </c>
      <c r="AG20" s="173" t="n">
        <v>0.03</v>
      </c>
      <c r="AH20" s="173" t="n">
        <v>0.03</v>
      </c>
      <c r="AI20" s="173" t="n">
        <v>0.03</v>
      </c>
      <c r="AJ20" s="173" t="n">
        <v>0.03</v>
      </c>
      <c r="AK20" s="173" t="n">
        <v>0.03</v>
      </c>
    </row>
    <row r="21" customFormat="false" ht="13.8" hidden="false" customHeight="false" outlineLevel="0" collapsed="false">
      <c r="B21" s="173"/>
      <c r="D21" s="99"/>
      <c r="E21" s="99"/>
    </row>
    <row r="22" customFormat="false" ht="13.8" hidden="false" customHeight="false" outlineLevel="0" collapsed="false">
      <c r="B22" s="173"/>
      <c r="D22" s="99"/>
      <c r="E22" s="99"/>
    </row>
    <row r="23" customFormat="false" ht="13.8" hidden="false" customHeight="false" outlineLevel="0" collapsed="false">
      <c r="A23" s="81" t="s">
        <v>587</v>
      </c>
      <c r="B23" s="173" t="n">
        <v>0.03</v>
      </c>
      <c r="D23" s="99"/>
      <c r="E23" s="99"/>
    </row>
    <row r="24" customFormat="false" ht="13.8" hidden="false" customHeight="false" outlineLevel="0" collapsed="false">
      <c r="A24" s="97" t="s">
        <v>584</v>
      </c>
      <c r="B24" s="173" t="n">
        <f aca="false">MAX(C17:AJ17)</f>
        <v>1</v>
      </c>
    </row>
    <row r="25" customFormat="false" ht="13.8" hidden="false" customHeight="false" outlineLevel="0" collapsed="false">
      <c r="A25" s="97" t="s">
        <v>585</v>
      </c>
      <c r="B25" s="173" t="n">
        <f aca="false">MAX(C18:AJ18)</f>
        <v>1.2</v>
      </c>
    </row>
    <row r="26" customFormat="false" ht="13.8" hidden="false" customHeight="false" outlineLevel="0" collapsed="false">
      <c r="A26" s="97" t="s">
        <v>12</v>
      </c>
      <c r="B26" s="173" t="n">
        <f aca="false">MAX(C19:AJ19)</f>
        <v>1.2</v>
      </c>
    </row>
    <row r="31" customFormat="false" ht="13.8" hidden="false" customHeight="false" outlineLevel="0" collapsed="false">
      <c r="C31" s="173"/>
      <c r="D31" s="173"/>
      <c r="E31" s="173"/>
      <c r="F31" s="173"/>
    </row>
  </sheetData>
  <mergeCells count="1">
    <mergeCell ref="A1: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1.53515625" defaultRowHeight="12.8" customHeight="false" zeroHeight="false" outlineLevelRow="0" outlineLevelCol="0"/>
  <cols>
    <col collapsed="false" customWidth="true" hidden="false" outlineLevel="0" max="1" min="1" style="0" width="40.39"/>
    <col collapsed="false" customWidth="true" hidden="false" outlineLevel="0" max="2" min="2" style="0" width="16.18"/>
    <col collapsed="false" customWidth="true" hidden="false" outlineLevel="0" max="5" min="3" style="0" width="15.06"/>
    <col collapsed="false" customWidth="true" hidden="false" outlineLevel="0" max="6" min="6" style="0" width="13.95"/>
    <col collapsed="false" customWidth="true" hidden="false" outlineLevel="0" max="7" min="7" style="0" width="13.26"/>
    <col collapsed="false" customWidth="true" hidden="false" outlineLevel="0" max="10" min="8" style="0" width="14.37"/>
    <col collapsed="false" customWidth="true" hidden="false" outlineLevel="0" max="11" min="11" style="0" width="15.49"/>
    <col collapsed="false" customWidth="true" hidden="false" outlineLevel="0" max="14" min="12" style="0" width="14.37"/>
    <col collapsed="false" customWidth="true" hidden="false" outlineLevel="0" max="17" min="15" style="0" width="15.49"/>
    <col collapsed="false" customWidth="true" hidden="false" outlineLevel="0" max="18" min="18" style="0" width="14.37"/>
    <col collapsed="false" customWidth="true" hidden="false" outlineLevel="0" max="29" min="19" style="0" width="15.49"/>
    <col collapsed="false" customWidth="true" hidden="false" outlineLevel="0" max="30" min="30" style="0" width="14.37"/>
    <col collapsed="false" customWidth="true" hidden="false" outlineLevel="0" max="41" min="31" style="0" width="15.49"/>
    <col collapsed="false" customWidth="true" hidden="false" outlineLevel="0" max="42" min="42" style="0" width="14.37"/>
    <col collapsed="false" customWidth="true" hidden="false" outlineLevel="0" max="61" min="43" style="0" width="15.49"/>
  </cols>
  <sheetData>
    <row r="1" customFormat="false" ht="13.8" hidden="false" customHeight="false" outlineLevel="0" collapsed="false"/>
    <row r="2" customFormat="false" ht="13.8" hidden="false" customHeight="false" outlineLevel="0" collapsed="false">
      <c r="A2" s="0" t="s">
        <v>434</v>
      </c>
    </row>
    <row r="3" customFormat="false" ht="13.8" hidden="false" customHeight="false" outlineLevel="0" collapsed="false">
      <c r="B3" s="109" t="s">
        <v>107</v>
      </c>
      <c r="C3" s="109" t="s">
        <v>306</v>
      </c>
      <c r="D3" s="109" t="s">
        <v>307</v>
      </c>
      <c r="E3" s="109" t="s">
        <v>308</v>
      </c>
      <c r="F3" s="109" t="s">
        <v>309</v>
      </c>
      <c r="G3" s="109" t="s">
        <v>310</v>
      </c>
      <c r="H3" s="109" t="s">
        <v>133</v>
      </c>
      <c r="I3" s="109" t="s">
        <v>311</v>
      </c>
      <c r="J3" s="109" t="s">
        <v>312</v>
      </c>
      <c r="K3" s="109" t="s">
        <v>313</v>
      </c>
      <c r="L3" s="109" t="s">
        <v>314</v>
      </c>
      <c r="M3" s="109" t="s">
        <v>315</v>
      </c>
      <c r="N3" s="109" t="s">
        <v>316</v>
      </c>
      <c r="O3" s="109" t="s">
        <v>317</v>
      </c>
      <c r="P3" s="109" t="s">
        <v>318</v>
      </c>
      <c r="Q3" s="109" t="s">
        <v>319</v>
      </c>
      <c r="R3" s="109" t="s">
        <v>320</v>
      </c>
      <c r="S3" s="109" t="s">
        <v>321</v>
      </c>
      <c r="T3" s="109" t="s">
        <v>322</v>
      </c>
      <c r="U3" s="109" t="s">
        <v>323</v>
      </c>
      <c r="V3" s="109" t="s">
        <v>324</v>
      </c>
      <c r="W3" s="109" t="s">
        <v>325</v>
      </c>
      <c r="X3" s="109" t="s">
        <v>326</v>
      </c>
      <c r="Y3" s="109" t="s">
        <v>327</v>
      </c>
      <c r="Z3" s="109" t="s">
        <v>328</v>
      </c>
      <c r="AA3" s="109" t="s">
        <v>329</v>
      </c>
      <c r="AB3" s="109" t="s">
        <v>330</v>
      </c>
      <c r="AC3" s="109" t="s">
        <v>331</v>
      </c>
      <c r="AD3" s="109" t="s">
        <v>332</v>
      </c>
      <c r="AE3" s="109" t="s">
        <v>333</v>
      </c>
      <c r="AF3" s="109" t="s">
        <v>334</v>
      </c>
      <c r="AG3" s="109" t="s">
        <v>335</v>
      </c>
      <c r="AH3" s="109" t="s">
        <v>336</v>
      </c>
      <c r="AI3" s="109" t="s">
        <v>337</v>
      </c>
      <c r="AJ3" s="109" t="s">
        <v>338</v>
      </c>
      <c r="AK3" s="109" t="s">
        <v>339</v>
      </c>
      <c r="AL3" s="109" t="s">
        <v>340</v>
      </c>
      <c r="AM3" s="109" t="s">
        <v>341</v>
      </c>
      <c r="AN3" s="109" t="s">
        <v>342</v>
      </c>
      <c r="AO3" s="109" t="s">
        <v>343</v>
      </c>
      <c r="AP3" s="109" t="s">
        <v>344</v>
      </c>
      <c r="AQ3" s="109" t="s">
        <v>345</v>
      </c>
      <c r="AR3" s="109" t="s">
        <v>346</v>
      </c>
      <c r="AS3" s="109" t="s">
        <v>347</v>
      </c>
      <c r="AT3" s="109" t="s">
        <v>348</v>
      </c>
      <c r="AU3" s="109" t="s">
        <v>349</v>
      </c>
      <c r="AV3" s="109" t="s">
        <v>350</v>
      </c>
      <c r="AW3" s="109" t="s">
        <v>351</v>
      </c>
      <c r="AX3" s="109" t="s">
        <v>352</v>
      </c>
      <c r="AY3" s="109" t="s">
        <v>353</v>
      </c>
      <c r="AZ3" s="109" t="s">
        <v>354</v>
      </c>
      <c r="BA3" s="109" t="s">
        <v>355</v>
      </c>
      <c r="BB3" s="109" t="s">
        <v>356</v>
      </c>
      <c r="BC3" s="109" t="s">
        <v>357</v>
      </c>
      <c r="BD3" s="109" t="s">
        <v>358</v>
      </c>
      <c r="BE3" s="109" t="s">
        <v>359</v>
      </c>
      <c r="BF3" s="109" t="s">
        <v>360</v>
      </c>
      <c r="BG3" s="109" t="s">
        <v>361</v>
      </c>
      <c r="BH3" s="109" t="s">
        <v>362</v>
      </c>
      <c r="BI3" s="109" t="s">
        <v>363</v>
      </c>
    </row>
    <row r="4" customFormat="false" ht="13.8" hidden="false" customHeight="false" outlineLevel="0" collapsed="false">
      <c r="A4" s="0" t="s">
        <v>588</v>
      </c>
      <c r="B4" s="174" t="n">
        <f aca="false">INDEX('💵 Cash Flow'!$C$11:$BJ$11,MATCH(B$3,'💵 Cash Flow'!$C$4:$BJ$4,0))</f>
        <v>-60375000</v>
      </c>
      <c r="C4" s="174" t="n">
        <f aca="false">INDEX('💵 Cash Flow'!$C$11:$BJ$11,MATCH(C$3,'💵 Cash Flow'!$C$4:$BJ$4,0))</f>
        <v>-60375000</v>
      </c>
      <c r="D4" s="174" t="n">
        <f aca="false">INDEX('💵 Cash Flow'!$C$11:$BJ$11,MATCH(D$3,'💵 Cash Flow'!$C$4:$BJ$4,0))</f>
        <v>-6081266.25000001</v>
      </c>
      <c r="E4" s="174" t="n">
        <f aca="false">INDEX('💵 Cash Flow'!$C$11:$BJ$11,MATCH(E$3,'💵 Cash Flow'!$C$4:$BJ$4,0))</f>
        <v>24151514.4050493</v>
      </c>
      <c r="F4" s="174" t="n">
        <f aca="false">INDEX('💵 Cash Flow'!$C$11:$BJ$11,MATCH(F$3,'💵 Cash Flow'!$C$4:$BJ$4,0))</f>
        <v>17054407.1561152</v>
      </c>
      <c r="G4" s="174" t="n">
        <f aca="false">INDEX('💵 Cash Flow'!$C$11:$BJ$11,MATCH(G$3,'💵 Cash Flow'!$C$4:$BJ$4,0))</f>
        <v>53188774.4819547</v>
      </c>
      <c r="H4" s="174" t="n">
        <f aca="false">INDEX('💵 Cash Flow'!$C$11:$BJ$11,MATCH(H$3,'💵 Cash Flow'!$C$4:$BJ$4,0))</f>
        <v>98010973.6904724</v>
      </c>
      <c r="I4" s="174" t="n">
        <f aca="false">INDEX('💵 Cash Flow'!$C$11:$BJ$11,MATCH(I$3,'💵 Cash Flow'!$C$4:$BJ$4,0))</f>
        <v>106306741.023523</v>
      </c>
      <c r="J4" s="174" t="n">
        <f aca="false">INDEX('💵 Cash Flow'!$C$11:$BJ$11,MATCH(J$3,'💵 Cash Flow'!$C$4:$BJ$4,0))</f>
        <v>119596017.875633</v>
      </c>
      <c r="K4" s="174" t="n">
        <f aca="false">INDEX('💵 Cash Flow'!$C$11:$BJ$11,MATCH(K$3,'💵 Cash Flow'!$C$4:$BJ$4,0))</f>
        <v>132191869.700229</v>
      </c>
      <c r="L4" s="174" t="n">
        <f aca="false">INDEX('💵 Cash Flow'!$C$11:$BJ$11,MATCH(L$3,'💵 Cash Flow'!$C$4:$BJ$4,0))</f>
        <v>103710682.884602</v>
      </c>
      <c r="M4" s="174" t="n">
        <f aca="false">INDEX('💵 Cash Flow'!$C$11:$BJ$11,MATCH(M$3,'💵 Cash Flow'!$C$4:$BJ$4,0))</f>
        <v>88955411.6248897</v>
      </c>
      <c r="N4" s="174" t="n">
        <f aca="false">INDEX('💵 Cash Flow'!$C$11:$BJ$11,MATCH(N$3,'💵 Cash Flow'!$C$4:$BJ$4,0))</f>
        <v>94202087.3010419</v>
      </c>
      <c r="O4" s="174" t="n">
        <f aca="false">INDEX('💵 Cash Flow'!$C$11:$BJ$11,MATCH(O$3,'💵 Cash Flow'!$C$4:$BJ$4,0))</f>
        <v>118692827.851796</v>
      </c>
      <c r="P4" s="174" t="n">
        <f aca="false">INDEX('💵 Cash Flow'!$C$11:$BJ$11,MATCH(P$3,'💵 Cash Flow'!$C$4:$BJ$4,0))</f>
        <v>155084400.58715</v>
      </c>
      <c r="Q4" s="174" t="n">
        <f aca="false">INDEX('💵 Cash Flow'!$C$11:$BJ$11,MATCH(Q$3,'💵 Cash Flow'!$C$4:$BJ$4,0))</f>
        <v>156205214.688332</v>
      </c>
      <c r="R4" s="174" t="n">
        <f aca="false">INDEX('💵 Cash Flow'!$C$11:$BJ$11,MATCH(R$3,'💵 Cash Flow'!$C$4:$BJ$4,0))</f>
        <v>95137400.2702727</v>
      </c>
      <c r="S4" s="174" t="n">
        <f aca="false">INDEX('💵 Cash Flow'!$C$11:$BJ$11,MATCH(S$3,'💵 Cash Flow'!$C$4:$BJ$4,0))</f>
        <v>136765721.194078</v>
      </c>
      <c r="T4" s="174" t="n">
        <f aca="false">INDEX('💵 Cash Flow'!$C$11:$BJ$11,MATCH(T$3,'💵 Cash Flow'!$C$4:$BJ$4,0))</f>
        <v>176727600.066999</v>
      </c>
      <c r="U4" s="174" t="n">
        <f aca="false">INDEX('💵 Cash Flow'!$C$11:$BJ$11,MATCH(U$3,'💵 Cash Flow'!$C$4:$BJ$4,0))</f>
        <v>160824316.367404</v>
      </c>
      <c r="V4" s="174" t="n">
        <f aca="false">INDEX('💵 Cash Flow'!$C$11:$BJ$11,MATCH(V$3,'💵 Cash Flow'!$C$4:$BJ$4,0))</f>
        <v>179173634.56975</v>
      </c>
      <c r="W4" s="174" t="n">
        <f aca="false">INDEX('💵 Cash Flow'!$C$11:$BJ$11,MATCH(W$3,'💵 Cash Flow'!$C$4:$BJ$4,0))</f>
        <v>175786531.644552</v>
      </c>
      <c r="X4" s="174" t="n">
        <f aca="false">INDEX('💵 Cash Flow'!$C$11:$BJ$11,MATCH(X$3,'💵 Cash Flow'!$C$4:$BJ$4,0))</f>
        <v>140847325.808351</v>
      </c>
      <c r="Y4" s="174" t="n">
        <f aca="false">INDEX('💵 Cash Flow'!$C$11:$BJ$11,MATCH(Y$3,'💵 Cash Flow'!$C$4:$BJ$4,0))</f>
        <v>122806723.398692</v>
      </c>
      <c r="Z4" s="174" t="n">
        <f aca="false">INDEX('💵 Cash Flow'!$C$11:$BJ$11,MATCH(Z$3,'💵 Cash Flow'!$C$4:$BJ$4,0))</f>
        <v>129184662.624085</v>
      </c>
      <c r="AA4" s="174" t="n">
        <f aca="false">INDEX('💵 Cash Flow'!$C$11:$BJ$11,MATCH(AA$3,'💵 Cash Flow'!$C$4:$BJ$4,0))</f>
        <v>154966989.813981</v>
      </c>
      <c r="AB4" s="174" t="n">
        <f aca="false">INDEX('💵 Cash Flow'!$C$11:$BJ$11,MATCH(AB$3,'💵 Cash Flow'!$C$4:$BJ$4,0))</f>
        <v>198770761.043739</v>
      </c>
      <c r="AC4" s="174" t="n">
        <f aca="false">INDEX('💵 Cash Flow'!$C$11:$BJ$11,MATCH(AC$3,'💵 Cash Flow'!$C$4:$BJ$4,0))</f>
        <v>202376608.134595</v>
      </c>
      <c r="AD4" s="174" t="n">
        <f aca="false">INDEX('💵 Cash Flow'!$C$11:$BJ$11,MATCH(AD$3,'💵 Cash Flow'!$C$4:$BJ$4,0))</f>
        <v>97334771.7786328</v>
      </c>
      <c r="AE4" s="174" t="n">
        <f aca="false">INDEX('💵 Cash Flow'!$C$11:$BJ$11,MATCH(AE$3,'💵 Cash Flow'!$C$4:$BJ$4,0))</f>
        <v>139511402.788751</v>
      </c>
      <c r="AF4" s="174" t="n">
        <f aca="false">INDEX('💵 Cash Flow'!$C$11:$BJ$11,MATCH(AF$3,'💵 Cash Flow'!$C$4:$BJ$4,0))</f>
        <v>179963265.223632</v>
      </c>
      <c r="AG4" s="174" t="n">
        <f aca="false">INDEX('💵 Cash Flow'!$C$11:$BJ$11,MATCH(AG$3,'💵 Cash Flow'!$C$4:$BJ$4,0))</f>
        <v>163869558.512712</v>
      </c>
      <c r="AH4" s="174" t="n">
        <f aca="false">INDEX('💵 Cash Flow'!$C$11:$BJ$11,MATCH(AH$3,'💵 Cash Flow'!$C$4:$BJ$4,0))</f>
        <v>182553327.081148</v>
      </c>
      <c r="AI4" s="174" t="n">
        <f aca="false">INDEX('💵 Cash Flow'!$C$11:$BJ$11,MATCH(AI$3,'💵 Cash Flow'!$C$4:$BJ$4,0))</f>
        <v>179131307.849784</v>
      </c>
      <c r="AJ4" s="174" t="n">
        <f aca="false">INDEX('💵 Cash Flow'!$C$11:$BJ$11,MATCH(AJ$3,'💵 Cash Flow'!$C$4:$BJ$4,0))</f>
        <v>143739218.985123</v>
      </c>
      <c r="AK4" s="174" t="n">
        <f aca="false">INDEX('💵 Cash Flow'!$C$11:$BJ$11,MATCH(AK$3,'💵 Cash Flow'!$C$4:$BJ$4,0))</f>
        <v>125454706.77429</v>
      </c>
      <c r="AL4" s="174" t="n">
        <f aca="false">INDEX('💵 Cash Flow'!$C$11:$BJ$11,MATCH(AL$3,'💵 Cash Flow'!$C$4:$BJ$4,0))</f>
        <v>133349139.280307</v>
      </c>
      <c r="AM4" s="174" t="n">
        <f aca="false">INDEX('💵 Cash Flow'!$C$11:$BJ$11,MATCH(AM$3,'💵 Cash Flow'!$C$4:$BJ$4,0))</f>
        <v>159351259.179596</v>
      </c>
      <c r="AN4" s="174" t="n">
        <f aca="false">INDEX('💵 Cash Flow'!$C$11:$BJ$11,MATCH(AN$3,'💵 Cash Flow'!$C$4:$BJ$4,0))</f>
        <v>202283231</v>
      </c>
      <c r="AO4" s="174" t="n">
        <f aca="false">INDEX('💵 Cash Flow'!$C$11:$BJ$11,MATCH(AO$3,'💵 Cash Flow'!$C$4:$BJ$4,0))</f>
        <v>197537441</v>
      </c>
      <c r="AP4" s="174" t="n">
        <f aca="false">INDEX('💵 Cash Flow'!$C$11:$BJ$11,MATCH(AP$3,'💵 Cash Flow'!$C$4:$BJ$4,0))</f>
        <v>94215177.5</v>
      </c>
      <c r="AQ4" s="174" t="n">
        <f aca="false">INDEX('💵 Cash Flow'!$C$11:$BJ$11,MATCH(AQ$3,'💵 Cash Flow'!$C$4:$BJ$4,0))</f>
        <v>135681153.125</v>
      </c>
      <c r="AR4" s="174" t="n">
        <f aca="false">INDEX('💵 Cash Flow'!$C$11:$BJ$11,MATCH(AR$3,'💵 Cash Flow'!$C$4:$BJ$4,0))</f>
        <v>175498981.25</v>
      </c>
      <c r="AS4" s="174" t="n">
        <f aca="false">INDEX('💵 Cash Flow'!$C$11:$BJ$11,MATCH(AS$3,'💵 Cash Flow'!$C$4:$BJ$4,0))</f>
        <v>159664341.875</v>
      </c>
      <c r="AT4" s="174" t="n">
        <f aca="false">INDEX('💵 Cash Flow'!$C$11:$BJ$11,MATCH(AT$3,'💵 Cash Flow'!$C$4:$BJ$4,0))</f>
        <v>177918350</v>
      </c>
      <c r="AU4" s="174" t="n">
        <f aca="false">INDEX('💵 Cash Flow'!$C$11:$BJ$11,MATCH(AU$3,'💵 Cash Flow'!$C$4:$BJ$4,0))</f>
        <v>174551433.125</v>
      </c>
      <c r="AV4" s="174" t="n">
        <f aca="false">INDEX('💵 Cash Flow'!$C$11:$BJ$11,MATCH(AV$3,'💵 Cash Flow'!$C$4:$BJ$4,0))</f>
        <v>139763097.5</v>
      </c>
      <c r="AW4" s="174" t="n">
        <f aca="false">INDEX('💵 Cash Flow'!$C$11:$BJ$11,MATCH(AW$3,'💵 Cash Flow'!$C$4:$BJ$4,0))</f>
        <v>121808131.25</v>
      </c>
      <c r="AX4" s="174" t="n">
        <f aca="false">INDEX('💵 Cash Flow'!$C$11:$BJ$11,MATCH(AX$3,'💵 Cash Flow'!$C$4:$BJ$4,0))</f>
        <v>128166985.625</v>
      </c>
      <c r="AY4" s="174" t="n">
        <f aca="false">INDEX('💵 Cash Flow'!$C$11:$BJ$11,MATCH(AY$3,'💵 Cash Flow'!$C$4:$BJ$4,0))</f>
        <v>153896888.75</v>
      </c>
      <c r="AZ4" s="174" t="n">
        <f aca="false">INDEX('💵 Cash Flow'!$C$11:$BJ$11,MATCH(AZ$3,'💵 Cash Flow'!$C$4:$BJ$4,0))</f>
        <v>197537441</v>
      </c>
      <c r="BA4" s="174" t="n">
        <f aca="false">INDEX('💵 Cash Flow'!$C$11:$BJ$11,MATCH(BA$3,'💵 Cash Flow'!$C$4:$BJ$4,0))</f>
        <v>199245925.4</v>
      </c>
      <c r="BB4" s="174" t="n">
        <f aca="false">INDEX('💵 Cash Flow'!$C$11:$BJ$11,MATCH(BB$3,'💵 Cash Flow'!$C$4:$BJ$4,0))</f>
        <v>101300662.625</v>
      </c>
      <c r="BC4" s="174" t="n">
        <f aca="false">INDEX('💵 Cash Flow'!$C$11:$BJ$11,MATCH(BC$3,'💵 Cash Flow'!$C$4:$BJ$4,0))</f>
        <v>137183986.625</v>
      </c>
      <c r="BD4" s="174" t="n">
        <f aca="false">INDEX('💵 Cash Flow'!$C$11:$BJ$11,MATCH(BD$3,'💵 Cash Flow'!$C$4:$BJ$4,0))</f>
        <v>177259516.25</v>
      </c>
      <c r="BE4" s="174" t="n">
        <f aca="false">INDEX('💵 Cash Flow'!$C$11:$BJ$11,MATCH(BE$3,'💵 Cash Flow'!$C$4:$BJ$4,0))</f>
        <v>161325368.375</v>
      </c>
      <c r="BF4" s="174" t="n">
        <f aca="false">INDEX('💵 Cash Flow'!$C$11:$BJ$11,MATCH(BF$3,'💵 Cash Flow'!$C$4:$BJ$4,0))</f>
        <v>180673970</v>
      </c>
      <c r="BG4" s="174" t="n">
        <f aca="false">INDEX('💵 Cash Flow'!$C$11:$BJ$11,MATCH(BG$3,'💵 Cash Flow'!$C$4:$BJ$4,0))</f>
        <v>177280262.375</v>
      </c>
      <c r="BH4" s="174" t="n">
        <f aca="false">INDEX('💵 Cash Flow'!$C$11:$BJ$11,MATCH(BH$3,'💵 Cash Flow'!$C$4:$BJ$4,0))</f>
        <v>142135992.5</v>
      </c>
      <c r="BI4" s="174" t="n">
        <f aca="false">INDEX('💵 Cash Flow'!$C$11:$BJ$11,MATCH(BI$3,'💵 Cash Flow'!$C$4:$BJ$4,0))</f>
        <v>123989663.75</v>
      </c>
    </row>
    <row r="5" customFormat="false" ht="13.8" hidden="false" customHeight="false" outlineLevel="0" collapsed="false">
      <c r="A5" s="0" t="s">
        <v>589</v>
      </c>
      <c r="B5" s="174" t="n">
        <f aca="false">INDEX('💵 Cash Flow'!$C$16:$BJ$16,MATCH(B$3,'💵 Cash Flow'!$C$4:$BJ$4,0))</f>
        <v>-645000000</v>
      </c>
      <c r="C5" s="174" t="n">
        <f aca="false">INDEX('💵 Cash Flow'!$C$16:$BJ$16,MATCH(C$3,'💵 Cash Flow'!$C$4:$BJ$4,0))</f>
        <v>0</v>
      </c>
      <c r="D5" s="174" t="n">
        <f aca="false">INDEX('💵 Cash Flow'!$C$16:$BJ$16,MATCH(D$3,'💵 Cash Flow'!$C$4:$BJ$4,0))</f>
        <v>0</v>
      </c>
      <c r="E5" s="174" t="n">
        <f aca="false">INDEX('💵 Cash Flow'!$C$16:$BJ$16,MATCH(E$3,'💵 Cash Flow'!$C$4:$BJ$4,0))</f>
        <v>0</v>
      </c>
      <c r="F5" s="174" t="n">
        <f aca="false">INDEX('💵 Cash Flow'!$C$16:$BJ$16,MATCH(F$3,'💵 Cash Flow'!$C$4:$BJ$4,0))</f>
        <v>0</v>
      </c>
      <c r="G5" s="174" t="n">
        <f aca="false">INDEX('💵 Cash Flow'!$C$16:$BJ$16,MATCH(G$3,'💵 Cash Flow'!$C$4:$BJ$4,0))</f>
        <v>0</v>
      </c>
      <c r="H5" s="174" t="n">
        <f aca="false">INDEX('💵 Cash Flow'!$C$16:$BJ$16,MATCH(H$3,'💵 Cash Flow'!$C$4:$BJ$4,0))</f>
        <v>0</v>
      </c>
      <c r="I5" s="174" t="n">
        <f aca="false">INDEX('💵 Cash Flow'!$C$16:$BJ$16,MATCH(I$3,'💵 Cash Flow'!$C$4:$BJ$4,0))</f>
        <v>0</v>
      </c>
      <c r="J5" s="174" t="n">
        <f aca="false">INDEX('💵 Cash Flow'!$C$16:$BJ$16,MATCH(J$3,'💵 Cash Flow'!$C$4:$BJ$4,0))</f>
        <v>0</v>
      </c>
      <c r="K5" s="174" t="n">
        <f aca="false">INDEX('💵 Cash Flow'!$C$16:$BJ$16,MATCH(K$3,'💵 Cash Flow'!$C$4:$BJ$4,0))</f>
        <v>0</v>
      </c>
      <c r="L5" s="174" t="n">
        <f aca="false">INDEX('💵 Cash Flow'!$C$16:$BJ$16,MATCH(L$3,'💵 Cash Flow'!$C$4:$BJ$4,0))</f>
        <v>0</v>
      </c>
      <c r="M5" s="174" t="n">
        <f aca="false">INDEX('💵 Cash Flow'!$C$16:$BJ$16,MATCH(M$3,'💵 Cash Flow'!$C$4:$BJ$4,0))</f>
        <v>0</v>
      </c>
      <c r="N5" s="174" t="n">
        <f aca="false">INDEX('💵 Cash Flow'!$C$16:$BJ$16,MATCH(N$3,'💵 Cash Flow'!$C$4:$BJ$4,0))</f>
        <v>0</v>
      </c>
      <c r="O5" s="174" t="n">
        <f aca="false">INDEX('💵 Cash Flow'!$C$16:$BJ$16,MATCH(O$3,'💵 Cash Flow'!$C$4:$BJ$4,0))</f>
        <v>0</v>
      </c>
      <c r="P5" s="174" t="n">
        <f aca="false">INDEX('💵 Cash Flow'!$C$16:$BJ$16,MATCH(P$3,'💵 Cash Flow'!$C$4:$BJ$4,0))</f>
        <v>0</v>
      </c>
      <c r="Q5" s="174" t="n">
        <f aca="false">INDEX('💵 Cash Flow'!$C$16:$BJ$16,MATCH(Q$3,'💵 Cash Flow'!$C$4:$BJ$4,0))</f>
        <v>0</v>
      </c>
      <c r="R5" s="174" t="n">
        <f aca="false">INDEX('💵 Cash Flow'!$C$16:$BJ$16,MATCH(R$3,'💵 Cash Flow'!$C$4:$BJ$4,0))</f>
        <v>0</v>
      </c>
      <c r="S5" s="174" t="n">
        <f aca="false">INDEX('💵 Cash Flow'!$C$16:$BJ$16,MATCH(S$3,'💵 Cash Flow'!$C$4:$BJ$4,0))</f>
        <v>0</v>
      </c>
      <c r="T5" s="174" t="n">
        <f aca="false">INDEX('💵 Cash Flow'!$C$16:$BJ$16,MATCH(T$3,'💵 Cash Flow'!$C$4:$BJ$4,0))</f>
        <v>0</v>
      </c>
      <c r="U5" s="174" t="n">
        <f aca="false">INDEX('💵 Cash Flow'!$C$16:$BJ$16,MATCH(U$3,'💵 Cash Flow'!$C$4:$BJ$4,0))</f>
        <v>0</v>
      </c>
      <c r="V5" s="174" t="n">
        <f aca="false">INDEX('💵 Cash Flow'!$C$16:$BJ$16,MATCH(V$3,'💵 Cash Flow'!$C$4:$BJ$4,0))</f>
        <v>0</v>
      </c>
      <c r="W5" s="174" t="n">
        <f aca="false">INDEX('💵 Cash Flow'!$C$16:$BJ$16,MATCH(W$3,'💵 Cash Flow'!$C$4:$BJ$4,0))</f>
        <v>0</v>
      </c>
      <c r="X5" s="174" t="n">
        <f aca="false">INDEX('💵 Cash Flow'!$C$16:$BJ$16,MATCH(X$3,'💵 Cash Flow'!$C$4:$BJ$4,0))</f>
        <v>0</v>
      </c>
      <c r="Y5" s="174" t="n">
        <f aca="false">INDEX('💵 Cash Flow'!$C$16:$BJ$16,MATCH(Y$3,'💵 Cash Flow'!$C$4:$BJ$4,0))</f>
        <v>0</v>
      </c>
      <c r="Z5" s="174" t="n">
        <f aca="false">INDEX('💵 Cash Flow'!$C$16:$BJ$16,MATCH(Z$3,'💵 Cash Flow'!$C$4:$BJ$4,0))</f>
        <v>0</v>
      </c>
      <c r="AA5" s="174" t="n">
        <f aca="false">INDEX('💵 Cash Flow'!$C$16:$BJ$16,MATCH(AA$3,'💵 Cash Flow'!$C$4:$BJ$4,0))</f>
        <v>0</v>
      </c>
      <c r="AB5" s="174" t="n">
        <f aca="false">INDEX('💵 Cash Flow'!$C$16:$BJ$16,MATCH(AB$3,'💵 Cash Flow'!$C$4:$BJ$4,0))</f>
        <v>0</v>
      </c>
      <c r="AC5" s="174" t="n">
        <f aca="false">INDEX('💵 Cash Flow'!$C$16:$BJ$16,MATCH(AC$3,'💵 Cash Flow'!$C$4:$BJ$4,0))</f>
        <v>0</v>
      </c>
      <c r="AD5" s="174" t="n">
        <f aca="false">INDEX('💵 Cash Flow'!$C$16:$BJ$16,MATCH(AD$3,'💵 Cash Flow'!$C$4:$BJ$4,0))</f>
        <v>0</v>
      </c>
      <c r="AE5" s="174" t="n">
        <f aca="false">INDEX('💵 Cash Flow'!$C$16:$BJ$16,MATCH(AE$3,'💵 Cash Flow'!$C$4:$BJ$4,0))</f>
        <v>0</v>
      </c>
      <c r="AF5" s="174" t="n">
        <f aca="false">INDEX('💵 Cash Flow'!$C$16:$BJ$16,MATCH(AF$3,'💵 Cash Flow'!$C$4:$BJ$4,0))</f>
        <v>0</v>
      </c>
      <c r="AG5" s="174" t="n">
        <f aca="false">INDEX('💵 Cash Flow'!$C$16:$BJ$16,MATCH(AG$3,'💵 Cash Flow'!$C$4:$BJ$4,0))</f>
        <v>0</v>
      </c>
      <c r="AH5" s="174" t="n">
        <f aca="false">INDEX('💵 Cash Flow'!$C$16:$BJ$16,MATCH(AH$3,'💵 Cash Flow'!$C$4:$BJ$4,0))</f>
        <v>0</v>
      </c>
      <c r="AI5" s="174" t="n">
        <f aca="false">INDEX('💵 Cash Flow'!$C$16:$BJ$16,MATCH(AI$3,'💵 Cash Flow'!$C$4:$BJ$4,0))</f>
        <v>0</v>
      </c>
      <c r="AJ5" s="174" t="n">
        <f aca="false">INDEX('💵 Cash Flow'!$C$16:$BJ$16,MATCH(AJ$3,'💵 Cash Flow'!$C$4:$BJ$4,0))</f>
        <v>0</v>
      </c>
      <c r="AK5" s="174" t="n">
        <f aca="false">INDEX('💵 Cash Flow'!$C$16:$BJ$16,MATCH(AK$3,'💵 Cash Flow'!$C$4:$BJ$4,0))</f>
        <v>0</v>
      </c>
      <c r="AL5" s="174" t="n">
        <f aca="false">INDEX('💵 Cash Flow'!$C$16:$BJ$16,MATCH(AL$3,'💵 Cash Flow'!$C$4:$BJ$4,0))</f>
        <v>0</v>
      </c>
      <c r="AM5" s="174" t="n">
        <f aca="false">INDEX('💵 Cash Flow'!$C$16:$BJ$16,MATCH(AM$3,'💵 Cash Flow'!$C$4:$BJ$4,0))</f>
        <v>0</v>
      </c>
      <c r="AN5" s="174" t="n">
        <f aca="false">INDEX('💵 Cash Flow'!$C$16:$BJ$16,MATCH(AN$3,'💵 Cash Flow'!$C$4:$BJ$4,0))</f>
        <v>0</v>
      </c>
      <c r="AO5" s="174" t="n">
        <f aca="false">INDEX('💵 Cash Flow'!$C$16:$BJ$16,MATCH(AO$3,'💵 Cash Flow'!$C$4:$BJ$4,0))</f>
        <v>0</v>
      </c>
      <c r="AP5" s="174" t="n">
        <f aca="false">INDEX('💵 Cash Flow'!$C$16:$BJ$16,MATCH(AP$3,'💵 Cash Flow'!$C$4:$BJ$4,0))</f>
        <v>0</v>
      </c>
      <c r="AQ5" s="174" t="n">
        <f aca="false">INDEX('💵 Cash Flow'!$C$16:$BJ$16,MATCH(AQ$3,'💵 Cash Flow'!$C$4:$BJ$4,0))</f>
        <v>0</v>
      </c>
      <c r="AR5" s="174" t="n">
        <f aca="false">INDEX('💵 Cash Flow'!$C$16:$BJ$16,MATCH(AR$3,'💵 Cash Flow'!$C$4:$BJ$4,0))</f>
        <v>0</v>
      </c>
      <c r="AS5" s="174" t="n">
        <f aca="false">INDEX('💵 Cash Flow'!$C$16:$BJ$16,MATCH(AS$3,'💵 Cash Flow'!$C$4:$BJ$4,0))</f>
        <v>0</v>
      </c>
      <c r="AT5" s="174" t="n">
        <f aca="false">INDEX('💵 Cash Flow'!$C$16:$BJ$16,MATCH(AT$3,'💵 Cash Flow'!$C$4:$BJ$4,0))</f>
        <v>0</v>
      </c>
      <c r="AU5" s="174" t="n">
        <f aca="false">INDEX('💵 Cash Flow'!$C$16:$BJ$16,MATCH(AU$3,'💵 Cash Flow'!$C$4:$BJ$4,0))</f>
        <v>0</v>
      </c>
      <c r="AV5" s="174" t="n">
        <f aca="false">INDEX('💵 Cash Flow'!$C$16:$BJ$16,MATCH(AV$3,'💵 Cash Flow'!$C$4:$BJ$4,0))</f>
        <v>0</v>
      </c>
      <c r="AW5" s="174" t="n">
        <f aca="false">INDEX('💵 Cash Flow'!$C$16:$BJ$16,MATCH(AW$3,'💵 Cash Flow'!$C$4:$BJ$4,0))</f>
        <v>0</v>
      </c>
      <c r="AX5" s="174" t="n">
        <f aca="false">INDEX('💵 Cash Flow'!$C$16:$BJ$16,MATCH(AX$3,'💵 Cash Flow'!$C$4:$BJ$4,0))</f>
        <v>0</v>
      </c>
      <c r="AY5" s="174" t="n">
        <f aca="false">INDEX('💵 Cash Flow'!$C$16:$BJ$16,MATCH(AY$3,'💵 Cash Flow'!$C$4:$BJ$4,0))</f>
        <v>0</v>
      </c>
      <c r="AZ5" s="174" t="n">
        <f aca="false">INDEX('💵 Cash Flow'!$C$16:$BJ$16,MATCH(AZ$3,'💵 Cash Flow'!$C$4:$BJ$4,0))</f>
        <v>0</v>
      </c>
      <c r="BA5" s="174" t="n">
        <f aca="false">INDEX('💵 Cash Flow'!$C$16:$BJ$16,MATCH(BA$3,'💵 Cash Flow'!$C$4:$BJ$4,0))</f>
        <v>0</v>
      </c>
      <c r="BB5" s="174" t="n">
        <f aca="false">INDEX('💵 Cash Flow'!$C$16:$BJ$16,MATCH(BB$3,'💵 Cash Flow'!$C$4:$BJ$4,0))</f>
        <v>0</v>
      </c>
      <c r="BC5" s="174" t="n">
        <f aca="false">INDEX('💵 Cash Flow'!$C$16:$BJ$16,MATCH(BC$3,'💵 Cash Flow'!$C$4:$BJ$4,0))</f>
        <v>0</v>
      </c>
      <c r="BD5" s="174" t="n">
        <f aca="false">INDEX('💵 Cash Flow'!$C$16:$BJ$16,MATCH(BD$3,'💵 Cash Flow'!$C$4:$BJ$4,0))</f>
        <v>0</v>
      </c>
      <c r="BE5" s="174" t="n">
        <f aca="false">INDEX('💵 Cash Flow'!$C$16:$BJ$16,MATCH(BE$3,'💵 Cash Flow'!$C$4:$BJ$4,0))</f>
        <v>0</v>
      </c>
      <c r="BF5" s="174" t="n">
        <f aca="false">INDEX('💵 Cash Flow'!$C$16:$BJ$16,MATCH(BF$3,'💵 Cash Flow'!$C$4:$BJ$4,0))</f>
        <v>0</v>
      </c>
      <c r="BG5" s="174" t="n">
        <f aca="false">INDEX('💵 Cash Flow'!$C$16:$BJ$16,MATCH(BG$3,'💵 Cash Flow'!$C$4:$BJ$4,0))</f>
        <v>0</v>
      </c>
      <c r="BH5" s="174" t="n">
        <f aca="false">INDEX('💵 Cash Flow'!$C$16:$BJ$16,MATCH(BH$3,'💵 Cash Flow'!$C$4:$BJ$4,0))</f>
        <v>0</v>
      </c>
      <c r="BI5" s="174" t="n">
        <f aca="false">INDEX('💵 Cash Flow'!$C$16:$BJ$16,MATCH(BI$3,'💵 Cash Flow'!$C$4:$BJ$4,0))</f>
        <v>0</v>
      </c>
    </row>
    <row r="6" customFormat="false" ht="13.8" hidden="false" customHeight="false" outlineLevel="0" collapsed="false">
      <c r="B6" s="175" t="n">
        <f aca="false">SUM(B4:B5)</f>
        <v>-705375000</v>
      </c>
      <c r="C6" s="175" t="n">
        <f aca="false">SUM(C4:C5)</f>
        <v>-60375000</v>
      </c>
      <c r="D6" s="175" t="n">
        <f aca="false">SUM(D4:D5)</f>
        <v>-6081266.25000001</v>
      </c>
      <c r="E6" s="175" t="n">
        <f aca="false">SUM(E4:E5)</f>
        <v>24151514.4050493</v>
      </c>
      <c r="F6" s="175" t="n">
        <f aca="false">SUM(F4:F5)</f>
        <v>17054407.1561152</v>
      </c>
      <c r="G6" s="175" t="n">
        <f aca="false">SUM(G4:G5)</f>
        <v>53188774.4819547</v>
      </c>
      <c r="H6" s="175" t="n">
        <f aca="false">SUM(H4:H5)</f>
        <v>98010973.6904724</v>
      </c>
      <c r="I6" s="175" t="n">
        <f aca="false">SUM(I4:I5)</f>
        <v>106306741.023523</v>
      </c>
      <c r="J6" s="175" t="n">
        <f aca="false">SUM(J4:J5)</f>
        <v>119596017.875633</v>
      </c>
      <c r="K6" s="175" t="n">
        <f aca="false">SUM(K4:K5)</f>
        <v>132191869.700229</v>
      </c>
      <c r="L6" s="175" t="n">
        <f aca="false">SUM(L4:L5)</f>
        <v>103710682.884602</v>
      </c>
      <c r="M6" s="175" t="n">
        <f aca="false">SUM(M4:M5)</f>
        <v>88955411.6248897</v>
      </c>
      <c r="N6" s="175" t="n">
        <f aca="false">SUM(N4:N5)</f>
        <v>94202087.3010419</v>
      </c>
      <c r="O6" s="175" t="n">
        <f aca="false">SUM(O4:O5)</f>
        <v>118692827.851796</v>
      </c>
      <c r="P6" s="175" t="n">
        <f aca="false">SUM(P4:P5)</f>
        <v>155084400.58715</v>
      </c>
      <c r="Q6" s="175" t="n">
        <f aca="false">SUM(Q4:Q5)</f>
        <v>156205214.688332</v>
      </c>
      <c r="R6" s="175" t="n">
        <f aca="false">SUM(R4:R5)</f>
        <v>95137400.2702727</v>
      </c>
      <c r="S6" s="175" t="n">
        <f aca="false">SUM(S4:S5)</f>
        <v>136765721.194078</v>
      </c>
      <c r="T6" s="175" t="n">
        <f aca="false">SUM(T4:T5)</f>
        <v>176727600.066999</v>
      </c>
      <c r="U6" s="175" t="n">
        <f aca="false">SUM(U4:U5)</f>
        <v>160824316.367404</v>
      </c>
      <c r="V6" s="175" t="n">
        <f aca="false">SUM(V4:V5)</f>
        <v>179173634.56975</v>
      </c>
      <c r="W6" s="175" t="n">
        <f aca="false">SUM(W4:W5)</f>
        <v>175786531.644552</v>
      </c>
      <c r="X6" s="175" t="n">
        <f aca="false">SUM(X4:X5)</f>
        <v>140847325.808351</v>
      </c>
      <c r="Y6" s="175" t="n">
        <f aca="false">SUM(Y4:Y5)</f>
        <v>122806723.398692</v>
      </c>
      <c r="Z6" s="175" t="n">
        <f aca="false">SUM(Z4:Z5)</f>
        <v>129184662.624085</v>
      </c>
      <c r="AA6" s="175" t="n">
        <f aca="false">SUM(AA4:AA5)</f>
        <v>154966989.813981</v>
      </c>
      <c r="AB6" s="175" t="n">
        <f aca="false">SUM(AB4:AB5)</f>
        <v>198770761.043739</v>
      </c>
      <c r="AC6" s="175" t="n">
        <f aca="false">SUM(AC4:AC5)</f>
        <v>202376608.134595</v>
      </c>
      <c r="AD6" s="175" t="n">
        <f aca="false">SUM(AD4:AD5)</f>
        <v>97334771.7786328</v>
      </c>
      <c r="AE6" s="175" t="n">
        <f aca="false">SUM(AE4:AE5)</f>
        <v>139511402.788751</v>
      </c>
      <c r="AF6" s="175" t="n">
        <f aca="false">SUM(AF4:AF5)</f>
        <v>179963265.223632</v>
      </c>
      <c r="AG6" s="175" t="n">
        <f aca="false">SUM(AG4:AG5)</f>
        <v>163869558.512712</v>
      </c>
      <c r="AH6" s="175" t="n">
        <f aca="false">SUM(AH4:AH5)</f>
        <v>182553327.081148</v>
      </c>
      <c r="AI6" s="175" t="n">
        <f aca="false">SUM(AI4:AI5)</f>
        <v>179131307.849784</v>
      </c>
      <c r="AJ6" s="175" t="n">
        <f aca="false">SUM(AJ4:AJ5)</f>
        <v>143739218.985123</v>
      </c>
      <c r="AK6" s="175" t="n">
        <f aca="false">SUM(AK4:AK5)</f>
        <v>125454706.77429</v>
      </c>
      <c r="AL6" s="175" t="n">
        <f aca="false">SUM(AL4:AL5)</f>
        <v>133349139.280307</v>
      </c>
      <c r="AM6" s="175" t="n">
        <f aca="false">SUM(AM4:AM5)</f>
        <v>159351259.179596</v>
      </c>
      <c r="AN6" s="175" t="n">
        <f aca="false">SUM(AN4:AN5)</f>
        <v>202283231</v>
      </c>
      <c r="AO6" s="175" t="n">
        <f aca="false">SUM(AO4:AO5)</f>
        <v>197537441</v>
      </c>
      <c r="AP6" s="175" t="n">
        <f aca="false">SUM(AP4:AP5)</f>
        <v>94215177.5</v>
      </c>
      <c r="AQ6" s="175" t="n">
        <f aca="false">SUM(AQ4:AQ5)</f>
        <v>135681153.125</v>
      </c>
      <c r="AR6" s="175" t="n">
        <f aca="false">SUM(AR4:AR5)</f>
        <v>175498981.25</v>
      </c>
      <c r="AS6" s="175" t="n">
        <f aca="false">SUM(AS4:AS5)</f>
        <v>159664341.875</v>
      </c>
      <c r="AT6" s="175" t="n">
        <f aca="false">SUM(AT4:AT5)</f>
        <v>177918350</v>
      </c>
      <c r="AU6" s="175" t="n">
        <f aca="false">SUM(AU4:AU5)</f>
        <v>174551433.125</v>
      </c>
      <c r="AV6" s="175" t="n">
        <f aca="false">SUM(AV4:AV5)</f>
        <v>139763097.5</v>
      </c>
      <c r="AW6" s="175" t="n">
        <f aca="false">SUM(AW4:AW5)</f>
        <v>121808131.25</v>
      </c>
      <c r="AX6" s="175" t="n">
        <f aca="false">SUM(AX4:AX5)</f>
        <v>128166985.625</v>
      </c>
      <c r="AY6" s="175" t="n">
        <f aca="false">SUM(AY4:AY5)</f>
        <v>153896888.75</v>
      </c>
      <c r="AZ6" s="175" t="n">
        <f aca="false">SUM(AZ4:AZ5)</f>
        <v>197537441</v>
      </c>
      <c r="BA6" s="175" t="n">
        <f aca="false">SUM(BA4:BA5)</f>
        <v>199245925.4</v>
      </c>
      <c r="BB6" s="175" t="n">
        <f aca="false">SUM(BB4:BB5)</f>
        <v>101300662.625</v>
      </c>
      <c r="BC6" s="175" t="n">
        <f aca="false">SUM(BC4:BC5)</f>
        <v>137183986.625</v>
      </c>
      <c r="BD6" s="175" t="n">
        <f aca="false">SUM(BD4:BD5)</f>
        <v>177259516.25</v>
      </c>
      <c r="BE6" s="175" t="n">
        <f aca="false">SUM(BE4:BE5)</f>
        <v>161325368.375</v>
      </c>
      <c r="BF6" s="175" t="n">
        <f aca="false">SUM(BF4:BF5)</f>
        <v>180673970</v>
      </c>
      <c r="BG6" s="175" t="n">
        <f aca="false">SUM(BG4:BG5)</f>
        <v>177280262.375</v>
      </c>
      <c r="BH6" s="175" t="n">
        <f aca="false">SUM(BH4:BH5)</f>
        <v>142135992.5</v>
      </c>
      <c r="BI6" s="175" t="n">
        <f aca="false">SUM(BI4:BI5)</f>
        <v>123989663.75</v>
      </c>
    </row>
    <row r="7" customFormat="false" ht="13.8" hidden="false" customHeight="false" outlineLevel="0" collapsed="false">
      <c r="A7" s="0" t="s">
        <v>590</v>
      </c>
      <c r="B7" s="176" t="n">
        <f aca="false">IRR(B6:BI6)</f>
        <v>0.10790894347991</v>
      </c>
    </row>
    <row r="8" customFormat="false" ht="13.8" hidden="false" customHeight="false" outlineLevel="0" collapsed="false"/>
    <row r="9" customFormat="false" ht="13.8" hidden="false" customHeight="false" outlineLevel="0" collapsed="false">
      <c r="A9" s="0" t="s">
        <v>591</v>
      </c>
    </row>
    <row r="10" customFormat="false" ht="13.8" hidden="false" customHeight="false" outlineLevel="0" collapsed="false">
      <c r="A10" s="114" t="s">
        <v>422</v>
      </c>
      <c r="B10" s="174" t="n">
        <f aca="false">INDEX('💵 Cash Flow'!$C$21:$BJ$21,MATCH(B$3,'💵 Cash Flow'!$C$4:$BJ$4,0))</f>
        <v>363404004.13789</v>
      </c>
      <c r="C10" s="174" t="n">
        <f aca="false">INDEX('💵 Cash Flow'!$C$21:$BJ$21,MATCH(C$3,'💵 Cash Flow'!$C$4:$BJ$4,0))</f>
        <v>0</v>
      </c>
      <c r="D10" s="174" t="n">
        <f aca="false">INDEX('💵 Cash Flow'!$C$21:$BJ$21,MATCH(D$3,'💵 Cash Flow'!$C$4:$BJ$4,0))</f>
        <v>0</v>
      </c>
      <c r="E10" s="174" t="n">
        <f aca="false">INDEX('💵 Cash Flow'!$C$21:$BJ$21,MATCH(E$3,'💵 Cash Flow'!$C$4:$BJ$4,0))</f>
        <v>0</v>
      </c>
      <c r="F10" s="174" t="n">
        <f aca="false">INDEX('💵 Cash Flow'!$C$21:$BJ$21,MATCH(F$3,'💵 Cash Flow'!$C$4:$BJ$4,0))</f>
        <v>0</v>
      </c>
      <c r="G10" s="174" t="n">
        <f aca="false">INDEX('💵 Cash Flow'!$C$21:$BJ$21,MATCH(G$3,'💵 Cash Flow'!$C$4:$BJ$4,0))</f>
        <v>0</v>
      </c>
      <c r="H10" s="174" t="n">
        <f aca="false">INDEX('💵 Cash Flow'!$C$21:$BJ$21,MATCH(H$3,'💵 Cash Flow'!$C$4:$BJ$4,0))</f>
        <v>0</v>
      </c>
      <c r="I10" s="174" t="n">
        <f aca="false">INDEX('💵 Cash Flow'!$C$21:$BJ$21,MATCH(I$3,'💵 Cash Flow'!$C$4:$BJ$4,0))</f>
        <v>0</v>
      </c>
      <c r="J10" s="174" t="n">
        <f aca="false">INDEX('💵 Cash Flow'!$C$21:$BJ$21,MATCH(J$3,'💵 Cash Flow'!$C$4:$BJ$4,0))</f>
        <v>0</v>
      </c>
      <c r="K10" s="174" t="n">
        <f aca="false">INDEX('💵 Cash Flow'!$C$21:$BJ$21,MATCH(K$3,'💵 Cash Flow'!$C$4:$BJ$4,0))</f>
        <v>0</v>
      </c>
      <c r="L10" s="174" t="n">
        <f aca="false">INDEX('💵 Cash Flow'!$C$21:$BJ$21,MATCH(L$3,'💵 Cash Flow'!$C$4:$BJ$4,0))</f>
        <v>0</v>
      </c>
      <c r="M10" s="174" t="n">
        <f aca="false">INDEX('💵 Cash Flow'!$C$21:$BJ$21,MATCH(M$3,'💵 Cash Flow'!$C$4:$BJ$4,0))</f>
        <v>0</v>
      </c>
      <c r="N10" s="174" t="n">
        <f aca="false">INDEX('💵 Cash Flow'!$C$21:$BJ$21,MATCH(N$3,'💵 Cash Flow'!$C$4:$BJ$4,0))</f>
        <v>0</v>
      </c>
      <c r="O10" s="174" t="n">
        <f aca="false">INDEX('💵 Cash Flow'!$C$21:$BJ$21,MATCH(O$3,'💵 Cash Flow'!$C$4:$BJ$4,0))</f>
        <v>0</v>
      </c>
      <c r="P10" s="174" t="n">
        <f aca="false">INDEX('💵 Cash Flow'!$C$21:$BJ$21,MATCH(P$3,'💵 Cash Flow'!$C$4:$BJ$4,0))</f>
        <v>0</v>
      </c>
      <c r="Q10" s="174" t="n">
        <f aca="false">INDEX('💵 Cash Flow'!$C$21:$BJ$21,MATCH(Q$3,'💵 Cash Flow'!$C$4:$BJ$4,0))</f>
        <v>0</v>
      </c>
      <c r="R10" s="174" t="n">
        <f aca="false">INDEX('💵 Cash Flow'!$C$21:$BJ$21,MATCH(R$3,'💵 Cash Flow'!$C$4:$BJ$4,0))</f>
        <v>0</v>
      </c>
      <c r="S10" s="174" t="n">
        <f aca="false">INDEX('💵 Cash Flow'!$C$21:$BJ$21,MATCH(S$3,'💵 Cash Flow'!$C$4:$BJ$4,0))</f>
        <v>0</v>
      </c>
      <c r="T10" s="174" t="n">
        <f aca="false">INDEX('💵 Cash Flow'!$C$21:$BJ$21,MATCH(T$3,'💵 Cash Flow'!$C$4:$BJ$4,0))</f>
        <v>0</v>
      </c>
      <c r="U10" s="174" t="n">
        <f aca="false">INDEX('💵 Cash Flow'!$C$21:$BJ$21,MATCH(U$3,'💵 Cash Flow'!$C$4:$BJ$4,0))</f>
        <v>0</v>
      </c>
      <c r="V10" s="174" t="n">
        <f aca="false">INDEX('💵 Cash Flow'!$C$21:$BJ$21,MATCH(V$3,'💵 Cash Flow'!$C$4:$BJ$4,0))</f>
        <v>0</v>
      </c>
      <c r="W10" s="174" t="n">
        <f aca="false">INDEX('💵 Cash Flow'!$C$21:$BJ$21,MATCH(W$3,'💵 Cash Flow'!$C$4:$BJ$4,0))</f>
        <v>0</v>
      </c>
      <c r="X10" s="174" t="n">
        <f aca="false">INDEX('💵 Cash Flow'!$C$21:$BJ$21,MATCH(X$3,'💵 Cash Flow'!$C$4:$BJ$4,0))</f>
        <v>0</v>
      </c>
      <c r="Y10" s="174" t="n">
        <f aca="false">INDEX('💵 Cash Flow'!$C$21:$BJ$21,MATCH(Y$3,'💵 Cash Flow'!$C$4:$BJ$4,0))</f>
        <v>0</v>
      </c>
      <c r="Z10" s="174" t="n">
        <f aca="false">INDEX('💵 Cash Flow'!$C$21:$BJ$21,MATCH(Z$3,'💵 Cash Flow'!$C$4:$BJ$4,0))</f>
        <v>0</v>
      </c>
      <c r="AA10" s="174" t="n">
        <f aca="false">INDEX('💵 Cash Flow'!$C$21:$BJ$21,MATCH(AA$3,'💵 Cash Flow'!$C$4:$BJ$4,0))</f>
        <v>0</v>
      </c>
      <c r="AB10" s="174" t="n">
        <f aca="false">INDEX('💵 Cash Flow'!$C$21:$BJ$21,MATCH(AB$3,'💵 Cash Flow'!$C$4:$BJ$4,0))</f>
        <v>0</v>
      </c>
      <c r="AC10" s="174" t="n">
        <f aca="false">INDEX('💵 Cash Flow'!$C$21:$BJ$21,MATCH(AC$3,'💵 Cash Flow'!$C$4:$BJ$4,0))</f>
        <v>0</v>
      </c>
      <c r="AD10" s="174" t="n">
        <f aca="false">INDEX('💵 Cash Flow'!$C$21:$BJ$21,MATCH(AD$3,'💵 Cash Flow'!$C$4:$BJ$4,0))</f>
        <v>0</v>
      </c>
      <c r="AE10" s="174" t="n">
        <f aca="false">INDEX('💵 Cash Flow'!$C$21:$BJ$21,MATCH(AE$3,'💵 Cash Flow'!$C$4:$BJ$4,0))</f>
        <v>0</v>
      </c>
      <c r="AF10" s="174" t="n">
        <f aca="false">INDEX('💵 Cash Flow'!$C$21:$BJ$21,MATCH(AF$3,'💵 Cash Flow'!$C$4:$BJ$4,0))</f>
        <v>0</v>
      </c>
      <c r="AG10" s="174" t="n">
        <f aca="false">INDEX('💵 Cash Flow'!$C$21:$BJ$21,MATCH(AG$3,'💵 Cash Flow'!$C$4:$BJ$4,0))</f>
        <v>0</v>
      </c>
      <c r="AH10" s="174" t="n">
        <f aca="false">INDEX('💵 Cash Flow'!$C$21:$BJ$21,MATCH(AH$3,'💵 Cash Flow'!$C$4:$BJ$4,0))</f>
        <v>0</v>
      </c>
      <c r="AI10" s="174" t="n">
        <f aca="false">INDEX('💵 Cash Flow'!$C$21:$BJ$21,MATCH(AI$3,'💵 Cash Flow'!$C$4:$BJ$4,0))</f>
        <v>0</v>
      </c>
      <c r="AJ10" s="174" t="n">
        <f aca="false">INDEX('💵 Cash Flow'!$C$21:$BJ$21,MATCH(AJ$3,'💵 Cash Flow'!$C$4:$BJ$4,0))</f>
        <v>0</v>
      </c>
      <c r="AK10" s="174" t="n">
        <f aca="false">INDEX('💵 Cash Flow'!$C$21:$BJ$21,MATCH(AK$3,'💵 Cash Flow'!$C$4:$BJ$4,0))</f>
        <v>0</v>
      </c>
      <c r="AL10" s="174" t="n">
        <f aca="false">INDEX('💵 Cash Flow'!$C$21:$BJ$21,MATCH(AL$3,'💵 Cash Flow'!$C$4:$BJ$4,0))</f>
        <v>0</v>
      </c>
      <c r="AM10" s="174" t="n">
        <f aca="false">INDEX('💵 Cash Flow'!$C$21:$BJ$21,MATCH(AM$3,'💵 Cash Flow'!$C$4:$BJ$4,0))</f>
        <v>0</v>
      </c>
      <c r="AN10" s="174" t="n">
        <f aca="false">INDEX('💵 Cash Flow'!$C$21:$BJ$21,MATCH(AN$3,'💵 Cash Flow'!$C$4:$BJ$4,0))</f>
        <v>0</v>
      </c>
      <c r="AO10" s="174" t="n">
        <f aca="false">INDEX('💵 Cash Flow'!$C$21:$BJ$21,MATCH(AO$3,'💵 Cash Flow'!$C$4:$BJ$4,0))</f>
        <v>0</v>
      </c>
      <c r="AP10" s="174" t="n">
        <f aca="false">INDEX('💵 Cash Flow'!$C$21:$BJ$21,MATCH(AP$3,'💵 Cash Flow'!$C$4:$BJ$4,0))</f>
        <v>0</v>
      </c>
      <c r="AQ10" s="174" t="n">
        <f aca="false">INDEX('💵 Cash Flow'!$C$21:$BJ$21,MATCH(AQ$3,'💵 Cash Flow'!$C$4:$BJ$4,0))</f>
        <v>0</v>
      </c>
      <c r="AR10" s="174" t="n">
        <f aca="false">INDEX('💵 Cash Flow'!$C$21:$BJ$21,MATCH(AR$3,'💵 Cash Flow'!$C$4:$BJ$4,0))</f>
        <v>0</v>
      </c>
      <c r="AS10" s="174" t="n">
        <f aca="false">INDEX('💵 Cash Flow'!$C$21:$BJ$21,MATCH(AS$3,'💵 Cash Flow'!$C$4:$BJ$4,0))</f>
        <v>0</v>
      </c>
      <c r="AT10" s="174" t="n">
        <f aca="false">INDEX('💵 Cash Flow'!$C$21:$BJ$21,MATCH(AT$3,'💵 Cash Flow'!$C$4:$BJ$4,0))</f>
        <v>0</v>
      </c>
      <c r="AU10" s="174" t="n">
        <f aca="false">INDEX('💵 Cash Flow'!$C$21:$BJ$21,MATCH(AU$3,'💵 Cash Flow'!$C$4:$BJ$4,0))</f>
        <v>0</v>
      </c>
      <c r="AV10" s="174" t="n">
        <f aca="false">INDEX('💵 Cash Flow'!$C$21:$BJ$21,MATCH(AV$3,'💵 Cash Flow'!$C$4:$BJ$4,0))</f>
        <v>0</v>
      </c>
      <c r="AW10" s="174" t="n">
        <f aca="false">INDEX('💵 Cash Flow'!$C$21:$BJ$21,MATCH(AW$3,'💵 Cash Flow'!$C$4:$BJ$4,0))</f>
        <v>0</v>
      </c>
      <c r="AX10" s="174" t="n">
        <f aca="false">INDEX('💵 Cash Flow'!$C$21:$BJ$21,MATCH(AX$3,'💵 Cash Flow'!$C$4:$BJ$4,0))</f>
        <v>0</v>
      </c>
      <c r="AY10" s="174" t="n">
        <f aca="false">INDEX('💵 Cash Flow'!$C$21:$BJ$21,MATCH(AY$3,'💵 Cash Flow'!$C$4:$BJ$4,0))</f>
        <v>0</v>
      </c>
      <c r="AZ10" s="174" t="n">
        <f aca="false">INDEX('💵 Cash Flow'!$C$21:$BJ$21,MATCH(AZ$3,'💵 Cash Flow'!$C$4:$BJ$4,0))</f>
        <v>0</v>
      </c>
      <c r="BA10" s="174" t="n">
        <f aca="false">INDEX('💵 Cash Flow'!$C$21:$BJ$21,MATCH(BA$3,'💵 Cash Flow'!$C$4:$BJ$4,0))</f>
        <v>0</v>
      </c>
      <c r="BB10" s="174" t="n">
        <f aca="false">INDEX('💵 Cash Flow'!$C$21:$BJ$21,MATCH(BB$3,'💵 Cash Flow'!$C$4:$BJ$4,0))</f>
        <v>0</v>
      </c>
      <c r="BC10" s="174" t="n">
        <f aca="false">INDEX('💵 Cash Flow'!$C$21:$BJ$21,MATCH(BC$3,'💵 Cash Flow'!$C$4:$BJ$4,0))</f>
        <v>0</v>
      </c>
      <c r="BD10" s="174" t="n">
        <f aca="false">INDEX('💵 Cash Flow'!$C$21:$BJ$21,MATCH(BD$3,'💵 Cash Flow'!$C$4:$BJ$4,0))</f>
        <v>0</v>
      </c>
      <c r="BE10" s="174" t="n">
        <f aca="false">INDEX('💵 Cash Flow'!$C$21:$BJ$21,MATCH(BE$3,'💵 Cash Flow'!$C$4:$BJ$4,0))</f>
        <v>0</v>
      </c>
      <c r="BF10" s="174" t="n">
        <f aca="false">INDEX('💵 Cash Flow'!$C$21:$BJ$21,MATCH(BF$3,'💵 Cash Flow'!$C$4:$BJ$4,0))</f>
        <v>0</v>
      </c>
      <c r="BG10" s="174" t="n">
        <f aca="false">INDEX('💵 Cash Flow'!$C$21:$BJ$21,MATCH(BG$3,'💵 Cash Flow'!$C$4:$BJ$4,0))</f>
        <v>0</v>
      </c>
      <c r="BH10" s="174" t="n">
        <f aca="false">INDEX('💵 Cash Flow'!$C$21:$BJ$21,MATCH(BH$3,'💵 Cash Flow'!$C$4:$BJ$4,0))</f>
        <v>0</v>
      </c>
      <c r="BI10" s="174" t="n">
        <f aca="false">INDEX('💵 Cash Flow'!$C$21:$BJ$21,MATCH(BI$3,'💵 Cash Flow'!$C$4:$BJ$4,0))</f>
        <v>0</v>
      </c>
    </row>
    <row r="11" customFormat="false" ht="13.8" hidden="false" customHeight="false" outlineLevel="0" collapsed="false">
      <c r="A11" s="118" t="s">
        <v>425</v>
      </c>
      <c r="B11" s="174" t="n">
        <f aca="false">INDEX('💵 Cash Flow'!$C$24:$BJ$24,MATCH(B$3,'💵 Cash Flow'!$C$4:$BJ$4,0))</f>
        <v>95171424.8419263</v>
      </c>
      <c r="C11" s="174" t="n">
        <f aca="false">INDEX('💵 Cash Flow'!$C$24:$BJ$24,MATCH(C$3,'💵 Cash Flow'!$C$4:$BJ$4,0))</f>
        <v>-74732579.2959632</v>
      </c>
      <c r="D11" s="174" t="n">
        <f aca="false">INDEX('💵 Cash Flow'!$C$24:$BJ$24,MATCH(D$3,'💵 Cash Flow'!$C$4:$BJ$4,0))</f>
        <v>-20438845.5459632</v>
      </c>
      <c r="E11" s="174" t="n">
        <f aca="false">INDEX('💵 Cash Flow'!$C$24:$BJ$24,MATCH(E$3,'💵 Cash Flow'!$C$4:$BJ$4,0))</f>
        <v>9793935.10908606</v>
      </c>
      <c r="F11" s="174" t="n">
        <f aca="false">INDEX('💵 Cash Flow'!$C$24:$BJ$24,MATCH(F$3,'💵 Cash Flow'!$C$4:$BJ$4,0))</f>
        <v>2696827.86015195</v>
      </c>
      <c r="G11" s="174" t="n">
        <f aca="false">INDEX('💵 Cash Flow'!$C$24:$BJ$24,MATCH(G$3,'💵 Cash Flow'!$C$4:$BJ$4,0))</f>
        <v>38831195.1859915</v>
      </c>
      <c r="H11" s="174" t="n">
        <f aca="false">INDEX('💵 Cash Flow'!$C$24:$BJ$24,MATCH(H$3,'💵 Cash Flow'!$C$4:$BJ$4,0))</f>
        <v>83653394.3945092</v>
      </c>
      <c r="I11" s="174" t="n">
        <f aca="false">INDEX('💵 Cash Flow'!$C$24:$BJ$24,MATCH(I$3,'💵 Cash Flow'!$C$4:$BJ$4,0))</f>
        <v>91949161.7275595</v>
      </c>
      <c r="J11" s="174" t="n">
        <f aca="false">INDEX('💵 Cash Flow'!$C$24:$BJ$24,MATCH(J$3,'💵 Cash Flow'!$C$4:$BJ$4,0))</f>
        <v>105238438.57967</v>
      </c>
      <c r="K11" s="174" t="n">
        <f aca="false">INDEX('💵 Cash Flow'!$C$24:$BJ$24,MATCH(K$3,'💵 Cash Flow'!$C$4:$BJ$4,0))</f>
        <v>117834290.404265</v>
      </c>
      <c r="L11" s="174" t="n">
        <f aca="false">INDEX('💵 Cash Flow'!$C$24:$BJ$24,MATCH(L$3,'💵 Cash Flow'!$C$4:$BJ$4,0))</f>
        <v>89353103.588639</v>
      </c>
      <c r="M11" s="174" t="n">
        <f aca="false">INDEX('💵 Cash Flow'!$C$24:$BJ$24,MATCH(M$3,'💵 Cash Flow'!$C$4:$BJ$4,0))</f>
        <v>74597832.3289265</v>
      </c>
      <c r="N11" s="174" t="n">
        <f aca="false">INDEX('💵 Cash Flow'!$C$24:$BJ$24,MATCH(N$3,'💵 Cash Flow'!$C$4:$BJ$4,0))</f>
        <v>79844508.0050787</v>
      </c>
      <c r="O11" s="174" t="n">
        <f aca="false">INDEX('💵 Cash Flow'!$C$24:$BJ$24,MATCH(O$3,'💵 Cash Flow'!$C$4:$BJ$4,0))</f>
        <v>104335248.555833</v>
      </c>
      <c r="P11" s="174" t="n">
        <f aca="false">INDEX('💵 Cash Flow'!$C$24:$BJ$24,MATCH(P$3,'💵 Cash Flow'!$C$4:$BJ$4,0))</f>
        <v>140726821.291187</v>
      </c>
      <c r="Q11" s="174" t="n">
        <f aca="false">INDEX('💵 Cash Flow'!$C$24:$BJ$24,MATCH(Q$3,'💵 Cash Flow'!$C$4:$BJ$4,0))</f>
        <v>141847635.392369</v>
      </c>
      <c r="R11" s="174" t="n">
        <f aca="false">INDEX('💵 Cash Flow'!$C$24:$BJ$24,MATCH(R$3,'💵 Cash Flow'!$C$4:$BJ$4,0))</f>
        <v>80779820.9743095</v>
      </c>
      <c r="S11" s="174" t="n">
        <f aca="false">INDEX('💵 Cash Flow'!$C$24:$BJ$24,MATCH(S$3,'💵 Cash Flow'!$C$4:$BJ$4,0))</f>
        <v>122408141.898115</v>
      </c>
      <c r="T11" s="174" t="n">
        <f aca="false">INDEX('💵 Cash Flow'!$C$24:$BJ$24,MATCH(T$3,'💵 Cash Flow'!$C$4:$BJ$4,0))</f>
        <v>162370020.771036</v>
      </c>
      <c r="U11" s="174" t="n">
        <f aca="false">INDEX('💵 Cash Flow'!$C$24:$BJ$24,MATCH(U$3,'💵 Cash Flow'!$C$4:$BJ$4,0))</f>
        <v>146466737.071441</v>
      </c>
      <c r="V11" s="174" t="n">
        <f aca="false">INDEX('💵 Cash Flow'!$C$24:$BJ$24,MATCH(V$3,'💵 Cash Flow'!$C$4:$BJ$4,0))</f>
        <v>164816055.273787</v>
      </c>
      <c r="W11" s="174" t="n">
        <f aca="false">INDEX('💵 Cash Flow'!$C$24:$BJ$24,MATCH(W$3,'💵 Cash Flow'!$C$4:$BJ$4,0))</f>
        <v>161428952.348588</v>
      </c>
      <c r="X11" s="174" t="n">
        <f aca="false">INDEX('💵 Cash Flow'!$C$24:$BJ$24,MATCH(X$3,'💵 Cash Flow'!$C$4:$BJ$4,0))</f>
        <v>126489746.512388</v>
      </c>
      <c r="Y11" s="174" t="n">
        <f aca="false">INDEX('💵 Cash Flow'!$C$24:$BJ$24,MATCH(Y$3,'💵 Cash Flow'!$C$4:$BJ$4,0))</f>
        <v>108449144.102729</v>
      </c>
      <c r="Z11" s="174" t="n">
        <f aca="false">INDEX('💵 Cash Flow'!$C$24:$BJ$24,MATCH(Z$3,'💵 Cash Flow'!$C$4:$BJ$4,0))</f>
        <v>114827083.328122</v>
      </c>
      <c r="AA11" s="174" t="n">
        <f aca="false">INDEX('💵 Cash Flow'!$C$24:$BJ$24,MATCH(AA$3,'💵 Cash Flow'!$C$4:$BJ$4,0))</f>
        <v>140609410.518018</v>
      </c>
      <c r="AB11" s="174" t="n">
        <f aca="false">INDEX('💵 Cash Flow'!$C$24:$BJ$24,MATCH(AB$3,'💵 Cash Flow'!$C$4:$BJ$4,0))</f>
        <v>184413181.747776</v>
      </c>
      <c r="AC11" s="174" t="n">
        <f aca="false">INDEX('💵 Cash Flow'!$C$24:$BJ$24,MATCH(AC$3,'💵 Cash Flow'!$C$4:$BJ$4,0))</f>
        <v>188019028.838632</v>
      </c>
      <c r="AD11" s="174" t="n">
        <f aca="false">INDEX('💵 Cash Flow'!$C$24:$BJ$24,MATCH(AD$3,'💵 Cash Flow'!$C$4:$BJ$4,0))</f>
        <v>82977192.4826696</v>
      </c>
      <c r="AE11" s="174" t="n">
        <f aca="false">INDEX('💵 Cash Flow'!$C$24:$BJ$24,MATCH(AE$3,'💵 Cash Flow'!$C$4:$BJ$4,0))</f>
        <v>125153823.492787</v>
      </c>
      <c r="AF11" s="174" t="n">
        <f aca="false">INDEX('💵 Cash Flow'!$C$24:$BJ$24,MATCH(AF$3,'💵 Cash Flow'!$C$4:$BJ$4,0))</f>
        <v>165605685.927668</v>
      </c>
      <c r="AG11" s="174" t="n">
        <f aca="false">INDEX('💵 Cash Flow'!$C$24:$BJ$24,MATCH(AG$3,'💵 Cash Flow'!$C$4:$BJ$4,0))</f>
        <v>149511979.216749</v>
      </c>
      <c r="AH11" s="174" t="n">
        <f aca="false">INDEX('💵 Cash Flow'!$C$24:$BJ$24,MATCH(AH$3,'💵 Cash Flow'!$C$4:$BJ$4,0))</f>
        <v>168195747.785185</v>
      </c>
      <c r="AI11" s="174" t="n">
        <f aca="false">INDEX('💵 Cash Flow'!$C$24:$BJ$24,MATCH(AI$3,'💵 Cash Flow'!$C$4:$BJ$4,0))</f>
        <v>164773728.553821</v>
      </c>
      <c r="AJ11" s="174" t="n">
        <f aca="false">INDEX('💵 Cash Flow'!$C$24:$BJ$24,MATCH(AJ$3,'💵 Cash Flow'!$C$4:$BJ$4,0))</f>
        <v>129381639.68916</v>
      </c>
      <c r="AK11" s="174" t="n">
        <f aca="false">INDEX('💵 Cash Flow'!$C$24:$BJ$24,MATCH(AK$3,'💵 Cash Flow'!$C$4:$BJ$4,0))</f>
        <v>111097127.478327</v>
      </c>
      <c r="AL11" s="174" t="n">
        <f aca="false">INDEX('💵 Cash Flow'!$C$24:$BJ$24,MATCH(AL$3,'💵 Cash Flow'!$C$4:$BJ$4,0))</f>
        <v>104740860.931278</v>
      </c>
      <c r="AM11" s="174" t="n">
        <f aca="false">INDEX('💵 Cash Flow'!$C$24:$BJ$24,MATCH(AM$3,'💵 Cash Flow'!$C$4:$BJ$4,0))</f>
        <v>144993679.883633</v>
      </c>
      <c r="AN11" s="174" t="n">
        <f aca="false">INDEX('💵 Cash Flow'!$C$24:$BJ$24,MATCH(AN$3,'💵 Cash Flow'!$C$4:$BJ$4,0))</f>
        <v>202283231</v>
      </c>
      <c r="AO11" s="174" t="n">
        <f aca="false">INDEX('💵 Cash Flow'!$C$24:$BJ$24,MATCH(AO$3,'💵 Cash Flow'!$C$4:$BJ$4,0))</f>
        <v>197537441</v>
      </c>
      <c r="AP11" s="174" t="n">
        <f aca="false">INDEX('💵 Cash Flow'!$C$24:$BJ$24,MATCH(AP$3,'💵 Cash Flow'!$C$4:$BJ$4,0))</f>
        <v>94215177.5</v>
      </c>
      <c r="AQ11" s="174" t="n">
        <f aca="false">INDEX('💵 Cash Flow'!$C$24:$BJ$24,MATCH(AQ$3,'💵 Cash Flow'!$C$4:$BJ$4,0))</f>
        <v>135681153.125</v>
      </c>
      <c r="AR11" s="174" t="n">
        <f aca="false">INDEX('💵 Cash Flow'!$C$24:$BJ$24,MATCH(AR$3,'💵 Cash Flow'!$C$4:$BJ$4,0))</f>
        <v>175498981.25</v>
      </c>
      <c r="AS11" s="174" t="n">
        <f aca="false">INDEX('💵 Cash Flow'!$C$24:$BJ$24,MATCH(AS$3,'💵 Cash Flow'!$C$4:$BJ$4,0))</f>
        <v>159664341.875</v>
      </c>
      <c r="AT11" s="174" t="n">
        <f aca="false">INDEX('💵 Cash Flow'!$C$24:$BJ$24,MATCH(AT$3,'💵 Cash Flow'!$C$4:$BJ$4,0))</f>
        <v>177918350</v>
      </c>
      <c r="AU11" s="174" t="n">
        <f aca="false">INDEX('💵 Cash Flow'!$C$24:$BJ$24,MATCH(AU$3,'💵 Cash Flow'!$C$4:$BJ$4,0))</f>
        <v>174551433.125</v>
      </c>
      <c r="AV11" s="174" t="n">
        <f aca="false">INDEX('💵 Cash Flow'!$C$24:$BJ$24,MATCH(AV$3,'💵 Cash Flow'!$C$4:$BJ$4,0))</f>
        <v>139763097.5</v>
      </c>
      <c r="AW11" s="174" t="n">
        <f aca="false">INDEX('💵 Cash Flow'!$C$24:$BJ$24,MATCH(AW$3,'💵 Cash Flow'!$C$4:$BJ$4,0))</f>
        <v>121808131.25</v>
      </c>
      <c r="AX11" s="174" t="n">
        <f aca="false">INDEX('💵 Cash Flow'!$C$24:$BJ$24,MATCH(AX$3,'💵 Cash Flow'!$C$4:$BJ$4,0))</f>
        <v>128166985.625</v>
      </c>
      <c r="AY11" s="174" t="n">
        <f aca="false">INDEX('💵 Cash Flow'!$C$24:$BJ$24,MATCH(AY$3,'💵 Cash Flow'!$C$4:$BJ$4,0))</f>
        <v>153896888.75</v>
      </c>
      <c r="AZ11" s="174" t="n">
        <f aca="false">INDEX('💵 Cash Flow'!$C$24:$BJ$24,MATCH(AZ$3,'💵 Cash Flow'!$C$4:$BJ$4,0))</f>
        <v>197537441</v>
      </c>
      <c r="BA11" s="174" t="n">
        <f aca="false">INDEX('💵 Cash Flow'!$C$24:$BJ$24,MATCH(BA$3,'💵 Cash Flow'!$C$4:$BJ$4,0))</f>
        <v>199245925.4</v>
      </c>
      <c r="BB11" s="174" t="n">
        <f aca="false">INDEX('💵 Cash Flow'!$C$24:$BJ$24,MATCH(BB$3,'💵 Cash Flow'!$C$4:$BJ$4,0))</f>
        <v>101300662.625</v>
      </c>
      <c r="BC11" s="174" t="n">
        <f aca="false">INDEX('💵 Cash Flow'!$C$24:$BJ$24,MATCH(BC$3,'💵 Cash Flow'!$C$4:$BJ$4,0))</f>
        <v>137183986.625</v>
      </c>
      <c r="BD11" s="174" t="n">
        <f aca="false">INDEX('💵 Cash Flow'!$C$24:$BJ$24,MATCH(BD$3,'💵 Cash Flow'!$C$4:$BJ$4,0))</f>
        <v>177259516.25</v>
      </c>
      <c r="BE11" s="174" t="n">
        <f aca="false">INDEX('💵 Cash Flow'!$C$24:$BJ$24,MATCH(BE$3,'💵 Cash Flow'!$C$4:$BJ$4,0))</f>
        <v>161325368.375</v>
      </c>
      <c r="BF11" s="174" t="n">
        <f aca="false">INDEX('💵 Cash Flow'!$C$24:$BJ$24,MATCH(BF$3,'💵 Cash Flow'!$C$4:$BJ$4,0))</f>
        <v>180673970</v>
      </c>
      <c r="BG11" s="174" t="n">
        <f aca="false">INDEX('💵 Cash Flow'!$C$24:$BJ$24,MATCH(BG$3,'💵 Cash Flow'!$C$4:$BJ$4,0))</f>
        <v>177280262.375</v>
      </c>
      <c r="BH11" s="174" t="n">
        <f aca="false">INDEX('💵 Cash Flow'!$C$24:$BJ$24,MATCH(BH$3,'💵 Cash Flow'!$C$4:$BJ$4,0))</f>
        <v>142135992.5</v>
      </c>
      <c r="BI11" s="174" t="n">
        <f aca="false">INDEX('💵 Cash Flow'!$C$24:$BJ$24,MATCH(BI$3,'💵 Cash Flow'!$C$4:$BJ$4,0))</f>
        <v>123989663.75</v>
      </c>
    </row>
    <row r="12" customFormat="false" ht="13.8" hidden="false" customHeight="false" outlineLevel="0" collapsed="false">
      <c r="B12" s="0" t="n">
        <f aca="false">-B10+B11</f>
        <v>-268232579.295963</v>
      </c>
      <c r="C12" s="0" t="n">
        <f aca="false">-C10+C11</f>
        <v>-74732579.2959632</v>
      </c>
      <c r="D12" s="0" t="n">
        <f aca="false">-D10+D11</f>
        <v>-20438845.5459632</v>
      </c>
      <c r="E12" s="0" t="n">
        <f aca="false">-E10+E11</f>
        <v>9793935.10908606</v>
      </c>
      <c r="F12" s="0" t="n">
        <f aca="false">-F10+F11</f>
        <v>2696827.86015195</v>
      </c>
      <c r="G12" s="0" t="n">
        <f aca="false">-G10+G11</f>
        <v>38831195.1859915</v>
      </c>
      <c r="H12" s="0" t="n">
        <f aca="false">-H10+H11</f>
        <v>83653394.3945092</v>
      </c>
      <c r="I12" s="0" t="n">
        <f aca="false">-I10+I11</f>
        <v>91949161.7275595</v>
      </c>
      <c r="J12" s="0" t="n">
        <f aca="false">-J10+J11</f>
        <v>105238438.57967</v>
      </c>
      <c r="K12" s="0" t="n">
        <f aca="false">-K10+K11</f>
        <v>117834290.404265</v>
      </c>
      <c r="L12" s="0" t="n">
        <f aca="false">-L10+L11</f>
        <v>89353103.588639</v>
      </c>
      <c r="M12" s="0" t="n">
        <f aca="false">-M10+M11</f>
        <v>74597832.3289265</v>
      </c>
      <c r="N12" s="0" t="n">
        <f aca="false">-N10+N11</f>
        <v>79844508.0050787</v>
      </c>
      <c r="O12" s="0" t="n">
        <f aca="false">-O10+O11</f>
        <v>104335248.555833</v>
      </c>
      <c r="P12" s="0" t="n">
        <f aca="false">-P10+P11</f>
        <v>140726821.291187</v>
      </c>
      <c r="Q12" s="0" t="n">
        <f aca="false">-Q10+Q11</f>
        <v>141847635.392369</v>
      </c>
      <c r="R12" s="0" t="n">
        <f aca="false">-R10+R11</f>
        <v>80779820.9743095</v>
      </c>
      <c r="S12" s="0" t="n">
        <f aca="false">-S10+S11</f>
        <v>122408141.898115</v>
      </c>
      <c r="T12" s="0" t="n">
        <f aca="false">-T10+T11</f>
        <v>162370020.771036</v>
      </c>
      <c r="U12" s="0" t="n">
        <f aca="false">-U10+U11</f>
        <v>146466737.071441</v>
      </c>
      <c r="V12" s="0" t="n">
        <f aca="false">-V10+V11</f>
        <v>164816055.273787</v>
      </c>
      <c r="W12" s="0" t="n">
        <f aca="false">-W10+W11</f>
        <v>161428952.348588</v>
      </c>
      <c r="X12" s="0" t="n">
        <f aca="false">-X10+X11</f>
        <v>126489746.512388</v>
      </c>
      <c r="Y12" s="0" t="n">
        <f aca="false">-Y10+Y11</f>
        <v>108449144.102729</v>
      </c>
      <c r="Z12" s="0" t="n">
        <f aca="false">-Z10+Z11</f>
        <v>114827083.328122</v>
      </c>
      <c r="AA12" s="0" t="n">
        <f aca="false">-AA10+AA11</f>
        <v>140609410.518018</v>
      </c>
      <c r="AB12" s="0" t="n">
        <f aca="false">-AB10+AB11</f>
        <v>184413181.747776</v>
      </c>
      <c r="AC12" s="0" t="n">
        <f aca="false">-AC10+AC11</f>
        <v>188019028.838632</v>
      </c>
      <c r="AD12" s="0" t="n">
        <f aca="false">-AD10+AD11</f>
        <v>82977192.4826696</v>
      </c>
      <c r="AE12" s="0" t="n">
        <f aca="false">-AE10+AE11</f>
        <v>125153823.492787</v>
      </c>
      <c r="AF12" s="0" t="n">
        <f aca="false">-AF10+AF11</f>
        <v>165605685.927668</v>
      </c>
      <c r="AG12" s="0" t="n">
        <f aca="false">-AG10+AG11</f>
        <v>149511979.216749</v>
      </c>
      <c r="AH12" s="0" t="n">
        <f aca="false">-AH10+AH11</f>
        <v>168195747.785185</v>
      </c>
      <c r="AI12" s="0" t="n">
        <f aca="false">-AI10+AI11</f>
        <v>164773728.553821</v>
      </c>
      <c r="AJ12" s="0" t="n">
        <f aca="false">-AJ10+AJ11</f>
        <v>129381639.68916</v>
      </c>
      <c r="AK12" s="0" t="n">
        <f aca="false">-AK10+AK11</f>
        <v>111097127.478327</v>
      </c>
      <c r="AL12" s="0" t="n">
        <f aca="false">-AL10+AL11</f>
        <v>104740860.931278</v>
      </c>
      <c r="AM12" s="0" t="n">
        <f aca="false">-AM10+AM11</f>
        <v>144993679.883633</v>
      </c>
      <c r="AN12" s="0" t="n">
        <f aca="false">-AN10+AN11</f>
        <v>202283231</v>
      </c>
      <c r="AO12" s="0" t="n">
        <f aca="false">-AO10+AO11</f>
        <v>197537441</v>
      </c>
      <c r="AP12" s="0" t="n">
        <f aca="false">-AP10+AP11</f>
        <v>94215177.5</v>
      </c>
      <c r="AQ12" s="0" t="n">
        <f aca="false">-AQ10+AQ11</f>
        <v>135681153.125</v>
      </c>
      <c r="AR12" s="0" t="n">
        <f aca="false">-AR10+AR11</f>
        <v>175498981.25</v>
      </c>
      <c r="AS12" s="0" t="n">
        <f aca="false">-AS10+AS11</f>
        <v>159664341.875</v>
      </c>
      <c r="AT12" s="0" t="n">
        <f aca="false">-AT10+AT11</f>
        <v>177918350</v>
      </c>
      <c r="AU12" s="0" t="n">
        <f aca="false">-AU10+AU11</f>
        <v>174551433.125</v>
      </c>
      <c r="AV12" s="0" t="n">
        <f aca="false">-AV10+AV11</f>
        <v>139763097.5</v>
      </c>
      <c r="AW12" s="0" t="n">
        <f aca="false">-AW10+AW11</f>
        <v>121808131.25</v>
      </c>
      <c r="AX12" s="0" t="n">
        <f aca="false">-AX10+AX11</f>
        <v>128166985.625</v>
      </c>
      <c r="AY12" s="0" t="n">
        <f aca="false">-AY10+AY11</f>
        <v>153896888.75</v>
      </c>
      <c r="AZ12" s="0" t="n">
        <f aca="false">-AZ10+AZ11</f>
        <v>197537441</v>
      </c>
      <c r="BA12" s="0" t="n">
        <f aca="false">-BA10+BA11</f>
        <v>199245925.4</v>
      </c>
      <c r="BB12" s="0" t="n">
        <f aca="false">-BB10+BB11</f>
        <v>101300662.625</v>
      </c>
      <c r="BC12" s="0" t="n">
        <f aca="false">-BC10+BC11</f>
        <v>137183986.625</v>
      </c>
      <c r="BD12" s="0" t="n">
        <f aca="false">-BD10+BD11</f>
        <v>177259516.25</v>
      </c>
      <c r="BE12" s="0" t="n">
        <f aca="false">-BE10+BE11</f>
        <v>161325368.375</v>
      </c>
      <c r="BF12" s="0" t="n">
        <f aca="false">-BF10+BF11</f>
        <v>180673970</v>
      </c>
      <c r="BG12" s="0" t="n">
        <f aca="false">-BG10+BG11</f>
        <v>177280262.375</v>
      </c>
      <c r="BH12" s="0" t="n">
        <f aca="false">-BH10+BH11</f>
        <v>142135992.5</v>
      </c>
      <c r="BI12" s="0" t="n">
        <f aca="false">-BI10+BI11</f>
        <v>123989663.75</v>
      </c>
    </row>
    <row r="13" customFormat="false" ht="13.8" hidden="false" customHeight="false" outlineLevel="0" collapsed="false">
      <c r="A13" s="0" t="s">
        <v>590</v>
      </c>
      <c r="B13" s="176" t="n">
        <f aca="false">IRR(B12:BI12)</f>
        <v>0.158836258429199</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&amp;C&amp;"Arial,Regular"&amp;10&amp;Kffffff&amp;A</oddHeader>
    <oddFooter>&amp;C&amp;"Arial,Regular"&amp;10&amp;KffffffPage &amp;P</oddFooter>
  </headerFooter>
</worksheet>
</file>

<file path=docProps/app.xml><?xml version="1.0" encoding="utf-8"?>
<Properties xmlns="http://schemas.openxmlformats.org/officeDocument/2006/extended-properties" xmlns:vt="http://schemas.openxmlformats.org/officeDocument/2006/docPropsVTypes">
  <Template/>
  <TotalTime>217</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2026-03-16T03:30:19Z</dcterms:created>
  <dc:creator>openpyxl</dc:creator>
  <dc:description/>
  <dc:language>en-US</dc:language>
  <cp:lastModifiedBy/>
  <dcterms:modified xsi:type="dcterms:W3CDTF">2026-10-02T11:20:36Z</dcterms:modified>
  <cp:revision>38</cp:revision>
  <dc:subject/>
  <dc:title/>
</cp:coreProperties>
</file>

<file path=docProps/custom.xml><?xml version="1.0" encoding="utf-8"?>
<Properties xmlns="http://schemas.openxmlformats.org/officeDocument/2006/custom-properties" xmlns:vt="http://schemas.openxmlformats.org/officeDocument/2006/docPropsVTypes"/>
</file>